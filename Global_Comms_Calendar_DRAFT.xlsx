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Comms Calendar" sheetId="2" state="visible" r:id="rId4"/>
    <sheet name="Month View" sheetId="3" state="visible" r:id="rId5"/>
    <sheet name="Week View" sheetId="4" state="visible" r:id="rId6"/>
    <sheet name="Dashboard" sheetId="5" state="visible" r:id="rId7"/>
    <sheet name="Audience Lists" sheetId="6" state="visible" r:id="rId8"/>
    <sheet name="Owners &amp; RACI" sheetId="7" state="visible" r:id="rId9"/>
    <sheet name="Rules &amp; Guardrails" sheetId="8" state="visible" r:id="rId10"/>
    <sheet name="Change Log" sheetId="9" state="visible" r:id="rId11"/>
    <sheet name="Dropdowns" sheetId="10" state="visible" r:id="rId12"/>
  </sheets>
  <definedNames>
    <definedName function="false" hidden="true" localSheetId="1" name="_xlnm._FilterDatabase" vbProcedure="false">'Comms Calendar'!$A$4:$AS$504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Unique ID, e.g. AM-001 / EM-001 / AP-001 / GL-001.</t>
        </r>
      </text>
    </comment>
    <comment ref="C4" authorId="0">
      <text>
        <r>
          <rPr>
            <sz val="10"/>
            <rFont val="Arial"/>
            <family val="2"/>
          </rPr>
          <t xml:space="preserve">Optional: e.g. US, UK &amp; I, DACH, ANZ, Japan.</t>
        </r>
      </text>
    </comment>
    <comment ref="D4" authorId="0">
      <text>
        <r>
          <rPr>
            <sz val="10"/>
            <rFont val="Arial"/>
            <family val="2"/>
          </rPr>
          <t xml:space="preserve">Pick from the list. Channels are managed on Rules &amp; Guardrails.</t>
        </r>
      </text>
    </comment>
    <comment ref="H4" authorId="0">
      <text>
        <r>
          <rPr>
            <sz val="10"/>
            <rFont val="Arial"/>
            <family val="2"/>
          </rPr>
          <t xml:space="preserve">One or two sentences: what do we want them to know / do?</t>
        </r>
      </text>
    </comment>
    <comment ref="K4" authorId="0">
      <text>
        <r>
          <rPr>
            <sz val="10"/>
            <rFont val="Arial"/>
            <family val="2"/>
          </rPr>
          <t xml:space="preserve">Use the SAME segment name every time (see Audience Lists tab) — the frequency &amp; clash checks match on it.</t>
        </r>
      </text>
    </comment>
    <comment ref="L4" authorId="0">
      <text>
        <r>
          <rPr>
            <sz val="10"/>
            <rFont val="Arial"/>
            <family val="2"/>
          </rPr>
          <t xml:space="preserve">List names from the Audience Lists tab, separated by ;</t>
        </r>
      </text>
    </comment>
    <comment ref="O4" authorId="0">
      <text>
        <r>
          <rPr>
            <sz val="10"/>
            <rFont val="Arial"/>
            <family val="2"/>
          </rPr>
          <t xml:space="preserve">Required — everything on the Month View, Week View and Dashboard keys off this date.</t>
        </r>
      </text>
    </comment>
    <comment ref="P4" authorId="0">
      <text>
        <r>
          <rPr>
            <sz val="10"/>
            <rFont val="Arial"/>
            <family val="2"/>
          </rPr>
          <t xml:space="preserve">e.g. 10:00</t>
        </r>
      </text>
    </comment>
    <comment ref="S4" authorId="0">
      <text>
        <r>
          <rPr>
            <sz val="10"/>
            <rFont val="Arial"/>
            <family val="2"/>
          </rPr>
          <t xml:space="preserve">e.g. 1 of 3</t>
        </r>
      </text>
    </comment>
    <comment ref="T4" authorId="0">
      <text>
        <r>
          <rPr>
            <sz val="10"/>
            <rFont val="Arial"/>
            <family val="2"/>
          </rPr>
          <t xml:space="preserve">Auto: launch date minus the channel's brief lead time (business days).</t>
        </r>
      </text>
    </comment>
    <comment ref="X4" authorId="0">
      <text>
        <r>
          <rPr>
            <sz val="10"/>
            <rFont val="Arial"/>
            <family val="2"/>
          </rPr>
          <t xml:space="preserve">Who else needs to know (Sales, CS, Product, Partners...).</t>
        </r>
      </text>
    </comment>
    <comment ref="AB4" authorId="0">
      <text>
        <r>
          <rPr>
            <sz val="10"/>
            <rFont val="Arial"/>
            <family val="2"/>
          </rPr>
          <t xml:space="preserve">Yes = Marketing Ops builds / sends / pulls the list.</t>
        </r>
      </text>
    </comment>
    <comment ref="AF4" authorId="0">
      <text>
        <r>
          <rPr>
            <sz val="10"/>
            <rFont val="Arial"/>
            <family val="2"/>
          </rPr>
          <t xml:space="preserve">Auto: Ready / In Progress / At Risk / Overdue (or the status if Launched, On hold, Cancelled).</t>
        </r>
      </text>
    </comment>
    <comment ref="AG4" authorId="0">
      <text>
        <r>
          <rPr>
            <sz val="10"/>
            <rFont val="Arial"/>
            <family val="2"/>
          </rPr>
          <t xml:space="preserve">Auto: what still blocks this comm.</t>
        </r>
      </text>
    </comment>
    <comment ref="AI4" authorId="0">
      <text>
        <r>
          <rPr>
            <sz val="10"/>
            <rFont val="Arial"/>
            <family val="2"/>
          </rPr>
          <t xml:space="preserve">Auto: Monday of the launch week.</t>
        </r>
      </text>
    </comment>
    <comment ref="AK4" authorId="0">
      <text>
        <r>
          <rPr>
            <sz val="10"/>
            <rFont val="Arial"/>
            <family val="2"/>
          </rPr>
          <t xml:space="preserve">Auto: comms to the same segment, in the same region, in the same week.</t>
        </r>
      </text>
    </comment>
    <comment ref="AL4" authorId="0">
      <text>
        <r>
          <rPr>
            <sz val="10"/>
            <rFont val="Arial"/>
            <family val="2"/>
          </rPr>
          <t xml:space="preserve">Auto: 'Over cap' when touches exceed the weekly max on Rules &amp; Guardrails.</t>
        </r>
      </text>
    </comment>
    <comment ref="AM4" authorId="0">
      <text>
        <r>
          <rPr>
            <sz val="10"/>
            <rFont val="Arial"/>
            <family val="2"/>
          </rPr>
          <t xml:space="preserve">Auto: 'Clash' when the same segment in the same region gets 2+ comms on the same day.</t>
        </r>
      </text>
    </comment>
    <comment ref="AN4" authorId="0">
      <text>
        <r>
          <rPr>
            <sz val="10"/>
            <rFont val="Arial"/>
            <family val="2"/>
          </rPr>
          <t xml:space="preserve">Auto: 'Blackout' when the date is on the blackout list for this region (or Global).</t>
        </r>
      </text>
    </comment>
    <comment ref="AR4" authorId="0">
      <text>
        <r>
          <rPr>
            <sz val="10"/>
            <rFont val="Arial"/>
            <family val="2"/>
          </rPr>
          <t xml:space="preserve">Helper used by Week View &amp; Dashboard.</t>
        </r>
      </text>
    </comment>
    <comment ref="AS4" authorId="0">
      <text>
        <r>
          <rPr>
            <sz val="10"/>
            <rFont val="Arial"/>
            <family val="2"/>
          </rPr>
          <t xml:space="preserve">Helper used by Month View.</t>
        </r>
      </text>
    </comment>
  </commentList>
</comments>
</file>

<file path=xl/sharedStrings.xml><?xml version="1.0" encoding="utf-8"?>
<sst xmlns="http://schemas.openxmlformats.org/spreadsheetml/2006/main" count="1080" uniqueCount="532">
  <si>
    <t xml:space="preserve">Global Communications Calendar — FIRST DRAFT</t>
  </si>
  <si>
    <t xml:space="preserve">One shared place for every outbound communication across AMER, EMEA and APAC — webinars, emails, social, events, PR, in-app and customer notices — so every team knows what goes out, when, to whom, and whether it's ready.</t>
  </si>
  <si>
    <t xml:space="preserve">Tabs</t>
  </si>
  <si>
    <t xml:space="preserve">Comms Calendar</t>
  </si>
  <si>
    <t xml:space="preserve">The master list. One row per communication. This is the only tab most people edit.</t>
  </si>
  <si>
    <t xml:space="preserve">Month View</t>
  </si>
  <si>
    <t xml:space="preserve">Calendar grid for any month, filterable by region. Read-only.</t>
  </si>
  <si>
    <t xml:space="preserve">Week View</t>
  </si>
  <si>
    <t xml:space="preserve">Rolling 26 weeks: volume per region &amp; channel, plus red flags. Use it in the weekly sync.</t>
  </si>
  <si>
    <t xml:space="preserve">Dashboard</t>
  </si>
  <si>
    <t xml:space="preserve">Headline numbers, region × channel, readiness by region, next 6 months.</t>
  </si>
  <si>
    <t xml:space="preserve">Audience Lists</t>
  </si>
  <si>
    <t xml:space="preserve">Official segment &amp; list names, owners, consent basis, suppressions.</t>
  </si>
  <si>
    <t xml:space="preserve">Owners &amp; RACI</t>
  </si>
  <si>
    <t xml:space="preserve">Who's who, who does what, and the proposed meeting rhythm &amp; rules.</t>
  </si>
  <si>
    <t xml:space="preserve">Rules &amp; Guardrails</t>
  </si>
  <si>
    <t xml:space="preserve">Frequency cap, content-lock, at-risk window, channel lead times, blackout dates.</t>
  </si>
  <si>
    <t xml:space="preserve">Change Log</t>
  </si>
  <si>
    <t xml:space="preserve">Record of changes after content lock or anything that moves another team's dates.</t>
  </si>
  <si>
    <t xml:space="preserve">Dropdowns</t>
  </si>
  <si>
    <t xml:space="preserve">Values behind every dropdown. Edit here to add a team, owner, time zone, etc.</t>
  </si>
  <si>
    <t xml:space="preserve">How to add a comm</t>
  </si>
  <si>
    <t xml:space="preserve">1. Add a row</t>
  </si>
  <si>
    <t xml:space="preserve">On Comms Calendar, fill the white cells. Minimum: ID, Region, Channel, Target Segment, Launch Date, Owner, Overall Status.</t>
  </si>
  <si>
    <t xml:space="preserve">2. Pick the audience</t>
  </si>
  <si>
    <t xml:space="preserve">Use segment / list names from Audience Lists so the frequency and clash checks can match them.</t>
  </si>
  <si>
    <t xml:space="preserve">3. Ops involved?</t>
  </si>
  <si>
    <t xml:space="preserve">If Marketing Ops needs to build, pull lists or send: set 'Ops Involved? = Yes', raise a ticket, add the ticket #.</t>
  </si>
  <si>
    <t xml:space="preserve">4. Track readiness</t>
  </si>
  <si>
    <t xml:space="preserve">Update Content Status, Assets Ready?, List Ready?, Ops Ready? as work progresses. Readiness updates itself.</t>
  </si>
  <si>
    <t xml:space="preserve">5. Watch the flags</t>
  </si>
  <si>
    <t xml:space="preserve">Fix anything red: Over cap, Clash, Blackout, At Risk, Overdue, or a red 'Brief Due By' date.</t>
  </si>
  <si>
    <t xml:space="preserve">6. After launch</t>
  </si>
  <si>
    <t xml:space="preserve">Set Overall Status = Launched. Never delete rows — use Cancelled so history is kept.</t>
  </si>
  <si>
    <t xml:space="preserve">Colour key</t>
  </si>
  <si>
    <t xml:space="preserve">White cell</t>
  </si>
  <si>
    <t xml:space="preserve">Input — type or pick from the dropdown.</t>
  </si>
  <si>
    <t xml:space="preserve">Grey cell</t>
  </si>
  <si>
    <t xml:space="preserve">Automatic formula — don't type over it.</t>
  </si>
  <si>
    <t xml:space="preserve">Yellow cell</t>
  </si>
  <si>
    <t xml:space="preserve">Setting / filter you can change (Rules &amp; Guardrails, Month View, Week View).</t>
  </si>
  <si>
    <t xml:space="preserve">Blue text</t>
  </si>
  <si>
    <t xml:space="preserve">Editable assumption (e.g. lead times).</t>
  </si>
  <si>
    <t xml:space="preserve">Readiness colours</t>
  </si>
  <si>
    <t xml:space="preserve">Green = Ready · Yellow = In Progress · Orange = At Risk (inside the at-risk window) · Red = Overdue (date passed, not ready) · Blue = Launched.</t>
  </si>
  <si>
    <t xml:space="preserve">How Readiness works</t>
  </si>
  <si>
    <t xml:space="preserve">Ready</t>
  </si>
  <si>
    <t xml:space="preserve">Content Approved AND Assets Yes/N/A AND List Yes/N/A AND (Ops not involved OR Ops Ready = Yes).</t>
  </si>
  <si>
    <t xml:space="preserve">At Risk</t>
  </si>
  <si>
    <t xml:space="preserve">Not ready and launching within the at-risk window (default 7 days).</t>
  </si>
  <si>
    <t xml:space="preserve">Overdue</t>
  </si>
  <si>
    <t xml:space="preserve">Not ready and launch date has passed (and status isn't Launched).</t>
  </si>
  <si>
    <t xml:space="preserve">What's Missing</t>
  </si>
  <si>
    <t xml:space="preserve">Lists exactly what still blocks the comm — use it to chase the right person.</t>
  </si>
  <si>
    <t xml:space="preserve">Before rolling out</t>
  </si>
  <si>
    <t xml:space="preserve">Example data</t>
  </si>
  <si>
    <t xml:space="preserve">The rows dated Oct–Dec 2026 are illustrative examples (incl. a deliberate clash, cap breach and blackout). Replace them with real plans.</t>
  </si>
  <si>
    <t xml:space="preserve">To confirm together</t>
  </si>
  <si>
    <t xml:space="preserve">Owner names &amp; emails · APAC owner · frequency cap · lead times · content-lock rule · blackout dates per region · RACI split.</t>
  </si>
  <si>
    <t xml:space="preserve">Sharing</t>
  </si>
  <si>
    <t xml:space="preserve">Put the file on SharePoint/OneDrive or upload to Google Sheets so everyone edits the same copy. Restrict Rules &amp; Dropdowns edits to the calendar owners.</t>
  </si>
  <si>
    <t xml:space="preserve">Global Communications Calendar — AMER · EMEA · APAC</t>
  </si>
  <si>
    <t xml:space="preserve">One row per communication (webinar, email, social post, event, customer notice...). White cells = fill in · Grey cells = automatic, don't type over them · Hover a header for guidance. Example rows are illustrative — replace them with real plans.</t>
  </si>
  <si>
    <t xml:space="preserve">IDENTIFY</t>
  </si>
  <si>
    <t xml:space="preserve">CONTENT</t>
  </si>
  <si>
    <t xml:space="preserve">AUDIENCE &amp; LISTS</t>
  </si>
  <si>
    <t xml:space="preserve">TIMING</t>
  </si>
  <si>
    <t xml:space="preserve">OWNERSHIP</t>
  </si>
  <si>
    <t xml:space="preserve">READINESS</t>
  </si>
  <si>
    <t xml:space="preserve">AUTO CHECKS</t>
  </si>
  <si>
    <t xml:space="preserve">NOTES</t>
  </si>
  <si>
    <t xml:space="preserve">HELPERS</t>
  </si>
  <si>
    <t xml:space="preserve">ID</t>
  </si>
  <si>
    <t xml:space="preserve">Region</t>
  </si>
  <si>
    <t xml:space="preserve">Country / Market</t>
  </si>
  <si>
    <t xml:space="preserve">Channel</t>
  </si>
  <si>
    <t xml:space="preserve">Audience Type</t>
  </si>
  <si>
    <t xml:space="preserve">Campaign / Program</t>
  </si>
  <si>
    <t xml:space="preserve">Title / Subject Line</t>
  </si>
  <si>
    <t xml:space="preserve">Key Message</t>
  </si>
  <si>
    <t xml:space="preserve">CTA / Landing Page</t>
  </si>
  <si>
    <t xml:space="preserve">Language</t>
  </si>
  <si>
    <t xml:space="preserve">Target Segment</t>
  </si>
  <si>
    <t xml:space="preserve">Lists Included</t>
  </si>
  <si>
    <t xml:space="preserve">Lists Excluded / Suppression</t>
  </si>
  <si>
    <t xml:space="preserve">Est. Reach (#)</t>
  </si>
  <si>
    <t xml:space="preserve">Launch Date</t>
  </si>
  <si>
    <t xml:space="preserve">Launch Time (local)</t>
  </si>
  <si>
    <t xml:space="preserve">Time Zone</t>
  </si>
  <si>
    <t xml:space="preserve">Frequency / Cadence</t>
  </si>
  <si>
    <t xml:space="preserve">Touch # in Sequence</t>
  </si>
  <si>
    <t xml:space="preserve">Brief Due By</t>
  </si>
  <si>
    <t xml:space="preserve">Owner</t>
  </si>
  <si>
    <t xml:space="preserve">Owning Team</t>
  </si>
  <si>
    <t xml:space="preserve">Approver</t>
  </si>
  <si>
    <t xml:space="preserve">Collaborators / Keep Informed</t>
  </si>
  <si>
    <t xml:space="preserve">Content Status</t>
  </si>
  <si>
    <t xml:space="preserve">Assets Ready?</t>
  </si>
  <si>
    <t xml:space="preserve">List Ready?</t>
  </si>
  <si>
    <t xml:space="preserve">Ops Involved?</t>
  </si>
  <si>
    <t xml:space="preserve">Ops Ticket #</t>
  </si>
  <si>
    <t xml:space="preserve">Ops Ready?</t>
  </si>
  <si>
    <t xml:space="preserve">Overall Status</t>
  </si>
  <si>
    <t xml:space="preserve">Readiness</t>
  </si>
  <si>
    <t xml:space="preserve">Days to Launch</t>
  </si>
  <si>
    <t xml:space="preserve">Week Commencing</t>
  </si>
  <si>
    <t xml:space="preserve">Month</t>
  </si>
  <si>
    <t xml:space="preserve">Same-Week Touches</t>
  </si>
  <si>
    <t xml:space="preserve">Frequency Flag</t>
  </si>
  <si>
    <t xml:space="preserve">Date Clash</t>
  </si>
  <si>
    <t xml:space="preserve">Blackout Flag</t>
  </si>
  <si>
    <t xml:space="preserve">Dependencies / Notes</t>
  </si>
  <si>
    <t xml:space="preserve">Last Updated</t>
  </si>
  <si>
    <t xml:space="preserve">Updated By</t>
  </si>
  <si>
    <t xml:space="preserve">Channel Group</t>
  </si>
  <si>
    <t xml:space="preserve">_Key</t>
  </si>
  <si>
    <t xml:space="preserve">AM-001</t>
  </si>
  <si>
    <t xml:space="preserve">AMER</t>
  </si>
  <si>
    <t xml:space="preserve">US &amp; Canada</t>
  </si>
  <si>
    <t xml:space="preserve">Email - Webinar Invite / Reminder</t>
  </si>
  <si>
    <t xml:space="preserve">Customer</t>
  </si>
  <si>
    <t xml:space="preserve">Q4 Roadmap Webinar</t>
  </si>
  <si>
    <t xml:space="preserve">You're invited: What's next on our Q4 roadmap</t>
  </si>
  <si>
    <t xml:space="preserve">Preview Q4 releases and get answers live from Product.</t>
  </si>
  <si>
    <t xml:space="preserve">Register - /webinars/q4-roadmap</t>
  </si>
  <si>
    <t xml:space="preserve">EN</t>
  </si>
  <si>
    <t xml:space="preserve">AMER Customers - Active</t>
  </si>
  <si>
    <t xml:space="preserve">AMER Customers - Active; AMER Champions</t>
  </si>
  <si>
    <t xml:space="preserve">Unsubscribed; Open support escalations</t>
  </si>
  <si>
    <t xml:space="preserve">10:00</t>
  </si>
  <si>
    <t xml:space="preserve">ET</t>
  </si>
  <si>
    <t xml:space="preserve">Sequence (multi-touch)</t>
  </si>
  <si>
    <t xml:space="preserve">1 of 3</t>
  </si>
  <si>
    <t xml:space="preserve">Head of Mkt AMER</t>
  </si>
  <si>
    <t xml:space="preserve">Digital</t>
  </si>
  <si>
    <t xml:space="preserve">Head of Marketing (Global)</t>
  </si>
  <si>
    <t xml:space="preserve">CS leadership; AMER Sales</t>
  </si>
  <si>
    <t xml:space="preserve">Approved</t>
  </si>
  <si>
    <t xml:space="preserve">Yes</t>
  </si>
  <si>
    <t xml:space="preserve">OPS-1042</t>
  </si>
  <si>
    <t xml:space="preserve">Scheduled</t>
  </si>
  <si>
    <t xml:space="preserve">Depends on webinar landing page (Digital).</t>
  </si>
  <si>
    <t xml:space="preserve">Draft (example)</t>
  </si>
  <si>
    <t xml:space="preserve">AM-002</t>
  </si>
  <si>
    <t xml:space="preserve">Email - Customer Notice</t>
  </si>
  <si>
    <t xml:space="preserve">Platform Update</t>
  </si>
  <si>
    <t xml:space="preserve">Important: upcoming maintenance window</t>
  </si>
  <si>
    <t xml:space="preserve">Planned maintenance on 24 Oct, 2-4am ET. No action needed.</t>
  </si>
  <si>
    <t xml:space="preserve">Status page</t>
  </si>
  <si>
    <t xml:space="preserve">AMER Customers - Active; AMER Admin Contacts</t>
  </si>
  <si>
    <t xml:space="preserve">Unsubscribed (service msg - legal check)</t>
  </si>
  <si>
    <t xml:space="preserve">14:00</t>
  </si>
  <si>
    <t xml:space="preserve">One-off</t>
  </si>
  <si>
    <t xml:space="preserve">Customer Success</t>
  </si>
  <si>
    <t xml:space="preserve">Support; Product</t>
  </si>
  <si>
    <t xml:space="preserve">In review</t>
  </si>
  <si>
    <t xml:space="preserve">No</t>
  </si>
  <si>
    <t xml:space="preserve">OPS-1051</t>
  </si>
  <si>
    <t xml:space="preserve">In production</t>
  </si>
  <si>
    <t xml:space="preserve">EXAMPLE CLASH: same segment, same day as AM-001 - move one of them.</t>
  </si>
  <si>
    <t xml:space="preserve">AM-003</t>
  </si>
  <si>
    <t xml:space="preserve">Reminder: Q4 roadmap webinar is next week</t>
  </si>
  <si>
    <t xml:space="preserve">Last chance to save your seat.</t>
  </si>
  <si>
    <t xml:space="preserve">Already registered; Unsubscribed</t>
  </si>
  <si>
    <t xml:space="preserve">2 of 3</t>
  </si>
  <si>
    <t xml:space="preserve">EXAMPLE: 3rd touch to this segment this week -&gt; Over cap.</t>
  </si>
  <si>
    <t xml:space="preserve">AM-004</t>
  </si>
  <si>
    <t xml:space="preserve">Webinar</t>
  </si>
  <si>
    <t xml:space="preserve">Q4 Product Roadmap - Live Webinar</t>
  </si>
  <si>
    <t xml:space="preserve">Live roadmap walkthrough + Q&amp;A with Product leaders.</t>
  </si>
  <si>
    <t xml:space="preserve">/webinars/q4-roadmap</t>
  </si>
  <si>
    <t xml:space="preserve">Registrants</t>
  </si>
  <si>
    <t xml:space="preserve">11:00</t>
  </si>
  <si>
    <t xml:space="preserve">Field Marketing</t>
  </si>
  <si>
    <t xml:space="preserve">Product (speakers); AMER Sales</t>
  </si>
  <si>
    <t xml:space="preserve">OPS-1040</t>
  </si>
  <si>
    <t xml:space="preserve">Speakers confirmed. Dry run 20 Oct.</t>
  </si>
  <si>
    <t xml:space="preserve">EM-001</t>
  </si>
  <si>
    <t xml:space="preserve">EMEA</t>
  </si>
  <si>
    <t xml:space="preserve">UK &amp; I, DACH, France</t>
  </si>
  <si>
    <t xml:space="preserve">Customer + Prospect</t>
  </si>
  <si>
    <t xml:space="preserve">Join us: Q4 roadmap live (EN/DE/FR)</t>
  </si>
  <si>
    <t xml:space="preserve">Same story as AMER, localised for EMEA.</t>
  </si>
  <si>
    <t xml:space="preserve">Register - /webinars/q4-roadmap-emea</t>
  </si>
  <si>
    <t xml:space="preserve">Multi</t>
  </si>
  <si>
    <t xml:space="preserve">EMEA Customers + Engaged Prospects</t>
  </si>
  <si>
    <t xml:space="preserve">EMEA Customers - Active; EMEA Prospects - Engaged 90d</t>
  </si>
  <si>
    <t xml:space="preserve">No GDPR consent; Unsubscribed</t>
  </si>
  <si>
    <t xml:space="preserve">09:00</t>
  </si>
  <si>
    <t xml:space="preserve">CET</t>
  </si>
  <si>
    <t xml:space="preserve">Head of Mkt EMEA</t>
  </si>
  <si>
    <t xml:space="preserve">EMEA Sales; Localisation</t>
  </si>
  <si>
    <t xml:space="preserve">OPS-1047</t>
  </si>
  <si>
    <t xml:space="preserve">Waiting on DE/FR translations.</t>
  </si>
  <si>
    <t xml:space="preserve">EM-002</t>
  </si>
  <si>
    <t xml:space="preserve">Q4 Product Roadmap - EMEA session</t>
  </si>
  <si>
    <t xml:space="preserve">Live roadmap + EMEA customer guest speaker.</t>
  </si>
  <si>
    <t xml:space="preserve">/webinars/q4-roadmap-emea</t>
  </si>
  <si>
    <t xml:space="preserve">Product; EMEA Sales</t>
  </si>
  <si>
    <t xml:space="preserve">Drafting</t>
  </si>
  <si>
    <t xml:space="preserve">N/A</t>
  </si>
  <si>
    <t xml:space="preserve">Planned</t>
  </si>
  <si>
    <t xml:space="preserve">Guest speaker TBC.</t>
  </si>
  <si>
    <t xml:space="preserve">EM-003</t>
  </si>
  <si>
    <t xml:space="preserve">UK</t>
  </si>
  <si>
    <t xml:space="preserve">Event - In-person</t>
  </si>
  <si>
    <t xml:space="preserve">Customer Roundtables</t>
  </si>
  <si>
    <t xml:space="preserve">Executive Customer Roundtable - London</t>
  </si>
  <si>
    <t xml:space="preserve">Invite-only dinner with 20 strategic accounts.</t>
  </si>
  <si>
    <t xml:space="preserve">RSVP</t>
  </si>
  <si>
    <t xml:space="preserve">EMEA Strategic Accounts</t>
  </si>
  <si>
    <t xml:space="preserve">EMEA Strategic Accounts - Execs</t>
  </si>
  <si>
    <t xml:space="preserve">18:30</t>
  </si>
  <si>
    <t xml:space="preserve">GMT/BST</t>
  </si>
  <si>
    <t xml:space="preserve">Account Execs; CS</t>
  </si>
  <si>
    <t xml:space="preserve">Venue booked.</t>
  </si>
  <si>
    <t xml:space="preserve">AP-001</t>
  </si>
  <si>
    <t xml:space="preserve">APAC</t>
  </si>
  <si>
    <t xml:space="preserve">ANZ, SG, JP</t>
  </si>
  <si>
    <t xml:space="preserve">Q4 Product Roadmap - APAC session</t>
  </si>
  <si>
    <t xml:space="preserve">APAC-timed session of the roadmap webinar.</t>
  </si>
  <si>
    <t xml:space="preserve">/webinars/q4-roadmap-apac</t>
  </si>
  <si>
    <t xml:space="preserve">APAC Customers + Engaged Prospects</t>
  </si>
  <si>
    <t xml:space="preserve">APAC Customers - Active; APAC Prospects - Engaged 90d</t>
  </si>
  <si>
    <t xml:space="preserve">Unsubscribed</t>
  </si>
  <si>
    <t xml:space="preserve">SGT</t>
  </si>
  <si>
    <t xml:space="preserve">APAC Marketing Lead</t>
  </si>
  <si>
    <t xml:space="preserve">APAC Sales</t>
  </si>
  <si>
    <t xml:space="preserve">Japanese subtitles for recording?</t>
  </si>
  <si>
    <t xml:space="preserve">AP-002</t>
  </si>
  <si>
    <t xml:space="preserve">ANZ</t>
  </si>
  <si>
    <t xml:space="preserve">Email - Campaign / Nurture</t>
  </si>
  <si>
    <t xml:space="preserve">Prospect</t>
  </si>
  <si>
    <t xml:space="preserve">APAC Nurture Q4</t>
  </si>
  <si>
    <t xml:space="preserve">3 ways teams in ANZ cut reporting time</t>
  </si>
  <si>
    <t xml:space="preserve">Value-led nurture, case study from a local customer.</t>
  </si>
  <si>
    <t xml:space="preserve">Read the case study</t>
  </si>
  <si>
    <t xml:space="preserve">APAC Prospects - Engaged 90d</t>
  </si>
  <si>
    <t xml:space="preserve">Customers; Open opportunities</t>
  </si>
  <si>
    <t xml:space="preserve">AEST</t>
  </si>
  <si>
    <t xml:space="preserve">Bi-weekly</t>
  </si>
  <si>
    <t xml:space="preserve">1 of 4</t>
  </si>
  <si>
    <t xml:space="preserve">Dean (Digital)</t>
  </si>
  <si>
    <t xml:space="preserve">APAC SDRs</t>
  </si>
  <si>
    <t xml:space="preserve">Not started</t>
  </si>
  <si>
    <t xml:space="preserve">GL-001</t>
  </si>
  <si>
    <t xml:space="preserve">Global</t>
  </si>
  <si>
    <t xml:space="preserve">All</t>
  </si>
  <si>
    <t xml:space="preserve">Email - Newsletter</t>
  </si>
  <si>
    <t xml:space="preserve">Customer Newsletter</t>
  </si>
  <si>
    <t xml:space="preserve">October customer newsletter</t>
  </si>
  <si>
    <t xml:space="preserve">Product highlights, upcoming webinars by region, community spotlight.</t>
  </si>
  <si>
    <t xml:space="preserve">Newsletter hub</t>
  </si>
  <si>
    <t xml:space="preserve">All Customers</t>
  </si>
  <si>
    <t xml:space="preserve">All Customers - Active</t>
  </si>
  <si>
    <t xml:space="preserve">Monthly</t>
  </si>
  <si>
    <t xml:space="preserve">Regional Heads (content inputs due 20 Oct)</t>
  </si>
  <si>
    <t xml:space="preserve">OPS-1055</t>
  </si>
  <si>
    <t xml:space="preserve">Each region sends 1-2 items by 20 Oct.</t>
  </si>
  <si>
    <t xml:space="preserve">GL-002</t>
  </si>
  <si>
    <t xml:space="preserve">Social - LinkedIn</t>
  </si>
  <si>
    <t xml:space="preserve">Webinar promo post series</t>
  </si>
  <si>
    <t xml:space="preserve">Promote all three regional sessions.</t>
  </si>
  <si>
    <t xml:space="preserve">Regional registration pages</t>
  </si>
  <si>
    <t xml:space="preserve">Social followers</t>
  </si>
  <si>
    <t xml:space="preserve">12:00</t>
  </si>
  <si>
    <t xml:space="preserve">Weekly</t>
  </si>
  <si>
    <t xml:space="preserve">Regional Heads</t>
  </si>
  <si>
    <t xml:space="preserve">Regional versions posted in local time zones.</t>
  </si>
  <si>
    <t xml:space="preserve">GL-003</t>
  </si>
  <si>
    <t xml:space="preserve">Press Release / PR</t>
  </si>
  <si>
    <t xml:space="preserve">Winter Product Launch</t>
  </si>
  <si>
    <t xml:space="preserve">Announcing our Winter release</t>
  </si>
  <si>
    <t xml:space="preserve">Headline launch - embargo until 17 Nov 08:00 ET.</t>
  </si>
  <si>
    <t xml:space="preserve">/winter-release</t>
  </si>
  <si>
    <t xml:space="preserve">Media + public</t>
  </si>
  <si>
    <t xml:space="preserve">Press list</t>
  </si>
  <si>
    <t xml:space="preserve">08:00</t>
  </si>
  <si>
    <t xml:space="preserve">Comms / PR</t>
  </si>
  <si>
    <t xml:space="preserve">All regions; Sales; CS; Exec team</t>
  </si>
  <si>
    <t xml:space="preserve">All launch comms on 17 Nov must wait for the embargo.</t>
  </si>
  <si>
    <t xml:space="preserve">GL-004</t>
  </si>
  <si>
    <t xml:space="preserve">In-app / Product Message</t>
  </si>
  <si>
    <t xml:space="preserve">What's new: Winter release</t>
  </si>
  <si>
    <t xml:space="preserve">In-product banner pointing to the release notes.</t>
  </si>
  <si>
    <t xml:space="preserve">Release notes</t>
  </si>
  <si>
    <t xml:space="preserve">All active users</t>
  </si>
  <si>
    <t xml:space="preserve">Product Marketing</t>
  </si>
  <si>
    <t xml:space="preserve">Product; Support</t>
  </si>
  <si>
    <t xml:space="preserve">AM-005</t>
  </si>
  <si>
    <t xml:space="preserve">US</t>
  </si>
  <si>
    <t xml:space="preserve">Holiday Promo</t>
  </si>
  <si>
    <t xml:space="preserve">Year-end offer for new teams</t>
  </si>
  <si>
    <t xml:space="preserve">Annual plan incentive before 31 Dec.</t>
  </si>
  <si>
    <t xml:space="preserve">Talk to sales</t>
  </si>
  <si>
    <t xml:space="preserve">AMER Prospects - Engaged 90d</t>
  </si>
  <si>
    <t xml:space="preserve">AMER Sales</t>
  </si>
  <si>
    <t xml:space="preserve">EXAMPLE: falls on a blackout date.</t>
  </si>
  <si>
    <t xml:space="preserve">GL-005</t>
  </si>
  <si>
    <t xml:space="preserve">Season's greetings &amp; year in review</t>
  </si>
  <si>
    <t xml:space="preserve">Thank-you note + 2026 highlights.</t>
  </si>
  <si>
    <t xml:space="preserve">Year in review page</t>
  </si>
  <si>
    <t xml:space="preserve">All regions</t>
  </si>
  <si>
    <t xml:space="preserve">Month (any date in it):</t>
  </si>
  <si>
    <t xml:space="preserve">Region:</t>
  </si>
  <si>
    <t xml:space="preserve">Change the yellow cells. Each day shows how many comms launch, the AM/EM/AP/GL split, and the first title. Cancelled items are excluded. Full detail lives on the Comms Calendar tab.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</si>
  <si>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</si>
  <si>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</si>
  <si>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</si>
  <si>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</si>
  <si>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</si>
  <si>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</si>
  <si>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</si>
  <si>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Legend:  blue tint = 1-2 comms · orange tint = 3+ comms (check for overload) · yellow = today · grey = outside the month</t>
  </si>
  <si>
    <t xml:space="preserve">Week View — rolling 26 weeks</t>
  </si>
  <si>
    <t xml:space="preserve">First week (Monday):</t>
  </si>
  <si>
    <t xml:space="preserve">Defaults to the current week — overwrite with any date to look elsewhere.</t>
  </si>
  <si>
    <t xml:space="preserve">Total</t>
  </si>
  <si>
    <t xml:space="preserve">Webinars</t>
  </si>
  <si>
    <t xml:space="preserve">Emails</t>
  </si>
  <si>
    <t xml:space="preserve">Social</t>
  </si>
  <si>
    <t xml:space="preserve">Events</t>
  </si>
  <si>
    <t xml:space="preserve">Customer-facing</t>
  </si>
  <si>
    <t xml:space="preserve">Not Ready</t>
  </si>
  <si>
    <t xml:space="preserve">Ops Involved</t>
  </si>
  <si>
    <t xml:space="preserve">Over Cap</t>
  </si>
  <si>
    <t xml:space="preserve">Clashes</t>
  </si>
  <si>
    <t xml:space="preserve">Blackout</t>
  </si>
  <si>
    <t xml:space="preserve">Red = needs attention. Orange total = busy week (6+ comms) — check audiences aren't being overloaded.</t>
  </si>
  <si>
    <t xml:space="preserve">Alignment Dashboard</t>
  </si>
  <si>
    <t xml:space="preserve">Headline numbers</t>
  </si>
  <si>
    <t xml:space="preserve">Comms planned (all dates)</t>
  </si>
  <si>
    <t xml:space="preserve">Launching next 7 days</t>
  </si>
  <si>
    <t xml:space="preserve">Launching next 30 days</t>
  </si>
  <si>
    <t xml:space="preserve">Ready rate (open comms)</t>
  </si>
  <si>
    <t xml:space="preserve">At Risk + Overdue</t>
  </si>
  <si>
    <t xml:space="preserve">Waiting on Ops</t>
  </si>
  <si>
    <t xml:space="preserve">Frequency cap breaches</t>
  </si>
  <si>
    <t xml:space="preserve">Date clashes</t>
  </si>
  <si>
    <t xml:space="preserve">On blackout dates</t>
  </si>
  <si>
    <t xml:space="preserve">Comms by region × channel</t>
  </si>
  <si>
    <t xml:space="preserve">Email</t>
  </si>
  <si>
    <t xml:space="preserve">Event</t>
  </si>
  <si>
    <t xml:space="preserve">PR</t>
  </si>
  <si>
    <t xml:space="preserve">In-app</t>
  </si>
  <si>
    <t xml:space="preserve">Other</t>
  </si>
  <si>
    <t xml:space="preserve">Readiness by region</t>
  </si>
  <si>
    <t xml:space="preserve">In Progress</t>
  </si>
  <si>
    <t xml:space="preserve">On hold</t>
  </si>
  <si>
    <t xml:space="preserve">Launched</t>
  </si>
  <si>
    <t xml:space="preserve">Comms by region × month (next 6 months)</t>
  </si>
  <si>
    <t xml:space="preserve">Audience &amp; List Registry</t>
  </si>
  <si>
    <t xml:space="preserve">Single source of truth for segment &amp; list names. Use these exact names in the calendar so frequency and clash checks work. Marketing Ops owns list hygiene.</t>
  </si>
  <si>
    <t xml:space="preserve">List / Segment Name</t>
  </si>
  <si>
    <t xml:space="preserve">Description / Criteria</t>
  </si>
  <si>
    <t xml:space="preserve">Source System</t>
  </si>
  <si>
    <t xml:space="preserve">Approx. Size</t>
  </si>
  <si>
    <t xml:space="preserve">List Owner</t>
  </si>
  <si>
    <t xml:space="preserve">Last Refreshed</t>
  </si>
  <si>
    <t xml:space="preserve">Consent Basis</t>
  </si>
  <si>
    <t xml:space="preserve">Standard Suppressions</t>
  </si>
  <si>
    <t xml:space="preserve">Notes</t>
  </si>
  <si>
    <t xml:space="preserve">Paying accounts, all active contacts</t>
  </si>
  <si>
    <t xml:space="preserve">CRM</t>
  </si>
  <si>
    <t xml:space="preserve">Marketing Ops</t>
  </si>
  <si>
    <t xml:space="preserve">Customer relationship</t>
  </si>
  <si>
    <t xml:space="preserve">Unsubscribed; Bounced</t>
  </si>
  <si>
    <t xml:space="preserve">AMER Champions</t>
  </si>
  <si>
    <t xml:space="preserve">Advocates / NPS 9-10</t>
  </si>
  <si>
    <t xml:space="preserve">Opened/clicked/visited in last 90 days</t>
  </si>
  <si>
    <t xml:space="preserve">MAP</t>
  </si>
  <si>
    <t xml:space="preserve">Opt-in / legitimate interest</t>
  </si>
  <si>
    <t xml:space="preserve">Customers; Open opps; Unsubscribed</t>
  </si>
  <si>
    <t xml:space="preserve">Combined segment for EMEA programs</t>
  </si>
  <si>
    <t xml:space="preserve">CRM + MAP</t>
  </si>
  <si>
    <t xml:space="preserve">GDPR: explicit consent required</t>
  </si>
  <si>
    <t xml:space="preserve">No consent; Unsubscribed</t>
  </si>
  <si>
    <t xml:space="preserve">Check consent per country</t>
  </si>
  <si>
    <t xml:space="preserve">Top 50 accounts, exec contacts</t>
  </si>
  <si>
    <t xml:space="preserve">Hand-curated with Sales</t>
  </si>
  <si>
    <t xml:space="preserve">Combined segment for APAC programs</t>
  </si>
  <si>
    <t xml:space="preserve">Opt-in (check AU Spam Act, JP APPI)</t>
  </si>
  <si>
    <t xml:space="preserve">Engaged in last 90 days</t>
  </si>
  <si>
    <t xml:space="preserve">Opt-in</t>
  </si>
  <si>
    <t xml:space="preserve">Customers; Open opps</t>
  </si>
  <si>
    <t xml:space="preserve">Every active customer contact worldwide</t>
  </si>
  <si>
    <t xml:space="preserve">Owners, RACI &amp; Ways of Working</t>
  </si>
  <si>
    <t xml:space="preserve">Who's who</t>
  </si>
  <si>
    <t xml:space="preserve">Role</t>
  </si>
  <si>
    <t xml:space="preserve">Name</t>
  </si>
  <si>
    <t xml:space="preserve">Region / Scope</t>
  </si>
  <si>
    <t xml:space="preserve">Backup</t>
  </si>
  <si>
    <t xml:space="preserve">Owns in this calendar</t>
  </si>
  <si>
    <t xml:space="preserve">Final say on the calendar, global launches, conflicts between regions</t>
  </si>
  <si>
    <t xml:space="preserve">AMER plan, webinars, campaigns; approves AMER rows</t>
  </si>
  <si>
    <t xml:space="preserve">EMEA plan, webinars, campaigns; approves EMEA rows</t>
  </si>
  <si>
    <t xml:space="preserve">TBC</t>
  </si>
  <si>
    <t xml:space="preserve">APAC plan - owner to be confirmed</t>
  </si>
  <si>
    <t xml:space="preserve">Dean</t>
  </si>
  <si>
    <t xml:space="preserve">Global - Digital</t>
  </si>
  <si>
    <t xml:space="preserve">Email, newsletter, social, web; channel calendar &amp; cadence</t>
  </si>
  <si>
    <t xml:space="preserve">Webinars &amp; events logistics, speakers, registrations</t>
  </si>
  <si>
    <t xml:space="preserve">Lists, suppressions, builds, QA, sends, tracking; Ops tickets</t>
  </si>
  <si>
    <t xml:space="preserve">Launch messaging, release notes, in-app</t>
  </si>
  <si>
    <t xml:space="preserve">Customer notices; heads-up to CSMs before customer comms</t>
  </si>
  <si>
    <t xml:space="preserve">RACI  (R = Responsible · A = Accountable · C = Consulted · I = Informed)</t>
  </si>
  <si>
    <t xml:space="preserve">Activity</t>
  </si>
  <si>
    <t xml:space="preserve">Head of Mkt (Global)</t>
  </si>
  <si>
    <t xml:space="preserve">APAC Mkt Lead</t>
  </si>
  <si>
    <t xml:space="preserve">Product Mktg</t>
  </si>
  <si>
    <t xml:space="preserve">Calendar governance &amp; final conflict resolution</t>
  </si>
  <si>
    <t xml:space="preserve">A</t>
  </si>
  <si>
    <t xml:space="preserve">R</t>
  </si>
  <si>
    <t xml:space="preserve">C</t>
  </si>
  <si>
    <t xml:space="preserve">I</t>
  </si>
  <si>
    <t xml:space="preserve">Regional comms plan (AMER / EMEA / APAC)</t>
  </si>
  <si>
    <t xml:space="preserve">Webinars (content, speakers, run of show)</t>
  </si>
  <si>
    <t xml:space="preserve">Email campaigns &amp; newsletter</t>
  </si>
  <si>
    <t xml:space="preserve">Social media</t>
  </si>
  <si>
    <t xml:space="preserve">Customer notices / customer-impacting comms</t>
  </si>
  <si>
    <t xml:space="preserve">Audience definition &amp; list selection</t>
  </si>
  <si>
    <t xml:space="preserve">List pulls, suppressions, builds &amp; QA</t>
  </si>
  <si>
    <t xml:space="preserve">A/R</t>
  </si>
  <si>
    <t xml:space="preserve">Send / launch execution</t>
  </si>
  <si>
    <t xml:space="preserve">Approval of row before content lock</t>
  </si>
  <si>
    <t xml:space="preserve">Product launch comms</t>
  </si>
  <si>
    <t xml:space="preserve">Post-launch results &amp; learnings</t>
  </si>
  <si>
    <t xml:space="preserve">Proposed split — review and adjust together in the first sync.</t>
  </si>
  <si>
    <t xml:space="preserve">Ways of working (proposed)</t>
  </si>
  <si>
    <t xml:space="preserve">Ritual / Rule</t>
  </si>
  <si>
    <t xml:space="preserve">When</t>
  </si>
  <si>
    <t xml:space="preserve">Who</t>
  </si>
  <si>
    <t xml:space="preserve">What happens</t>
  </si>
  <si>
    <t xml:space="preserve">Weekly comms sync</t>
  </si>
  <si>
    <t xml:space="preserve">Every Monday, 30 min</t>
  </si>
  <si>
    <t xml:space="preserve">All owners + Marketing Ops</t>
  </si>
  <si>
    <t xml:space="preserve">Walk Week View for next 2 weeks: clear red flags, confirm Ops readiness, agree moves.</t>
  </si>
  <si>
    <t xml:space="preserve">Monthly regional planning</t>
  </si>
  <si>
    <t xml:space="preserve">Last week of the month</t>
  </si>
  <si>
    <t xml:space="preserve">Regional Heads + Dean (Digital) + Field</t>
  </si>
  <si>
    <t xml:space="preserve">Add next month's rows; check Month View for overload per region.</t>
  </si>
  <si>
    <t xml:space="preserve">Quarterly calendar review</t>
  </si>
  <si>
    <t xml:space="preserve">2 weeks before quarter start</t>
  </si>
  <si>
    <t xml:space="preserve">Head of Marketing + all owners</t>
  </si>
  <si>
    <t xml:space="preserve">Lock flagship moments (launches, webinars, events) and global blackout dates.</t>
  </si>
  <si>
    <t xml:space="preserve">Adding a comm</t>
  </si>
  <si>
    <t xml:space="preserve">As soon as it's known</t>
  </si>
  <si>
    <t xml:space="preserve">Row owner</t>
  </si>
  <si>
    <t xml:space="preserve">Add a row with at least Region, Channel, Segment, Launch Date, Owner, Status = Planned.</t>
  </si>
  <si>
    <t xml:space="preserve">Ops request</t>
  </si>
  <si>
    <t xml:space="preserve">No later than 'Brief Due By'</t>
  </si>
  <si>
    <t xml:space="preserve">Row owner -&gt; Marketing Ops</t>
  </si>
  <si>
    <t xml:space="preserve">Set 'Ops Involved? = Yes', raise a ticket, paste the ticket # in the row.</t>
  </si>
  <si>
    <t xml:space="preserve">Content lock</t>
  </si>
  <si>
    <t xml:space="preserve">Content-lock days before launch (see Rules)</t>
  </si>
  <si>
    <t xml:space="preserve">Row owner + Approver</t>
  </si>
  <si>
    <t xml:space="preserve">After lock, changes need Head of Marketing OK and go in the Change Log.</t>
  </si>
  <si>
    <t xml:space="preserve">Customer comms heads-up</t>
  </si>
  <si>
    <t xml:space="preserve">5 business days before send</t>
  </si>
  <si>
    <t xml:space="preserve">Row owner -&gt; Customer Success</t>
  </si>
  <si>
    <t xml:space="preserve">CS informed of anything reaching customers so CSMs aren't surprised.</t>
  </si>
  <si>
    <t xml:space="preserve">Yellow cells are settings — change them and every check in the calendar updates.</t>
  </si>
  <si>
    <t xml:space="preserve">Max touches per segment, per region, per week</t>
  </si>
  <si>
    <t xml:space="preserve">Proposed default. Drives the 'Frequency Flag' column. Agree the final number with the regional Heads of Marketing.</t>
  </si>
  <si>
    <t xml:space="preserve">Content lock (business days before launch)</t>
  </si>
  <si>
    <t xml:space="preserve">Proposed default. After this point, changes need Head of Marketing sign-off (log them in the Change Log).</t>
  </si>
  <si>
    <t xml:space="preserve">At-risk window (days before launch)</t>
  </si>
  <si>
    <t xml:space="preserve">Proposed default. A comm that is not fully ready inside this window is marked 'At Risk'.</t>
  </si>
  <si>
    <t xml:space="preserve">Channels — group &amp; brief lead time</t>
  </si>
  <si>
    <t xml:space="preserve">Blackout / sensitive dates</t>
  </si>
  <si>
    <t xml:space="preserve">Brief Lead Time (business days)</t>
  </si>
  <si>
    <t xml:space="preserve">Typical Owning Team</t>
  </si>
  <si>
    <t xml:space="preserve">Date</t>
  </si>
  <si>
    <t xml:space="preserve">Reason</t>
  </si>
  <si>
    <t xml:space="preserve">US Thanksgiving</t>
  </si>
  <si>
    <t xml:space="preserve">Black Friday - inbox saturation</t>
  </si>
  <si>
    <t xml:space="preserve">Christmas Eve</t>
  </si>
  <si>
    <t xml:space="preserve">Christmas Day</t>
  </si>
  <si>
    <t xml:space="preserve">Boxing Day</t>
  </si>
  <si>
    <t xml:space="preserve">New Year's Eve</t>
  </si>
  <si>
    <t xml:space="preserve">Social - X</t>
  </si>
  <si>
    <t xml:space="preserve">New Year's Day</t>
  </si>
  <si>
    <t xml:space="preserve">Social - Other</t>
  </si>
  <si>
    <t xml:space="preserve">Lunar New Year</t>
  </si>
  <si>
    <t xml:space="preserve">Event - Virtual</t>
  </si>
  <si>
    <t xml:space="preserve">Blog / Website</t>
  </si>
  <si>
    <t xml:space="preserve">Web</t>
  </si>
  <si>
    <t xml:space="preserve">Content</t>
  </si>
  <si>
    <t xml:space="preserve">Customer Community</t>
  </si>
  <si>
    <t xml:space="preserve">Community</t>
  </si>
  <si>
    <t xml:space="preserve">Paid Media</t>
  </si>
  <si>
    <t xml:space="preserve">Paid</t>
  </si>
  <si>
    <t xml:space="preserve">Partner Comms</t>
  </si>
  <si>
    <t xml:space="preserve">Partner</t>
  </si>
  <si>
    <t xml:space="preserve">Regional Marketing</t>
  </si>
  <si>
    <t xml:space="preserve">Lead times are proposed defaults (blue = editable) — confirm with Marketing Ops.</t>
  </si>
  <si>
    <t xml:space="preserve">Add each region's public holidays, quiet periods, earnings dates, etc.</t>
  </si>
  <si>
    <t xml:space="preserve">Log any change to a comm after content lock, or any date move that affects another region/team.</t>
  </si>
  <si>
    <t xml:space="preserve">Comm ID</t>
  </si>
  <si>
    <t xml:space="preserve">What Changed</t>
  </si>
  <si>
    <t xml:space="preserve">Old Value</t>
  </si>
  <si>
    <t xml:space="preserve">New Value</t>
  </si>
  <si>
    <t xml:space="preserve">Changed By</t>
  </si>
  <si>
    <t xml:space="preserve">Approved By</t>
  </si>
  <si>
    <t xml:space="preserve">Teams Notified?</t>
  </si>
  <si>
    <t xml:space="preserve">Launch date</t>
  </si>
  <si>
    <t xml:space="preserve">13 Oct</t>
  </si>
  <si>
    <t xml:space="preserve">16 Oct (proposed)</t>
  </si>
  <si>
    <t xml:space="preserve">Clashes with AM-001 to same segment</t>
  </si>
  <si>
    <t xml:space="preserve">Team</t>
  </si>
  <si>
    <t xml:space="preserve">Yes / No</t>
  </si>
  <si>
    <t xml:space="preserve">Frequency</t>
  </si>
  <si>
    <t xml:space="preserve">Region Filter</t>
  </si>
  <si>
    <t xml:space="preserve">CT</t>
  </si>
  <si>
    <t xml:space="preserve">Daily</t>
  </si>
  <si>
    <t xml:space="preserve">FR</t>
  </si>
  <si>
    <t xml:space="preserve">PT</t>
  </si>
  <si>
    <t xml:space="preserve">DE</t>
  </si>
  <si>
    <t xml:space="preserve">ES</t>
  </si>
  <si>
    <t xml:space="preserve">Internal</t>
  </si>
  <si>
    <t xml:space="preserve">IT</t>
  </si>
  <si>
    <t xml:space="preserve">Cancelled</t>
  </si>
  <si>
    <t xml:space="preserve">GST (Dubai)</t>
  </si>
  <si>
    <t xml:space="preserve">Quarterly</t>
  </si>
  <si>
    <t xml:space="preserve">NL</t>
  </si>
  <si>
    <t xml:space="preserve">IST</t>
  </si>
  <si>
    <t xml:space="preserve">JA</t>
  </si>
  <si>
    <t xml:space="preserve">JST</t>
  </si>
  <si>
    <t xml:space="preserve">ZH</t>
  </si>
  <si>
    <t xml:space="preserve">KO</t>
  </si>
  <si>
    <t xml:space="preserve">AR</t>
  </si>
  <si>
    <t xml:space="preserve">Edit these lists to change the dropdown options across the workbook.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</si>
</sst>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ddd\ dd\ mmm\ yy"/>
    <numFmt numFmtId="167" formatCode="0;\-0;&quot;Today&quot;"/>
    <numFmt numFmtId="168" formatCode="mmm\ yyyy"/>
    <numFmt numFmtId="169" formatCode="General"/>
    <numFmt numFmtId="170" formatCode="mmmm\ yyyy"/>
    <numFmt numFmtId="171" formatCode="d\ mmm"/>
    <numFmt numFmtId="172" formatCode="0&quot; comms&quot;;;&quot;&quot;"/>
    <numFmt numFmtId="173" formatCode="ddd\ dd\ mmm\ yyyy"/>
    <numFmt numFmtId="174" formatCode="0;\-0;&quot;&quot;"/>
    <numFmt numFmtId="175" formatCode="0"/>
    <numFmt numFmtId="176" formatCode="0%"/>
    <numFmt numFmtId="177" formatCode="mmm\ yy"/>
    <numFmt numFmtId="178" formatCode="dd\ mmm\ 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sz val="10"/>
      <color rgb="FF34405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1F2A44"/>
      <name val="Arial"/>
      <family val="0"/>
      <charset val="1"/>
    </font>
    <font>
      <sz val="8"/>
      <color rgb="FF475467"/>
      <name val="Arial"/>
      <family val="0"/>
      <charset val="1"/>
    </font>
    <font>
      <sz val="8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0"/>
      <color rgb="FF0000FF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2A44"/>
        <bgColor rgb="FF344054"/>
      </patternFill>
    </fill>
    <fill>
      <patternFill patternType="solid">
        <fgColor rgb="FFFFFFFF"/>
        <bgColor rgb="FFF9FAFB"/>
      </patternFill>
    </fill>
    <fill>
      <patternFill patternType="solid">
        <fgColor rgb="FFF2F4F7"/>
        <bgColor rgb="FFE8F1FB"/>
      </patternFill>
    </fill>
    <fill>
      <patternFill patternType="solid">
        <fgColor rgb="FFFFF59D"/>
        <bgColor rgb="FFFEF0C7"/>
      </patternFill>
    </fill>
    <fill>
      <patternFill patternType="solid">
        <fgColor rgb="FF5B6B8C"/>
        <bgColor rgb="FF667085"/>
      </patternFill>
    </fill>
    <fill>
      <patternFill patternType="solid">
        <fgColor rgb="FF3F7CAC"/>
        <bgColor rgb="FF2E8B7A"/>
      </patternFill>
    </fill>
    <fill>
      <patternFill patternType="solid">
        <fgColor rgb="FF2E8B7A"/>
        <bgColor rgb="FF3F7CAC"/>
      </patternFill>
    </fill>
    <fill>
      <patternFill patternType="solid">
        <fgColor rgb="FFC47F17"/>
        <bgColor rgb="FFB54848"/>
      </patternFill>
    </fill>
    <fill>
      <patternFill patternType="solid">
        <fgColor rgb="FF7A4FA0"/>
        <bgColor rgb="FF5B6B8C"/>
      </patternFill>
    </fill>
    <fill>
      <patternFill patternType="solid">
        <fgColor rgb="FFB54848"/>
        <bgColor rgb="FFB93815"/>
      </patternFill>
    </fill>
    <fill>
      <patternFill patternType="solid">
        <fgColor rgb="FF475467"/>
        <bgColor rgb="FF344054"/>
      </patternFill>
    </fill>
    <fill>
      <patternFill patternType="solid">
        <fgColor rgb="FF667085"/>
        <bgColor rgb="FF5B6B8C"/>
      </patternFill>
    </fill>
    <fill>
      <patternFill patternType="solid">
        <fgColor rgb="FF98A2B3"/>
        <bgColor rgb="FF9999FF"/>
      </patternFill>
    </fill>
    <fill>
      <patternFill patternType="solid">
        <fgColor rgb="FFF9FAFB"/>
        <bgColor rgb="FFFFFFFF"/>
      </patternFill>
    </fill>
    <fill>
      <patternFill patternType="solid">
        <fgColor rgb="FF05603A"/>
        <bgColor rgb="FF008080"/>
      </patternFill>
    </fill>
    <fill>
      <patternFill patternType="solid">
        <fgColor rgb="FF93370D"/>
        <bgColor rgb="FFB93815"/>
      </patternFill>
    </fill>
    <fill>
      <patternFill patternType="solid">
        <fgColor rgb="FFB93815"/>
        <bgColor rgb="FFB42318"/>
      </patternFill>
    </fill>
    <fill>
      <patternFill patternType="solid">
        <fgColor rgb="FFB42318"/>
        <bgColor rgb="FFB93815"/>
      </patternFill>
    </fill>
    <fill>
      <patternFill patternType="solid">
        <fgColor rgb="FFFDE7D9"/>
        <bgColor rgb="FFFEE4E2"/>
      </patternFill>
    </fill>
    <fill>
      <patternFill patternType="solid">
        <fgColor rgb="FFD1FADF"/>
        <bgColor rgb="FFD1E9FF"/>
      </patternFill>
    </fill>
    <fill>
      <patternFill patternType="solid">
        <fgColor rgb="FFE8F1FB"/>
        <bgColor rgb="FFEAEC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 style="thin">
        <color rgb="FFD0D5DD"/>
      </right>
      <top/>
      <bottom/>
      <diagonal/>
    </border>
    <border diagonalUp="false" diagonalDown="false"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05603A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FDDCAB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93370D"/>
          <bgColor rgb="FF000000"/>
        </patternFill>
      </fill>
    </dxf>
    <dxf>
      <fill>
        <patternFill patternType="solid">
          <fgColor rgb="FFB93815"/>
          <bgColor rgb="FF000000"/>
        </patternFill>
      </fill>
    </dxf>
    <dxf>
      <fill>
        <patternFill patternType="solid">
          <fgColor rgb="FFFEE4E2"/>
          <bgColor rgb="FF000000"/>
        </patternFill>
      </fill>
    </dxf>
    <dxf>
      <font>
        <name val="Arial"/>
        <charset val="1"/>
        <family val="0"/>
        <b val="1"/>
        <color rgb="FF05603A"/>
      </font>
      <fill>
        <patternFill>
          <bgColor rgb="FFD1FADF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  <dxf>
      <font>
        <name val="Arial"/>
        <charset val="1"/>
        <family val="0"/>
        <b val="1"/>
        <color rgb="FFB93815"/>
      </font>
      <fill>
        <patternFill>
          <bgColor rgb="FFFDDCAB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EE4E2"/>
        </patternFill>
      </fill>
    </dxf>
    <dxf>
      <font>
        <name val="Arial"/>
        <charset val="1"/>
        <family val="0"/>
        <b val="1"/>
        <color rgb="FF1849A9"/>
      </font>
      <fill>
        <patternFill>
          <bgColor rgb="FFD1E9FF"/>
        </patternFill>
      </fill>
    </dxf>
    <dxf>
      <font>
        <name val="Arial"/>
        <charset val="1"/>
        <family val="0"/>
        <b val="1"/>
        <color rgb="FF344054"/>
      </font>
      <fill>
        <patternFill>
          <bgColor rgb="FFEAECF0"/>
        </patternFill>
      </fill>
    </dxf>
    <dxf>
      <font>
        <name val="Arial"/>
        <charset val="1"/>
        <family val="0"/>
        <b val="1"/>
        <color rgb="FF667085"/>
      </font>
      <fill>
        <patternFill>
          <bgColor rgb="FFEAECF0"/>
        </patternFill>
      </fill>
    </dxf>
    <dxf>
      <font>
        <name val="Arial"/>
        <charset val="1"/>
        <family val="0"/>
        <color rgb="FF1849A9"/>
      </font>
      <fill>
        <patternFill>
          <bgColor rgb="FFD1E9FF"/>
        </patternFill>
      </fill>
    </dxf>
    <dxf>
      <font>
        <name val="Arial"/>
        <charset val="1"/>
        <family val="0"/>
        <color rgb="FF344054"/>
      </font>
      <fill>
        <patternFill>
          <bgColor rgb="FFEAECF0"/>
        </patternFill>
      </fill>
    </dxf>
    <dxf>
      <font>
        <name val="Arial"/>
        <charset val="1"/>
        <family val="0"/>
        <color rgb="FF667085"/>
      </font>
      <fill>
        <patternFill>
          <bgColor rgb="FFEAECF0"/>
        </patternFill>
      </fill>
    </dxf>
    <dxf>
      <font>
        <name val="Arial"/>
        <charset val="1"/>
        <family val="0"/>
        <b val="1"/>
        <color rgb="FFB42318"/>
      </font>
    </dxf>
    <dxf>
      <font>
        <name val="Arial"/>
        <charset val="1"/>
        <family val="0"/>
        <b val="1"/>
        <color rgb="FF05603A"/>
      </font>
    </dxf>
    <dxf>
      <font>
        <name val="Arial"/>
        <charset val="1"/>
        <family val="0"/>
        <color rgb="FFBFC5CF"/>
      </font>
      <fill>
        <patternFill>
          <bgColor rgb="FFF9FAFB"/>
        </patternFill>
      </fill>
    </dxf>
    <dxf>
      <fill>
        <patternFill>
          <bgColor rgb="FFFFF7D6"/>
        </patternFill>
      </fill>
    </dxf>
    <dxf>
      <fill>
        <patternFill>
          <bgColor rgb="FFFDE7D9"/>
        </patternFill>
      </fill>
    </dxf>
    <dxf>
      <fill>
        <patternFill>
          <bgColor rgb="FFE8F1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EF0C7"/>
      <rgbColor rgb="FFFF00FF"/>
      <rgbColor rgb="FF00FFFF"/>
      <rgbColor rgb="FF800000"/>
      <rgbColor rgb="FF05603A"/>
      <rgbColor rgb="FF000080"/>
      <rgbColor rgb="FFC47F17"/>
      <rgbColor rgb="FF7A4FA0"/>
      <rgbColor rgb="FF008080"/>
      <rgbColor rgb="FFBFC5CF"/>
      <rgbColor rgb="FF667085"/>
      <rgbColor rgb="FF9999FF"/>
      <rgbColor rgb="FFB54848"/>
      <rgbColor rgb="FFFFF7D6"/>
      <rgbColor rgb="FFD1E9FF"/>
      <rgbColor rgb="FF660066"/>
      <rgbColor rgb="FFFF8080"/>
      <rgbColor rgb="FF0066CC"/>
      <rgbColor rgb="FFD0D5DD"/>
      <rgbColor rgb="FF000080"/>
      <rgbColor rgb="FFFF00FF"/>
      <rgbColor rgb="FFF2F4F7"/>
      <rgbColor rgb="FF00FFFF"/>
      <rgbColor rgb="FF800080"/>
      <rgbColor rgb="FF800000"/>
      <rgbColor rgb="FF008080"/>
      <rgbColor rgb="FF0000FF"/>
      <rgbColor rgb="FF00CCFF"/>
      <rgbColor rgb="FFE8F1FB"/>
      <rgbColor rgb="FFD1FADF"/>
      <rgbColor rgb="FFFFF59D"/>
      <rgbColor rgb="FFEAECF0"/>
      <rgbColor rgb="FFFEE4E2"/>
      <rgbColor rgb="FFFDE7D9"/>
      <rgbColor rgb="FFFDDCAB"/>
      <rgbColor rgb="FF3F7CAC"/>
      <rgbColor rgb="FF33CCCC"/>
      <rgbColor rgb="FF99CC00"/>
      <rgbColor rgb="FFF9FAFB"/>
      <rgbColor rgb="FFFFB020"/>
      <rgbColor rgb="FFB93815"/>
      <rgbColor rgb="FF5B6B8C"/>
      <rgbColor rgb="FF98A2B3"/>
      <rgbColor rgb="FF475467"/>
      <rgbColor rgb="FF2E8B7A"/>
      <rgbColor rgb="FF003300"/>
      <rgbColor rgb="FF344054"/>
      <rgbColor rgb="FF93370D"/>
      <rgbColor rgb="FFB42318"/>
      <rgbColor rgb="FF1849A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020"/>
    <pageSetUpPr fitToPage="false"/>
  </sheetPr>
  <dimension ref="B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2.05" hidden="false" customHeight="false" outlineLevel="0" collapsed="false">
      <c r="B1" s="1" t="s">
        <v>0</v>
      </c>
    </row>
    <row r="2" customFormat="false" ht="31.5" hidden="false" customHeight="true" outlineLevel="0" collapsed="false">
      <c r="B2" s="2" t="s">
        <v>1</v>
      </c>
      <c r="C2" s="2"/>
    </row>
    <row r="4" customFormat="false" ht="16.15" hidden="false" customHeight="false" outlineLevel="0" collapsed="false">
      <c r="B4" s="3" t="s">
        <v>2</v>
      </c>
      <c r="C4" s="4"/>
    </row>
    <row r="5" customFormat="false" ht="15" hidden="false" customHeight="false" outlineLevel="0" collapsed="false">
      <c r="B5" s="5" t="s">
        <v>3</v>
      </c>
      <c r="C5" s="6" t="s">
        <v>4</v>
      </c>
    </row>
    <row r="6" customFormat="false" ht="15" hidden="false" customHeight="false" outlineLevel="0" collapsed="false">
      <c r="B6" s="5" t="s">
        <v>5</v>
      </c>
      <c r="C6" s="6" t="s">
        <v>6</v>
      </c>
    </row>
    <row r="7" customFormat="false" ht="15" hidden="false" customHeight="false" outlineLevel="0" collapsed="false">
      <c r="B7" s="5" t="s">
        <v>7</v>
      </c>
      <c r="C7" s="6" t="s">
        <v>8</v>
      </c>
    </row>
    <row r="8" customFormat="false" ht="15" hidden="false" customHeight="false" outlineLevel="0" collapsed="false">
      <c r="B8" s="5" t="s">
        <v>9</v>
      </c>
      <c r="C8" s="6" t="s">
        <v>10</v>
      </c>
    </row>
    <row r="9" customFormat="false" ht="15" hidden="false" customHeight="false" outlineLevel="0" collapsed="false">
      <c r="B9" s="5" t="s">
        <v>11</v>
      </c>
      <c r="C9" s="6" t="s">
        <v>12</v>
      </c>
    </row>
    <row r="10" customFormat="false" ht="15" hidden="false" customHeight="false" outlineLevel="0" collapsed="false">
      <c r="B10" s="5" t="s">
        <v>13</v>
      </c>
      <c r="C10" s="6" t="s">
        <v>14</v>
      </c>
    </row>
    <row r="11" customFormat="false" ht="15" hidden="false" customHeight="false" outlineLevel="0" collapsed="false">
      <c r="B11" s="5" t="s">
        <v>15</v>
      </c>
      <c r="C11" s="6" t="s">
        <v>16</v>
      </c>
    </row>
    <row r="12" customFormat="false" ht="15" hidden="false" customHeight="false" outlineLevel="0" collapsed="false">
      <c r="B12" s="5" t="s">
        <v>17</v>
      </c>
      <c r="C12" s="6" t="s">
        <v>18</v>
      </c>
    </row>
    <row r="13" customFormat="false" ht="15" hidden="false" customHeight="false" outlineLevel="0" collapsed="false">
      <c r="B13" s="5" t="s">
        <v>19</v>
      </c>
      <c r="C13" s="6" t="s">
        <v>20</v>
      </c>
    </row>
    <row r="15" customFormat="false" ht="16.15" hidden="false" customHeight="false" outlineLevel="0" collapsed="false">
      <c r="B15" s="3" t="s">
        <v>21</v>
      </c>
      <c r="C15" s="4"/>
    </row>
    <row r="16" customFormat="false" ht="23.85" hidden="false" customHeight="false" outlineLevel="0" collapsed="false">
      <c r="B16" s="5" t="s">
        <v>22</v>
      </c>
      <c r="C16" s="6" t="s">
        <v>23</v>
      </c>
    </row>
    <row r="17" customFormat="false" ht="15" hidden="false" customHeight="false" outlineLevel="0" collapsed="false">
      <c r="B17" s="5" t="s">
        <v>24</v>
      </c>
      <c r="C17" s="6" t="s">
        <v>25</v>
      </c>
    </row>
    <row r="18" customFormat="false" ht="15" hidden="false" customHeight="false" outlineLevel="0" collapsed="false">
      <c r="B18" s="5" t="s">
        <v>26</v>
      </c>
      <c r="C18" s="6" t="s">
        <v>27</v>
      </c>
    </row>
    <row r="19" customFormat="false" ht="15" hidden="false" customHeight="false" outlineLevel="0" collapsed="false">
      <c r="B19" s="5" t="s">
        <v>28</v>
      </c>
      <c r="C19" s="6" t="s">
        <v>29</v>
      </c>
    </row>
    <row r="20" customFormat="false" ht="15" hidden="false" customHeight="false" outlineLevel="0" collapsed="false">
      <c r="B20" s="5" t="s">
        <v>30</v>
      </c>
      <c r="C20" s="6" t="s">
        <v>31</v>
      </c>
    </row>
    <row r="21" customFormat="false" ht="15" hidden="false" customHeight="false" outlineLevel="0" collapsed="false">
      <c r="B21" s="5" t="s">
        <v>32</v>
      </c>
      <c r="C21" s="6" t="s">
        <v>33</v>
      </c>
    </row>
    <row r="23" customFormat="false" ht="16.15" hidden="false" customHeight="false" outlineLevel="0" collapsed="false">
      <c r="B23" s="3" t="s">
        <v>34</v>
      </c>
      <c r="C23" s="4"/>
    </row>
    <row r="24" customFormat="false" ht="15" hidden="false" customHeight="false" outlineLevel="0" collapsed="false">
      <c r="B24" s="7" t="s">
        <v>35</v>
      </c>
      <c r="C24" s="6" t="s">
        <v>36</v>
      </c>
    </row>
    <row r="25" customFormat="false" ht="15" hidden="false" customHeight="false" outlineLevel="0" collapsed="false">
      <c r="B25" s="8" t="s">
        <v>37</v>
      </c>
      <c r="C25" s="6" t="s">
        <v>38</v>
      </c>
    </row>
    <row r="26" customFormat="false" ht="15" hidden="false" customHeight="false" outlineLevel="0" collapsed="false">
      <c r="B26" s="9" t="s">
        <v>39</v>
      </c>
      <c r="C26" s="6" t="s">
        <v>40</v>
      </c>
    </row>
    <row r="27" customFormat="false" ht="15" hidden="false" customHeight="false" outlineLevel="0" collapsed="false">
      <c r="B27" s="10" t="s">
        <v>41</v>
      </c>
      <c r="C27" s="6" t="s">
        <v>42</v>
      </c>
    </row>
    <row r="28" customFormat="false" ht="23.85" hidden="false" customHeight="false" outlineLevel="0" collapsed="false">
      <c r="B28" s="5" t="s">
        <v>43</v>
      </c>
      <c r="C28" s="6" t="s">
        <v>44</v>
      </c>
    </row>
    <row r="30" customFormat="false" ht="16.15" hidden="false" customHeight="false" outlineLevel="0" collapsed="false">
      <c r="B30" s="3" t="s">
        <v>45</v>
      </c>
      <c r="C30" s="4"/>
    </row>
    <row r="31" customFormat="false" ht="15" hidden="false" customHeight="false" outlineLevel="0" collapsed="false">
      <c r="B31" s="5" t="s">
        <v>46</v>
      </c>
      <c r="C31" s="6" t="s">
        <v>47</v>
      </c>
    </row>
    <row r="32" customFormat="false" ht="15" hidden="false" customHeight="false" outlineLevel="0" collapsed="false">
      <c r="B32" s="5" t="s">
        <v>48</v>
      </c>
      <c r="C32" s="6" t="s">
        <v>49</v>
      </c>
    </row>
    <row r="33" customFormat="false" ht="15" hidden="false" customHeight="false" outlineLevel="0" collapsed="false">
      <c r="B33" s="5" t="s">
        <v>50</v>
      </c>
      <c r="C33" s="6" t="s">
        <v>51</v>
      </c>
    </row>
    <row r="34" customFormat="false" ht="15" hidden="false" customHeight="false" outlineLevel="0" collapsed="false">
      <c r="B34" s="5" t="s">
        <v>52</v>
      </c>
      <c r="C34" s="6" t="s">
        <v>53</v>
      </c>
    </row>
    <row r="36" customFormat="false" ht="16.15" hidden="false" customHeight="false" outlineLevel="0" collapsed="false">
      <c r="B36" s="3" t="s">
        <v>54</v>
      </c>
      <c r="C36" s="4"/>
    </row>
    <row r="37" customFormat="false" ht="23.85" hidden="false" customHeight="false" outlineLevel="0" collapsed="false">
      <c r="B37" s="5" t="s">
        <v>55</v>
      </c>
      <c r="C37" s="6" t="s">
        <v>56</v>
      </c>
    </row>
    <row r="38" customFormat="false" ht="23.85" hidden="false" customHeight="false" outlineLevel="0" collapsed="false">
      <c r="B38" s="5" t="s">
        <v>57</v>
      </c>
      <c r="C38" s="6" t="s">
        <v>58</v>
      </c>
    </row>
    <row r="39" customFormat="false" ht="23.85" hidden="false" customHeight="false" outlineLevel="0" collapsed="false">
      <c r="B39" s="5" t="s">
        <v>59</v>
      </c>
      <c r="C39" s="6" t="s">
        <v>60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AS50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32"/>
    <col collapsed="false" customWidth="true" hidden="false" outlineLevel="0" max="8" min="8" style="0" width="36"/>
    <col collapsed="false" customWidth="true" hidden="false" outlineLevel="0" max="9" min="9" style="0" width="24"/>
    <col collapsed="false" customWidth="true" hidden="false" outlineLevel="0" max="10" min="10" style="0" width="9"/>
    <col collapsed="false" customWidth="true" hidden="false" outlineLevel="0" max="11" min="11" style="0" width="24"/>
    <col collapsed="false" customWidth="true" hidden="false" outlineLevel="0" max="12" min="12" style="0" width="30"/>
    <col collapsed="false" customWidth="true" hidden="false" outlineLevel="0" max="13" min="13" style="0" width="26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13"/>
    <col collapsed="false" customWidth="true" hidden="false" outlineLevel="0" max="21" min="21" style="0" width="22"/>
    <col collapsed="false" customWidth="true" hidden="false" outlineLevel="0" max="22" min="22" style="0" width="16"/>
    <col collapsed="false" customWidth="true" hidden="false" outlineLevel="0" max="23" min="23" style="0" width="22"/>
    <col collapsed="false" customWidth="true" hidden="false" outlineLevel="0" max="24" min="24" style="0" width="26"/>
    <col collapsed="false" customWidth="true" hidden="false" outlineLevel="0" max="25" min="25" style="0" width="12"/>
    <col collapsed="false" customWidth="true" hidden="false" outlineLevel="0" max="28" min="26" style="0" width="9"/>
    <col collapsed="false" customWidth="true" hidden="false" outlineLevel="0" max="29" min="29" style="0" width="11"/>
    <col collapsed="false" customWidth="true" hidden="false" outlineLevel="0" max="30" min="30" style="0" width="9"/>
    <col collapsed="false" customWidth="true" hidden="false" outlineLevel="0" max="31" min="31" style="0" width="13"/>
    <col collapsed="false" customWidth="true" hidden="false" outlineLevel="0" max="32" min="32" style="0" width="12"/>
    <col collapsed="false" customWidth="true" hidden="false" outlineLevel="0" max="33" min="33" style="0" width="24"/>
    <col collapsed="false" customWidth="true" hidden="false" outlineLevel="0" max="34" min="34" style="0" width="9"/>
    <col collapsed="false" customWidth="true" hidden="false" outlineLevel="0" max="35" min="35" style="0" width="13"/>
    <col collapsed="false" customWidth="true" hidden="false" outlineLevel="0" max="37" min="36" style="0" width="10"/>
    <col collapsed="false" customWidth="true" hidden="false" outlineLevel="0" max="38" min="38" style="0" width="11"/>
    <col collapsed="false" customWidth="true" hidden="false" outlineLevel="0" max="39" min="39" style="0" width="10"/>
    <col collapsed="false" customWidth="true" hidden="false" outlineLevel="0" max="40" min="40" style="0" width="11"/>
    <col collapsed="false" customWidth="true" hidden="false" outlineLevel="0" max="41" min="41" style="0" width="32"/>
    <col collapsed="false" customWidth="true" hidden="false" outlineLevel="0" max="42" min="42" style="0" width="12"/>
    <col collapsed="false" customWidth="true" hidden="false" outlineLevel="0" max="43" min="43" style="0" width="16"/>
    <col collapsed="false" customWidth="true" hidden="false" outlineLevel="0" max="44" min="44" style="0" width="12"/>
    <col collapsed="false" customWidth="true" hidden="true" outlineLevel="0" max="45" min="45" style="0" width="6"/>
  </cols>
  <sheetData>
    <row r="1" customFormat="false" ht="19.7" hidden="false" customHeight="false" outlineLevel="0" collapsed="false">
      <c r="A1" s="11" t="s">
        <v>61</v>
      </c>
    </row>
    <row r="2" customFormat="false" ht="15" hidden="false" customHeight="false" outlineLevel="0" collapsed="false">
      <c r="A2" s="12" t="s">
        <v>62</v>
      </c>
    </row>
    <row r="3" customFormat="false" ht="15" hidden="false" customHeight="true" outlineLevel="0" collapsed="false">
      <c r="A3" s="13" t="s">
        <v>63</v>
      </c>
      <c r="B3" s="13"/>
      <c r="C3" s="13"/>
      <c r="D3" s="13"/>
      <c r="E3" s="13"/>
      <c r="F3" s="13"/>
      <c r="G3" s="14" t="s">
        <v>64</v>
      </c>
      <c r="H3" s="14"/>
      <c r="I3" s="14"/>
      <c r="J3" s="14"/>
      <c r="K3" s="15" t="s">
        <v>65</v>
      </c>
      <c r="L3" s="15"/>
      <c r="M3" s="15"/>
      <c r="N3" s="15"/>
      <c r="O3" s="16" t="s">
        <v>66</v>
      </c>
      <c r="P3" s="16"/>
      <c r="Q3" s="16"/>
      <c r="R3" s="16"/>
      <c r="S3" s="16"/>
      <c r="T3" s="16"/>
      <c r="U3" s="17" t="s">
        <v>67</v>
      </c>
      <c r="V3" s="17"/>
      <c r="W3" s="17"/>
      <c r="X3" s="17"/>
      <c r="Y3" s="18" t="s">
        <v>68</v>
      </c>
      <c r="Z3" s="18"/>
      <c r="AA3" s="18"/>
      <c r="AB3" s="18"/>
      <c r="AC3" s="18"/>
      <c r="AD3" s="18"/>
      <c r="AE3" s="18"/>
      <c r="AF3" s="18"/>
      <c r="AG3" s="18"/>
      <c r="AH3" s="18"/>
      <c r="AI3" s="19" t="s">
        <v>69</v>
      </c>
      <c r="AJ3" s="19"/>
      <c r="AK3" s="19"/>
      <c r="AL3" s="19"/>
      <c r="AM3" s="19"/>
      <c r="AN3" s="19"/>
      <c r="AO3" s="20" t="s">
        <v>70</v>
      </c>
      <c r="AP3" s="20"/>
      <c r="AQ3" s="20"/>
      <c r="AR3" s="21" t="s">
        <v>71</v>
      </c>
      <c r="AS3" s="21"/>
    </row>
    <row r="4" customFormat="false" ht="42" hidden="false" customHeight="true" outlineLevel="0" collapsed="false">
      <c r="A4" s="22" t="s">
        <v>72</v>
      </c>
      <c r="B4" s="22" t="s">
        <v>73</v>
      </c>
      <c r="C4" s="22" t="s">
        <v>74</v>
      </c>
      <c r="D4" s="22" t="s">
        <v>75</v>
      </c>
      <c r="E4" s="22" t="s">
        <v>76</v>
      </c>
      <c r="F4" s="22" t="s">
        <v>77</v>
      </c>
      <c r="G4" s="22" t="s">
        <v>78</v>
      </c>
      <c r="H4" s="22" t="s">
        <v>79</v>
      </c>
      <c r="I4" s="22" t="s">
        <v>80</v>
      </c>
      <c r="J4" s="22" t="s">
        <v>81</v>
      </c>
      <c r="K4" s="22" t="s">
        <v>82</v>
      </c>
      <c r="L4" s="22" t="s">
        <v>83</v>
      </c>
      <c r="M4" s="22" t="s">
        <v>84</v>
      </c>
      <c r="N4" s="22" t="s">
        <v>85</v>
      </c>
      <c r="O4" s="22" t="s">
        <v>86</v>
      </c>
      <c r="P4" s="22" t="s">
        <v>87</v>
      </c>
      <c r="Q4" s="22" t="s">
        <v>88</v>
      </c>
      <c r="R4" s="22" t="s">
        <v>89</v>
      </c>
      <c r="S4" s="22" t="s">
        <v>90</v>
      </c>
      <c r="T4" s="22" t="s">
        <v>91</v>
      </c>
      <c r="U4" s="22" t="s">
        <v>92</v>
      </c>
      <c r="V4" s="22" t="s">
        <v>93</v>
      </c>
      <c r="W4" s="22" t="s">
        <v>94</v>
      </c>
      <c r="X4" s="22" t="s">
        <v>95</v>
      </c>
      <c r="Y4" s="22" t="s">
        <v>96</v>
      </c>
      <c r="Z4" s="22" t="s">
        <v>97</v>
      </c>
      <c r="AA4" s="22" t="s">
        <v>98</v>
      </c>
      <c r="AB4" s="22" t="s">
        <v>99</v>
      </c>
      <c r="AC4" s="22" t="s">
        <v>100</v>
      </c>
      <c r="AD4" s="22" t="s">
        <v>101</v>
      </c>
      <c r="AE4" s="22" t="s">
        <v>102</v>
      </c>
      <c r="AF4" s="22" t="s">
        <v>103</v>
      </c>
      <c r="AG4" s="22" t="s">
        <v>52</v>
      </c>
      <c r="AH4" s="22" t="s">
        <v>104</v>
      </c>
      <c r="AI4" s="22" t="s">
        <v>105</v>
      </c>
      <c r="AJ4" s="22" t="s">
        <v>106</v>
      </c>
      <c r="AK4" s="22" t="s">
        <v>107</v>
      </c>
      <c r="AL4" s="22" t="s">
        <v>108</v>
      </c>
      <c r="AM4" s="22" t="s">
        <v>109</v>
      </c>
      <c r="AN4" s="22" t="s">
        <v>110</v>
      </c>
      <c r="AO4" s="22" t="s">
        <v>111</v>
      </c>
      <c r="AP4" s="22" t="s">
        <v>112</v>
      </c>
      <c r="AQ4" s="22" t="s">
        <v>113</v>
      </c>
      <c r="AR4" s="22" t="s">
        <v>114</v>
      </c>
      <c r="AS4" s="22" t="s">
        <v>115</v>
      </c>
    </row>
    <row r="5" customFormat="false" ht="23.85" hidden="false" customHeight="false" outlineLevel="0" collapsed="false">
      <c r="A5" s="23" t="s">
        <v>116</v>
      </c>
      <c r="B5" s="23" t="s">
        <v>117</v>
      </c>
      <c r="C5" s="23" t="s">
        <v>118</v>
      </c>
      <c r="D5" s="23" t="s">
        <v>119</v>
      </c>
      <c r="E5" s="23" t="s">
        <v>120</v>
      </c>
      <c r="F5" s="23" t="s">
        <v>121</v>
      </c>
      <c r="G5" s="6" t="s">
        <v>122</v>
      </c>
      <c r="H5" s="6" t="s">
        <v>123</v>
      </c>
      <c r="I5" s="23" t="s">
        <v>124</v>
      </c>
      <c r="J5" s="23" t="s">
        <v>125</v>
      </c>
      <c r="K5" s="23" t="s">
        <v>126</v>
      </c>
      <c r="L5" s="6" t="s">
        <v>127</v>
      </c>
      <c r="M5" s="6" t="s">
        <v>128</v>
      </c>
      <c r="N5" s="24" t="n">
        <v>4800</v>
      </c>
      <c r="O5" s="25" t="n">
        <v>46308</v>
      </c>
      <c r="P5" s="23" t="s">
        <v>129</v>
      </c>
      <c r="Q5" s="23" t="s">
        <v>130</v>
      </c>
      <c r="R5" s="23" t="s">
        <v>131</v>
      </c>
      <c r="S5" s="23" t="s">
        <v>132</v>
      </c>
      <c r="T5" s="26" t="n">
        <f aca="false">IF(OR($O5="",$D5=""),"",WORKDAY($O5,-IFERROR(VLOOKUP($D5,'Rules &amp; Guardrails'!$A$9:$D$24,3,0),10)))</f>
        <v>46294</v>
      </c>
      <c r="U5" s="23" t="s">
        <v>133</v>
      </c>
      <c r="V5" s="23" t="s">
        <v>134</v>
      </c>
      <c r="W5" s="23" t="s">
        <v>135</v>
      </c>
      <c r="X5" s="6" t="s">
        <v>136</v>
      </c>
      <c r="Y5" s="23" t="s">
        <v>137</v>
      </c>
      <c r="Z5" s="23" t="s">
        <v>138</v>
      </c>
      <c r="AA5" s="23" t="s">
        <v>138</v>
      </c>
      <c r="AB5" s="23" t="s">
        <v>138</v>
      </c>
      <c r="AC5" s="23" t="s">
        <v>139</v>
      </c>
      <c r="AD5" s="23" t="s">
        <v>138</v>
      </c>
      <c r="AE5" s="23" t="s">
        <v>140</v>
      </c>
      <c r="AF5" s="27" t="str">
        <f aca="true">IF($O5="","",IF(OR($AE5="Cancelled",$AE5="On hold",$AE5="Launched"),$AE5,IF(AND($Y5="Approved",OR($Z5="Yes",$Z5="N/A"),OR($AA5="Yes",$AA5="N/A"),OR($AB5="No",$AB5="N/A",AND($AB5="Yes",$AD5="Yes"))),"Ready",IF($O5&lt;TODAY(),"Overdue",IF($O5-TODAY()&lt;='Rules &amp; Guardrails'!$C$5,"At Risk","In Progress")))))</f>
        <v>Ready</v>
      </c>
      <c r="AG5" s="28" t="str">
        <f aca="false">IF($O5="","",IF(OR($AE5="Launched",$AE5="Cancelled"),"",MID(IF($Y5&lt;&gt;"Approved",", Content approval","")&amp;IF(NOT(OR($Z5="Yes",$Z5="N/A")),", Assets","")&amp;IF(NOT(OR($AA5="Yes",$AA5="N/A")),", List","")&amp;IF($AB5="",", Ops decision",IF(AND($AB5="Yes",$AD5&lt;&gt;"Yes"),", Ops",""))&amp;IF($U5="",", Owner","")&amp;IF($K5="",", Segment",""),3,200)))</f>
        <v/>
      </c>
      <c r="AH5" s="29" t="n">
        <f aca="true">IF($O5="","",$O5-TODAY())</f>
        <v>5</v>
      </c>
      <c r="AI5" s="26" t="n">
        <f aca="false">IF($O5="","",$O5-WEEKDAY($O5,3))</f>
        <v>46307</v>
      </c>
      <c r="AJ5" s="30" t="n">
        <f aca="false">IF($O5="","",DATE(YEAR($O5),MONTH($O5),1))</f>
        <v>46296</v>
      </c>
      <c r="AK5" s="31" t="n">
        <f aca="false">IF(OR($O5="",$K5=""),"",COUNTIFS('Comms Calendar'!$K$5:$K$504,$K5,'Comms Calendar'!$B$5:$B$504,$B5,'Comms Calendar'!$AI$5:$AI$504,$AI5,'Comms Calendar'!$AE$5:$AE$504,"&lt;&gt;Cancelled"))</f>
        <v>3</v>
      </c>
      <c r="AL5" s="27" t="str">
        <f aca="false">IF($AK5="","",IF($AK5&gt;'Rules &amp; Guardrails'!$C$3,"Over cap","OK"))</f>
        <v>Over cap</v>
      </c>
      <c r="AM5" s="27" t="str">
        <f aca="false">IF(OR($O5="",$K5=""),"",IF(COUNTIFS('Comms Calendar'!$K$5:$K$504,$K5,'Comms Calendar'!$B$5:$B$504,$B5,'Comms Calendar'!$O$5:$O$504,$O5,'Comms Calendar'!$AE$5:$AE$504,"&lt;&gt;Cancelled")&gt;1,"Clash",""))</f>
        <v>Clash</v>
      </c>
      <c r="AN5" s="27" t="str">
        <f aca="false">IF($O5="","",IF(IF($B5="Global",COUNTIF('Rules &amp; Guardrails'!$F$9:$F$60,$O5),COUNTIFS('Rules &amp; Guardrails'!$F$9:$F$60,$O5,'Rules &amp; Guardrails'!$G$9:$G$60,$B5)+COUNTIFS('Rules &amp; Guardrails'!$F$9:$F$60,$O5,'Rules &amp; Guardrails'!$G$9:$G$60,"Global"))&gt;0,"Blackout",""))</f>
        <v/>
      </c>
      <c r="AO5" s="6" t="s">
        <v>141</v>
      </c>
      <c r="AP5" s="25" t="n">
        <v>46303</v>
      </c>
      <c r="AQ5" s="23" t="s">
        <v>142</v>
      </c>
      <c r="AR5" s="31" t="str">
        <f aca="false">IF($D5="","",IFERROR(VLOOKUP($D5,'Rules &amp; Guardrails'!$A$9:$D$24,2,0),"Other"))</f>
        <v>Email</v>
      </c>
      <c r="AS5" s="31" t="str">
        <f aca="false">IF($O5="","",$O5&amp;"|"&amp;$B5)</f>
        <v>46308|AMER</v>
      </c>
    </row>
    <row r="6" customFormat="false" ht="35.05" hidden="false" customHeight="false" outlineLevel="0" collapsed="false">
      <c r="A6" s="23" t="s">
        <v>143</v>
      </c>
      <c r="B6" s="23" t="s">
        <v>117</v>
      </c>
      <c r="C6" s="23" t="s">
        <v>118</v>
      </c>
      <c r="D6" s="23" t="s">
        <v>144</v>
      </c>
      <c r="E6" s="23" t="s">
        <v>120</v>
      </c>
      <c r="F6" s="23" t="s">
        <v>145</v>
      </c>
      <c r="G6" s="6" t="s">
        <v>146</v>
      </c>
      <c r="H6" s="6" t="s">
        <v>147</v>
      </c>
      <c r="I6" s="23" t="s">
        <v>148</v>
      </c>
      <c r="J6" s="23" t="s">
        <v>125</v>
      </c>
      <c r="K6" s="23" t="s">
        <v>126</v>
      </c>
      <c r="L6" s="6" t="s">
        <v>149</v>
      </c>
      <c r="M6" s="6" t="s">
        <v>150</v>
      </c>
      <c r="N6" s="24" t="n">
        <v>5200</v>
      </c>
      <c r="O6" s="25" t="n">
        <v>46308</v>
      </c>
      <c r="P6" s="23" t="s">
        <v>151</v>
      </c>
      <c r="Q6" s="23" t="s">
        <v>130</v>
      </c>
      <c r="R6" s="23" t="s">
        <v>152</v>
      </c>
      <c r="S6" s="23"/>
      <c r="T6" s="26" t="n">
        <f aca="false">IF(OR($O6="",$D6=""),"",WORKDAY($O6,-IFERROR(VLOOKUP($D6,'Rules &amp; Guardrails'!$A$9:$D$24,3,0),10)))</f>
        <v>46287</v>
      </c>
      <c r="U6" s="23" t="s">
        <v>153</v>
      </c>
      <c r="V6" s="23" t="s">
        <v>153</v>
      </c>
      <c r="W6" s="23" t="s">
        <v>133</v>
      </c>
      <c r="X6" s="6" t="s">
        <v>154</v>
      </c>
      <c r="Y6" s="23" t="s">
        <v>155</v>
      </c>
      <c r="Z6" s="23" t="s">
        <v>138</v>
      </c>
      <c r="AA6" s="23" t="s">
        <v>156</v>
      </c>
      <c r="AB6" s="23" t="s">
        <v>138</v>
      </c>
      <c r="AC6" s="23" t="s">
        <v>157</v>
      </c>
      <c r="AD6" s="23" t="s">
        <v>156</v>
      </c>
      <c r="AE6" s="23" t="s">
        <v>158</v>
      </c>
      <c r="AF6" s="27" t="str">
        <f aca="true">IF($O6="","",IF(OR($AE6="Cancelled",$AE6="On hold",$AE6="Launched"),$AE6,IF(AND($Y6="Approved",OR($Z6="Yes",$Z6="N/A"),OR($AA6="Yes",$AA6="N/A"),OR($AB6="No",$AB6="N/A",AND($AB6="Yes",$AD6="Yes"))),"Ready",IF($O6&lt;TODAY(),"Overdue",IF($O6-TODAY()&lt;='Rules &amp; Guardrails'!$C$5,"At Risk","In Progress")))))</f>
        <v>At Risk</v>
      </c>
      <c r="AG6" s="28" t="str">
        <f aca="false">IF($O6="","",IF(OR($AE6="Launched",$AE6="Cancelled"),"",MID(IF($Y6&lt;&gt;"Approved",", Content approval","")&amp;IF(NOT(OR($Z6="Yes",$Z6="N/A")),", Assets","")&amp;IF(NOT(OR($AA6="Yes",$AA6="N/A")),", List","")&amp;IF($AB6="",", Ops decision",IF(AND($AB6="Yes",$AD6&lt;&gt;"Yes"),", Ops",""))&amp;IF($U6="",", Owner","")&amp;IF($K6="",", Segment",""),3,200)))</f>
        <v>Content approval, List, Ops</v>
      </c>
      <c r="AH6" s="29" t="n">
        <f aca="true">IF($O6="","",$O6-TODAY())</f>
        <v>5</v>
      </c>
      <c r="AI6" s="26" t="n">
        <f aca="false">IF($O6="","",$O6-WEEKDAY($O6,3))</f>
        <v>46307</v>
      </c>
      <c r="AJ6" s="30" t="n">
        <f aca="false">IF($O6="","",DATE(YEAR($O6),MONTH($O6),1))</f>
        <v>46296</v>
      </c>
      <c r="AK6" s="31" t="n">
        <f aca="false">IF(OR($O6="",$K6=""),"",COUNTIFS('Comms Calendar'!$K$5:$K$504,$K6,'Comms Calendar'!$B$5:$B$504,$B6,'Comms Calendar'!$AI$5:$AI$504,$AI6,'Comms Calendar'!$AE$5:$AE$504,"&lt;&gt;Cancelled"))</f>
        <v>3</v>
      </c>
      <c r="AL6" s="27" t="str">
        <f aca="false">IF($AK6="","",IF($AK6&gt;'Rules &amp; Guardrails'!$C$3,"Over cap","OK"))</f>
        <v>Over cap</v>
      </c>
      <c r="AM6" s="27" t="str">
        <f aca="false">IF(OR($O6="",$K6=""),"",IF(COUNTIFS('Comms Calendar'!$K$5:$K$504,$K6,'Comms Calendar'!$B$5:$B$504,$B6,'Comms Calendar'!$O$5:$O$504,$O6,'Comms Calendar'!$AE$5:$AE$504,"&lt;&gt;Cancelled")&gt;1,"Clash",""))</f>
        <v>Clash</v>
      </c>
      <c r="AN6" s="27" t="str">
        <f aca="false">IF($O6="","",IF(IF($B6="Global",COUNTIF('Rules &amp; Guardrails'!$F$9:$F$60,$O6),COUNTIFS('Rules &amp; Guardrails'!$F$9:$F$60,$O6,'Rules &amp; Guardrails'!$G$9:$G$60,$B6)+COUNTIFS('Rules &amp; Guardrails'!$F$9:$F$60,$O6,'Rules &amp; Guardrails'!$G$9:$G$60,"Global"))&gt;0,"Blackout",""))</f>
        <v/>
      </c>
      <c r="AO6" s="6" t="s">
        <v>159</v>
      </c>
      <c r="AP6" s="25" t="n">
        <v>46303</v>
      </c>
      <c r="AQ6" s="23" t="s">
        <v>142</v>
      </c>
      <c r="AR6" s="31" t="str">
        <f aca="false">IF($D6="","",IFERROR(VLOOKUP($D6,'Rules &amp; Guardrails'!$A$9:$D$24,2,0),"Other"))</f>
        <v>Email</v>
      </c>
      <c r="AS6" s="31" t="str">
        <f aca="false">IF($O6="","",$O6&amp;"|"&amp;$B6)</f>
        <v>46308|AMER</v>
      </c>
    </row>
    <row r="7" customFormat="false" ht="23.85" hidden="false" customHeight="false" outlineLevel="0" collapsed="false">
      <c r="A7" s="23" t="s">
        <v>160</v>
      </c>
      <c r="B7" s="23" t="s">
        <v>117</v>
      </c>
      <c r="C7" s="23" t="s">
        <v>118</v>
      </c>
      <c r="D7" s="23" t="s">
        <v>119</v>
      </c>
      <c r="E7" s="23" t="s">
        <v>120</v>
      </c>
      <c r="F7" s="23" t="s">
        <v>121</v>
      </c>
      <c r="G7" s="6" t="s">
        <v>161</v>
      </c>
      <c r="H7" s="6" t="s">
        <v>162</v>
      </c>
      <c r="I7" s="23" t="s">
        <v>124</v>
      </c>
      <c r="J7" s="23" t="s">
        <v>125</v>
      </c>
      <c r="K7" s="23" t="s">
        <v>126</v>
      </c>
      <c r="L7" s="6" t="s">
        <v>127</v>
      </c>
      <c r="M7" s="6" t="s">
        <v>163</v>
      </c>
      <c r="N7" s="24" t="n">
        <v>4500</v>
      </c>
      <c r="O7" s="25" t="n">
        <v>46310</v>
      </c>
      <c r="P7" s="23" t="s">
        <v>129</v>
      </c>
      <c r="Q7" s="23" t="s">
        <v>130</v>
      </c>
      <c r="R7" s="23" t="s">
        <v>131</v>
      </c>
      <c r="S7" s="23" t="s">
        <v>164</v>
      </c>
      <c r="T7" s="26" t="n">
        <f aca="false">IF(OR($O7="",$D7=""),"",WORKDAY($O7,-IFERROR(VLOOKUP($D7,'Rules &amp; Guardrails'!$A$9:$D$24,3,0),10)))</f>
        <v>46296</v>
      </c>
      <c r="U7" s="23" t="s">
        <v>133</v>
      </c>
      <c r="V7" s="23" t="s">
        <v>134</v>
      </c>
      <c r="W7" s="23" t="s">
        <v>135</v>
      </c>
      <c r="X7" s="6"/>
      <c r="Y7" s="23" t="s">
        <v>137</v>
      </c>
      <c r="Z7" s="23" t="s">
        <v>138</v>
      </c>
      <c r="AA7" s="23" t="s">
        <v>138</v>
      </c>
      <c r="AB7" s="23" t="s">
        <v>138</v>
      </c>
      <c r="AC7" s="23" t="s">
        <v>139</v>
      </c>
      <c r="AD7" s="23" t="s">
        <v>138</v>
      </c>
      <c r="AE7" s="23" t="s">
        <v>140</v>
      </c>
      <c r="AF7" s="27" t="str">
        <f aca="true">IF($O7="","",IF(OR($AE7="Cancelled",$AE7="On hold",$AE7="Launched"),$AE7,IF(AND($Y7="Approved",OR($Z7="Yes",$Z7="N/A"),OR($AA7="Yes",$AA7="N/A"),OR($AB7="No",$AB7="N/A",AND($AB7="Yes",$AD7="Yes"))),"Ready",IF($O7&lt;TODAY(),"Overdue",IF($O7-TODAY()&lt;='Rules &amp; Guardrails'!$C$5,"At Risk","In Progress")))))</f>
        <v>Ready</v>
      </c>
      <c r="AG7" s="28" t="str">
        <f aca="false">IF($O7="","",IF(OR($AE7="Launched",$AE7="Cancelled"),"",MID(IF($Y7&lt;&gt;"Approved",", Content approval","")&amp;IF(NOT(OR($Z7="Yes",$Z7="N/A")),", Assets","")&amp;IF(NOT(OR($AA7="Yes",$AA7="N/A")),", List","")&amp;IF($AB7="",", Ops decision",IF(AND($AB7="Yes",$AD7&lt;&gt;"Yes"),", Ops",""))&amp;IF($U7="",", Owner","")&amp;IF($K7="",", Segment",""),3,200)))</f>
        <v/>
      </c>
      <c r="AH7" s="29" t="n">
        <f aca="true">IF($O7="","",$O7-TODAY())</f>
        <v>7</v>
      </c>
      <c r="AI7" s="26" t="n">
        <f aca="false">IF($O7="","",$O7-WEEKDAY($O7,3))</f>
        <v>46307</v>
      </c>
      <c r="AJ7" s="30" t="n">
        <f aca="false">IF($O7="","",DATE(YEAR($O7),MONTH($O7),1))</f>
        <v>46296</v>
      </c>
      <c r="AK7" s="31" t="n">
        <f aca="false">IF(OR($O7="",$K7=""),"",COUNTIFS('Comms Calendar'!$K$5:$K$504,$K7,'Comms Calendar'!$B$5:$B$504,$B7,'Comms Calendar'!$AI$5:$AI$504,$AI7,'Comms Calendar'!$AE$5:$AE$504,"&lt;&gt;Cancelled"))</f>
        <v>3</v>
      </c>
      <c r="AL7" s="27" t="str">
        <f aca="false">IF($AK7="","",IF($AK7&gt;'Rules &amp; Guardrails'!$C$3,"Over cap","OK"))</f>
        <v>Over cap</v>
      </c>
      <c r="AM7" s="27" t="str">
        <f aca="false">IF(OR($O7="",$K7=""),"",IF(COUNTIFS('Comms Calendar'!$K$5:$K$504,$K7,'Comms Calendar'!$B$5:$B$504,$B7,'Comms Calendar'!$O$5:$O$504,$O7,'Comms Calendar'!$AE$5:$AE$504,"&lt;&gt;Cancelled")&gt;1,"Clash",""))</f>
        <v/>
      </c>
      <c r="AN7" s="27" t="str">
        <f aca="false">IF($O7="","",IF(IF($B7="Global",COUNTIF('Rules &amp; Guardrails'!$F$9:$F$60,$O7),COUNTIFS('Rules &amp; Guardrails'!$F$9:$F$60,$O7,'Rules &amp; Guardrails'!$G$9:$G$60,$B7)+COUNTIFS('Rules &amp; Guardrails'!$F$9:$F$60,$O7,'Rules &amp; Guardrails'!$G$9:$G$60,"Global"))&gt;0,"Blackout",""))</f>
        <v/>
      </c>
      <c r="AO7" s="6" t="s">
        <v>165</v>
      </c>
      <c r="AP7" s="25" t="n">
        <v>46303</v>
      </c>
      <c r="AQ7" s="23" t="s">
        <v>142</v>
      </c>
      <c r="AR7" s="31" t="str">
        <f aca="false">IF($D7="","",IFERROR(VLOOKUP($D7,'Rules &amp; Guardrails'!$A$9:$D$24,2,0),"Other"))</f>
        <v>Email</v>
      </c>
      <c r="AS7" s="31" t="str">
        <f aca="false">IF($O7="","",$O7&amp;"|"&amp;$B7)</f>
        <v>46310|AMER</v>
      </c>
    </row>
    <row r="8" customFormat="false" ht="23.85" hidden="false" customHeight="false" outlineLevel="0" collapsed="false">
      <c r="A8" s="23" t="s">
        <v>166</v>
      </c>
      <c r="B8" s="23" t="s">
        <v>117</v>
      </c>
      <c r="C8" s="23" t="s">
        <v>118</v>
      </c>
      <c r="D8" s="23" t="s">
        <v>167</v>
      </c>
      <c r="E8" s="23" t="s">
        <v>120</v>
      </c>
      <c r="F8" s="23" t="s">
        <v>121</v>
      </c>
      <c r="G8" s="6" t="s">
        <v>168</v>
      </c>
      <c r="H8" s="6" t="s">
        <v>169</v>
      </c>
      <c r="I8" s="23" t="s">
        <v>170</v>
      </c>
      <c r="J8" s="23" t="s">
        <v>125</v>
      </c>
      <c r="K8" s="23" t="s">
        <v>126</v>
      </c>
      <c r="L8" s="6" t="s">
        <v>171</v>
      </c>
      <c r="M8" s="6"/>
      <c r="N8" s="24" t="n">
        <v>600</v>
      </c>
      <c r="O8" s="25" t="n">
        <v>46317</v>
      </c>
      <c r="P8" s="23" t="s">
        <v>172</v>
      </c>
      <c r="Q8" s="23" t="s">
        <v>130</v>
      </c>
      <c r="R8" s="23" t="s">
        <v>152</v>
      </c>
      <c r="S8" s="23"/>
      <c r="T8" s="26" t="n">
        <f aca="false">IF(OR($O8="",$D8=""),"",WORKDAY($O8,-IFERROR(VLOOKUP($D8,'Rules &amp; Guardrails'!$A$9:$D$24,3,0),10)))</f>
        <v>46275</v>
      </c>
      <c r="U8" s="23" t="s">
        <v>133</v>
      </c>
      <c r="V8" s="23" t="s">
        <v>173</v>
      </c>
      <c r="W8" s="23" t="s">
        <v>135</v>
      </c>
      <c r="X8" s="6" t="s">
        <v>174</v>
      </c>
      <c r="Y8" s="23" t="s">
        <v>137</v>
      </c>
      <c r="Z8" s="23" t="s">
        <v>138</v>
      </c>
      <c r="AA8" s="23" t="s">
        <v>138</v>
      </c>
      <c r="AB8" s="23" t="s">
        <v>138</v>
      </c>
      <c r="AC8" s="23" t="s">
        <v>175</v>
      </c>
      <c r="AD8" s="23" t="s">
        <v>138</v>
      </c>
      <c r="AE8" s="23" t="s">
        <v>140</v>
      </c>
      <c r="AF8" s="27" t="str">
        <f aca="true">IF($O8="","",IF(OR($AE8="Cancelled",$AE8="On hold",$AE8="Launched"),$AE8,IF(AND($Y8="Approved",OR($Z8="Yes",$Z8="N/A"),OR($AA8="Yes",$AA8="N/A"),OR($AB8="No",$AB8="N/A",AND($AB8="Yes",$AD8="Yes"))),"Ready",IF($O8&lt;TODAY(),"Overdue",IF($O8-TODAY()&lt;='Rules &amp; Guardrails'!$C$5,"At Risk","In Progress")))))</f>
        <v>Ready</v>
      </c>
      <c r="AG8" s="28" t="str">
        <f aca="false">IF($O8="","",IF(OR($AE8="Launched",$AE8="Cancelled"),"",MID(IF($Y8&lt;&gt;"Approved",", Content approval","")&amp;IF(NOT(OR($Z8="Yes",$Z8="N/A")),", Assets","")&amp;IF(NOT(OR($AA8="Yes",$AA8="N/A")),", List","")&amp;IF($AB8="",", Ops decision",IF(AND($AB8="Yes",$AD8&lt;&gt;"Yes"),", Ops",""))&amp;IF($U8="",", Owner","")&amp;IF($K8="",", Segment",""),3,200)))</f>
        <v/>
      </c>
      <c r="AH8" s="29" t="n">
        <f aca="true">IF($O8="","",$O8-TODAY())</f>
        <v>14</v>
      </c>
      <c r="AI8" s="26" t="n">
        <f aca="false">IF($O8="","",$O8-WEEKDAY($O8,3))</f>
        <v>46314</v>
      </c>
      <c r="AJ8" s="30" t="n">
        <f aca="false">IF($O8="","",DATE(YEAR($O8),MONTH($O8),1))</f>
        <v>46296</v>
      </c>
      <c r="AK8" s="31" t="n">
        <f aca="false">IF(OR($O8="",$K8=""),"",COUNTIFS('Comms Calendar'!$K$5:$K$504,$K8,'Comms Calendar'!$B$5:$B$504,$B8,'Comms Calendar'!$AI$5:$AI$504,$AI8,'Comms Calendar'!$AE$5:$AE$504,"&lt;&gt;Cancelled"))</f>
        <v>1</v>
      </c>
      <c r="AL8" s="27" t="str">
        <f aca="false">IF($AK8="","",IF($AK8&gt;'Rules &amp; Guardrails'!$C$3,"Over cap","OK"))</f>
        <v>OK</v>
      </c>
      <c r="AM8" s="27" t="str">
        <f aca="false">IF(OR($O8="",$K8=""),"",IF(COUNTIFS('Comms Calendar'!$K$5:$K$504,$K8,'Comms Calendar'!$B$5:$B$504,$B8,'Comms Calendar'!$O$5:$O$504,$O8,'Comms Calendar'!$AE$5:$AE$504,"&lt;&gt;Cancelled")&gt;1,"Clash",""))</f>
        <v/>
      </c>
      <c r="AN8" s="27" t="str">
        <f aca="false">IF($O8="","",IF(IF($B8="Global",COUNTIF('Rules &amp; Guardrails'!$F$9:$F$60,$O8),COUNTIFS('Rules &amp; Guardrails'!$F$9:$F$60,$O8,'Rules &amp; Guardrails'!$G$9:$G$60,$B8)+COUNTIFS('Rules &amp; Guardrails'!$F$9:$F$60,$O8,'Rules &amp; Guardrails'!$G$9:$G$60,"Global"))&gt;0,"Blackout",""))</f>
        <v/>
      </c>
      <c r="AO8" s="6" t="s">
        <v>176</v>
      </c>
      <c r="AP8" s="25" t="n">
        <v>46303</v>
      </c>
      <c r="AQ8" s="23" t="s">
        <v>142</v>
      </c>
      <c r="AR8" s="31" t="str">
        <f aca="false">IF($D8="","",IFERROR(VLOOKUP($D8,'Rules &amp; Guardrails'!$A$9:$D$24,2,0),"Other"))</f>
        <v>Webinar</v>
      </c>
      <c r="AS8" s="31" t="str">
        <f aca="false">IF($O8="","",$O8&amp;"|"&amp;$B8)</f>
        <v>46317|AMER</v>
      </c>
    </row>
    <row r="9" customFormat="false" ht="23.85" hidden="false" customHeight="false" outlineLevel="0" collapsed="false">
      <c r="A9" s="23" t="s">
        <v>177</v>
      </c>
      <c r="B9" s="23" t="s">
        <v>178</v>
      </c>
      <c r="C9" s="23" t="s">
        <v>179</v>
      </c>
      <c r="D9" s="23" t="s">
        <v>119</v>
      </c>
      <c r="E9" s="23" t="s">
        <v>180</v>
      </c>
      <c r="F9" s="23" t="s">
        <v>121</v>
      </c>
      <c r="G9" s="6" t="s">
        <v>181</v>
      </c>
      <c r="H9" s="6" t="s">
        <v>182</v>
      </c>
      <c r="I9" s="23" t="s">
        <v>183</v>
      </c>
      <c r="J9" s="23" t="s">
        <v>184</v>
      </c>
      <c r="K9" s="23" t="s">
        <v>185</v>
      </c>
      <c r="L9" s="6" t="s">
        <v>186</v>
      </c>
      <c r="M9" s="6" t="s">
        <v>187</v>
      </c>
      <c r="N9" s="24" t="n">
        <v>9100</v>
      </c>
      <c r="O9" s="25" t="n">
        <v>46309</v>
      </c>
      <c r="P9" s="23" t="s">
        <v>188</v>
      </c>
      <c r="Q9" s="23" t="s">
        <v>189</v>
      </c>
      <c r="R9" s="23" t="s">
        <v>131</v>
      </c>
      <c r="S9" s="23" t="s">
        <v>132</v>
      </c>
      <c r="T9" s="26" t="n">
        <f aca="false">IF(OR($O9="",$D9=""),"",WORKDAY($O9,-IFERROR(VLOOKUP($D9,'Rules &amp; Guardrails'!$A$9:$D$24,3,0),10)))</f>
        <v>46295</v>
      </c>
      <c r="U9" s="23" t="s">
        <v>190</v>
      </c>
      <c r="V9" s="23" t="s">
        <v>134</v>
      </c>
      <c r="W9" s="23" t="s">
        <v>135</v>
      </c>
      <c r="X9" s="6" t="s">
        <v>191</v>
      </c>
      <c r="Y9" s="23" t="s">
        <v>155</v>
      </c>
      <c r="Z9" s="23" t="s">
        <v>156</v>
      </c>
      <c r="AA9" s="23" t="s">
        <v>138</v>
      </c>
      <c r="AB9" s="23" t="s">
        <v>138</v>
      </c>
      <c r="AC9" s="23" t="s">
        <v>192</v>
      </c>
      <c r="AD9" s="23" t="s">
        <v>156</v>
      </c>
      <c r="AE9" s="23" t="s">
        <v>158</v>
      </c>
      <c r="AF9" s="27" t="str">
        <f aca="true">IF($O9="","",IF(OR($AE9="Cancelled",$AE9="On hold",$AE9="Launched"),$AE9,IF(AND($Y9="Approved",OR($Z9="Yes",$Z9="N/A"),OR($AA9="Yes",$AA9="N/A"),OR($AB9="No",$AB9="N/A",AND($AB9="Yes",$AD9="Yes"))),"Ready",IF($O9&lt;TODAY(),"Overdue",IF($O9-TODAY()&lt;='Rules &amp; Guardrails'!$C$5,"At Risk","In Progress")))))</f>
        <v>At Risk</v>
      </c>
      <c r="AG9" s="28" t="str">
        <f aca="false">IF($O9="","",IF(OR($AE9="Launched",$AE9="Cancelled"),"",MID(IF($Y9&lt;&gt;"Approved",", Content approval","")&amp;IF(NOT(OR($Z9="Yes",$Z9="N/A")),", Assets","")&amp;IF(NOT(OR($AA9="Yes",$AA9="N/A")),", List","")&amp;IF($AB9="",", Ops decision",IF(AND($AB9="Yes",$AD9&lt;&gt;"Yes"),", Ops",""))&amp;IF($U9="",", Owner","")&amp;IF($K9="",", Segment",""),3,200)))</f>
        <v>Content approval, Assets, Ops</v>
      </c>
      <c r="AH9" s="29" t="n">
        <f aca="true">IF($O9="","",$O9-TODAY())</f>
        <v>6</v>
      </c>
      <c r="AI9" s="26" t="n">
        <f aca="false">IF($O9="","",$O9-WEEKDAY($O9,3))</f>
        <v>46307</v>
      </c>
      <c r="AJ9" s="30" t="n">
        <f aca="false">IF($O9="","",DATE(YEAR($O9),MONTH($O9),1))</f>
        <v>46296</v>
      </c>
      <c r="AK9" s="31" t="n">
        <f aca="false">IF(OR($O9="",$K9=""),"",COUNTIFS('Comms Calendar'!$K$5:$K$504,$K9,'Comms Calendar'!$B$5:$B$504,$B9,'Comms Calendar'!$AI$5:$AI$504,$AI9,'Comms Calendar'!$AE$5:$AE$504,"&lt;&gt;Cancelled"))</f>
        <v>1</v>
      </c>
      <c r="AL9" s="27" t="str">
        <f aca="false">IF($AK9="","",IF($AK9&gt;'Rules &amp; Guardrails'!$C$3,"Over cap","OK"))</f>
        <v>OK</v>
      </c>
      <c r="AM9" s="27" t="str">
        <f aca="false">IF(OR($O9="",$K9=""),"",IF(COUNTIFS('Comms Calendar'!$K$5:$K$504,$K9,'Comms Calendar'!$B$5:$B$504,$B9,'Comms Calendar'!$O$5:$O$504,$O9,'Comms Calendar'!$AE$5:$AE$504,"&lt;&gt;Cancelled")&gt;1,"Clash",""))</f>
        <v/>
      </c>
      <c r="AN9" s="27" t="str">
        <f aca="false">IF($O9="","",IF(IF($B9="Global",COUNTIF('Rules &amp; Guardrails'!$F$9:$F$60,$O9),COUNTIFS('Rules &amp; Guardrails'!$F$9:$F$60,$O9,'Rules &amp; Guardrails'!$G$9:$G$60,$B9)+COUNTIFS('Rules &amp; Guardrails'!$F$9:$F$60,$O9,'Rules &amp; Guardrails'!$G$9:$G$60,"Global"))&gt;0,"Blackout",""))</f>
        <v/>
      </c>
      <c r="AO9" s="6" t="s">
        <v>193</v>
      </c>
      <c r="AP9" s="25" t="n">
        <v>46303</v>
      </c>
      <c r="AQ9" s="23" t="s">
        <v>142</v>
      </c>
      <c r="AR9" s="31" t="str">
        <f aca="false">IF($D9="","",IFERROR(VLOOKUP($D9,'Rules &amp; Guardrails'!$A$9:$D$24,2,0),"Other"))</f>
        <v>Email</v>
      </c>
      <c r="AS9" s="31" t="str">
        <f aca="false">IF($O9="","",$O9&amp;"|"&amp;$B9)</f>
        <v>46309|EMEA</v>
      </c>
    </row>
    <row r="10" customFormat="false" ht="23.85" hidden="false" customHeight="false" outlineLevel="0" collapsed="false">
      <c r="A10" s="23" t="s">
        <v>194</v>
      </c>
      <c r="B10" s="23" t="s">
        <v>178</v>
      </c>
      <c r="C10" s="23" t="s">
        <v>179</v>
      </c>
      <c r="D10" s="23" t="s">
        <v>167</v>
      </c>
      <c r="E10" s="23" t="s">
        <v>180</v>
      </c>
      <c r="F10" s="23" t="s">
        <v>121</v>
      </c>
      <c r="G10" s="6" t="s">
        <v>195</v>
      </c>
      <c r="H10" s="6" t="s">
        <v>196</v>
      </c>
      <c r="I10" s="23" t="s">
        <v>197</v>
      </c>
      <c r="J10" s="23" t="s">
        <v>125</v>
      </c>
      <c r="K10" s="23" t="s">
        <v>185</v>
      </c>
      <c r="L10" s="6" t="s">
        <v>171</v>
      </c>
      <c r="M10" s="6"/>
      <c r="N10" s="24" t="n">
        <v>750</v>
      </c>
      <c r="O10" s="25" t="n">
        <v>46318</v>
      </c>
      <c r="P10" s="23" t="s">
        <v>129</v>
      </c>
      <c r="Q10" s="23" t="s">
        <v>189</v>
      </c>
      <c r="R10" s="23" t="s">
        <v>152</v>
      </c>
      <c r="S10" s="23"/>
      <c r="T10" s="26" t="n">
        <f aca="false">IF(OR($O10="",$D10=""),"",WORKDAY($O10,-IFERROR(VLOOKUP($D10,'Rules &amp; Guardrails'!$A$9:$D$24,3,0),10)))</f>
        <v>46276</v>
      </c>
      <c r="U10" s="23" t="s">
        <v>190</v>
      </c>
      <c r="V10" s="23" t="s">
        <v>173</v>
      </c>
      <c r="W10" s="23" t="s">
        <v>135</v>
      </c>
      <c r="X10" s="6" t="s">
        <v>198</v>
      </c>
      <c r="Y10" s="23" t="s">
        <v>199</v>
      </c>
      <c r="Z10" s="23" t="s">
        <v>156</v>
      </c>
      <c r="AA10" s="23" t="s">
        <v>200</v>
      </c>
      <c r="AB10" s="23" t="s">
        <v>138</v>
      </c>
      <c r="AC10" s="23"/>
      <c r="AD10" s="23" t="s">
        <v>156</v>
      </c>
      <c r="AE10" s="23" t="s">
        <v>201</v>
      </c>
      <c r="AF10" s="27" t="str">
        <f aca="true">IF($O10="","",IF(OR($AE10="Cancelled",$AE10="On hold",$AE10="Launched"),$AE10,IF(AND($Y10="Approved",OR($Z10="Yes",$Z10="N/A"),OR($AA10="Yes",$AA10="N/A"),OR($AB10="No",$AB10="N/A",AND($AB10="Yes",$AD10="Yes"))),"Ready",IF($O10&lt;TODAY(),"Overdue",IF($O10-TODAY()&lt;='Rules &amp; Guardrails'!$C$5,"At Risk","In Progress")))))</f>
        <v>In Progress</v>
      </c>
      <c r="AG10" s="28" t="str">
        <f aca="false">IF($O10="","",IF(OR($AE10="Launched",$AE10="Cancelled"),"",MID(IF($Y10&lt;&gt;"Approved",", Content approval","")&amp;IF(NOT(OR($Z10="Yes",$Z10="N/A")),", Assets","")&amp;IF(NOT(OR($AA10="Yes",$AA10="N/A")),", List","")&amp;IF($AB10="",", Ops decision",IF(AND($AB10="Yes",$AD10&lt;&gt;"Yes"),", Ops",""))&amp;IF($U10="",", Owner","")&amp;IF($K10="",", Segment",""),3,200)))</f>
        <v>Content approval, Assets, Ops</v>
      </c>
      <c r="AH10" s="29" t="n">
        <f aca="true">IF($O10="","",$O10-TODAY())</f>
        <v>15</v>
      </c>
      <c r="AI10" s="26" t="n">
        <f aca="false">IF($O10="","",$O10-WEEKDAY($O10,3))</f>
        <v>46314</v>
      </c>
      <c r="AJ10" s="30" t="n">
        <f aca="false">IF($O10="","",DATE(YEAR($O10),MONTH($O10),1))</f>
        <v>46296</v>
      </c>
      <c r="AK10" s="31" t="n">
        <f aca="false">IF(OR($O10="",$K10=""),"",COUNTIFS('Comms Calendar'!$K$5:$K$504,$K10,'Comms Calendar'!$B$5:$B$504,$B10,'Comms Calendar'!$AI$5:$AI$504,$AI10,'Comms Calendar'!$AE$5:$AE$504,"&lt;&gt;Cancelled"))</f>
        <v>1</v>
      </c>
      <c r="AL10" s="27" t="str">
        <f aca="false">IF($AK10="","",IF($AK10&gt;'Rules &amp; Guardrails'!$C$3,"Over cap","OK"))</f>
        <v>OK</v>
      </c>
      <c r="AM10" s="27" t="str">
        <f aca="false">IF(OR($O10="",$K10=""),"",IF(COUNTIFS('Comms Calendar'!$K$5:$K$504,$K10,'Comms Calendar'!$B$5:$B$504,$B10,'Comms Calendar'!$O$5:$O$504,$O10,'Comms Calendar'!$AE$5:$AE$504,"&lt;&gt;Cancelled")&gt;1,"Clash",""))</f>
        <v/>
      </c>
      <c r="AN10" s="27" t="str">
        <f aca="false">IF($O10="","",IF(IF($B10="Global",COUNTIF('Rules &amp; Guardrails'!$F$9:$F$60,$O10),COUNTIFS('Rules &amp; Guardrails'!$F$9:$F$60,$O10,'Rules &amp; Guardrails'!$G$9:$G$60,$B10)+COUNTIFS('Rules &amp; Guardrails'!$F$9:$F$60,$O10,'Rules &amp; Guardrails'!$G$9:$G$60,"Global"))&gt;0,"Blackout",""))</f>
        <v/>
      </c>
      <c r="AO10" s="6" t="s">
        <v>202</v>
      </c>
      <c r="AP10" s="25" t="n">
        <v>46303</v>
      </c>
      <c r="AQ10" s="23" t="s">
        <v>142</v>
      </c>
      <c r="AR10" s="31" t="str">
        <f aca="false">IF($D10="","",IFERROR(VLOOKUP($D10,'Rules &amp; Guardrails'!$A$9:$D$24,2,0),"Other"))</f>
        <v>Webinar</v>
      </c>
      <c r="AS10" s="31" t="str">
        <f aca="false">IF($O10="","",$O10&amp;"|"&amp;$B10)</f>
        <v>46318|EMEA</v>
      </c>
    </row>
    <row r="11" customFormat="false" ht="23.85" hidden="false" customHeight="false" outlineLevel="0" collapsed="false">
      <c r="A11" s="23" t="s">
        <v>203</v>
      </c>
      <c r="B11" s="23" t="s">
        <v>178</v>
      </c>
      <c r="C11" s="23" t="s">
        <v>204</v>
      </c>
      <c r="D11" s="23" t="s">
        <v>205</v>
      </c>
      <c r="E11" s="23" t="s">
        <v>120</v>
      </c>
      <c r="F11" s="23" t="s">
        <v>206</v>
      </c>
      <c r="G11" s="6" t="s">
        <v>207</v>
      </c>
      <c r="H11" s="6" t="s">
        <v>208</v>
      </c>
      <c r="I11" s="23" t="s">
        <v>209</v>
      </c>
      <c r="J11" s="23" t="s">
        <v>125</v>
      </c>
      <c r="K11" s="23" t="s">
        <v>210</v>
      </c>
      <c r="L11" s="6" t="s">
        <v>211</v>
      </c>
      <c r="M11" s="6"/>
      <c r="N11" s="24" t="n">
        <v>40</v>
      </c>
      <c r="O11" s="25" t="n">
        <v>46338</v>
      </c>
      <c r="P11" s="23" t="s">
        <v>212</v>
      </c>
      <c r="Q11" s="23" t="s">
        <v>213</v>
      </c>
      <c r="R11" s="23" t="s">
        <v>152</v>
      </c>
      <c r="S11" s="23"/>
      <c r="T11" s="26" t="n">
        <f aca="false">IF(OR($O11="",$D11=""),"",WORKDAY($O11,-IFERROR(VLOOKUP($D11,'Rules &amp; Guardrails'!$A$9:$D$24,3,0),10)))</f>
        <v>46282</v>
      </c>
      <c r="U11" s="23" t="s">
        <v>173</v>
      </c>
      <c r="V11" s="23" t="s">
        <v>173</v>
      </c>
      <c r="W11" s="23" t="s">
        <v>190</v>
      </c>
      <c r="X11" s="6" t="s">
        <v>214</v>
      </c>
      <c r="Y11" s="23" t="s">
        <v>137</v>
      </c>
      <c r="Z11" s="23" t="s">
        <v>138</v>
      </c>
      <c r="AA11" s="23" t="s">
        <v>138</v>
      </c>
      <c r="AB11" s="23" t="s">
        <v>156</v>
      </c>
      <c r="AC11" s="23"/>
      <c r="AD11" s="23"/>
      <c r="AE11" s="23" t="s">
        <v>201</v>
      </c>
      <c r="AF11" s="27" t="str">
        <f aca="true">IF($O11="","",IF(OR($AE11="Cancelled",$AE11="On hold",$AE11="Launched"),$AE11,IF(AND($Y11="Approved",OR($Z11="Yes",$Z11="N/A"),OR($AA11="Yes",$AA11="N/A"),OR($AB11="No",$AB11="N/A",AND($AB11="Yes",$AD11="Yes"))),"Ready",IF($O11&lt;TODAY(),"Overdue",IF($O11-TODAY()&lt;='Rules &amp; Guardrails'!$C$5,"At Risk","In Progress")))))</f>
        <v>Ready</v>
      </c>
      <c r="AG11" s="28" t="str">
        <f aca="false">IF($O11="","",IF(OR($AE11="Launched",$AE11="Cancelled"),"",MID(IF($Y11&lt;&gt;"Approved",", Content approval","")&amp;IF(NOT(OR($Z11="Yes",$Z11="N/A")),", Assets","")&amp;IF(NOT(OR($AA11="Yes",$AA11="N/A")),", List","")&amp;IF($AB11="",", Ops decision",IF(AND($AB11="Yes",$AD11&lt;&gt;"Yes"),", Ops",""))&amp;IF($U11="",", Owner","")&amp;IF($K11="",", Segment",""),3,200)))</f>
        <v/>
      </c>
      <c r="AH11" s="29" t="n">
        <f aca="true">IF($O11="","",$O11-TODAY())</f>
        <v>35</v>
      </c>
      <c r="AI11" s="26" t="n">
        <f aca="false">IF($O11="","",$O11-WEEKDAY($O11,3))</f>
        <v>46335</v>
      </c>
      <c r="AJ11" s="30" t="n">
        <f aca="false">IF($O11="","",DATE(YEAR($O11),MONTH($O11),1))</f>
        <v>46327</v>
      </c>
      <c r="AK11" s="31" t="n">
        <f aca="false">IF(OR($O11="",$K11=""),"",COUNTIFS('Comms Calendar'!$K$5:$K$504,$K11,'Comms Calendar'!$B$5:$B$504,$B11,'Comms Calendar'!$AI$5:$AI$504,$AI11,'Comms Calendar'!$AE$5:$AE$504,"&lt;&gt;Cancelled"))</f>
        <v>1</v>
      </c>
      <c r="AL11" s="27" t="str">
        <f aca="false">IF($AK11="","",IF($AK11&gt;'Rules &amp; Guardrails'!$C$3,"Over cap","OK"))</f>
        <v>OK</v>
      </c>
      <c r="AM11" s="27" t="str">
        <f aca="false">IF(OR($O11="",$K11=""),"",IF(COUNTIFS('Comms Calendar'!$K$5:$K$504,$K11,'Comms Calendar'!$B$5:$B$504,$B11,'Comms Calendar'!$O$5:$O$504,$O11,'Comms Calendar'!$AE$5:$AE$504,"&lt;&gt;Cancelled")&gt;1,"Clash",""))</f>
        <v/>
      </c>
      <c r="AN11" s="27" t="str">
        <f aca="false">IF($O11="","",IF(IF($B11="Global",COUNTIF('Rules &amp; Guardrails'!$F$9:$F$60,$O11),COUNTIFS('Rules &amp; Guardrails'!$F$9:$F$60,$O11,'Rules &amp; Guardrails'!$G$9:$G$60,$B11)+COUNTIFS('Rules &amp; Guardrails'!$F$9:$F$60,$O11,'Rules &amp; Guardrails'!$G$9:$G$60,"Global"))&gt;0,"Blackout",""))</f>
        <v/>
      </c>
      <c r="AO11" s="6" t="s">
        <v>215</v>
      </c>
      <c r="AP11" s="25" t="n">
        <v>46303</v>
      </c>
      <c r="AQ11" s="23" t="s">
        <v>142</v>
      </c>
      <c r="AR11" s="31" t="str">
        <f aca="false">IF($D11="","",IFERROR(VLOOKUP($D11,'Rules &amp; Guardrails'!$A$9:$D$24,2,0),"Other"))</f>
        <v>Event</v>
      </c>
      <c r="AS11" s="31" t="str">
        <f aca="false">IF($O11="","",$O11&amp;"|"&amp;$B11)</f>
        <v>46338|EMEA</v>
      </c>
    </row>
    <row r="12" customFormat="false" ht="23.85" hidden="false" customHeight="false" outlineLevel="0" collapsed="false">
      <c r="A12" s="23" t="s">
        <v>216</v>
      </c>
      <c r="B12" s="23" t="s">
        <v>217</v>
      </c>
      <c r="C12" s="23" t="s">
        <v>218</v>
      </c>
      <c r="D12" s="23" t="s">
        <v>167</v>
      </c>
      <c r="E12" s="23" t="s">
        <v>180</v>
      </c>
      <c r="F12" s="23" t="s">
        <v>121</v>
      </c>
      <c r="G12" s="6" t="s">
        <v>219</v>
      </c>
      <c r="H12" s="6" t="s">
        <v>220</v>
      </c>
      <c r="I12" s="23" t="s">
        <v>221</v>
      </c>
      <c r="J12" s="23" t="s">
        <v>125</v>
      </c>
      <c r="K12" s="23" t="s">
        <v>222</v>
      </c>
      <c r="L12" s="6" t="s">
        <v>223</v>
      </c>
      <c r="M12" s="6" t="s">
        <v>224</v>
      </c>
      <c r="N12" s="24" t="n">
        <v>3000</v>
      </c>
      <c r="O12" s="25" t="n">
        <v>46323</v>
      </c>
      <c r="P12" s="23" t="s">
        <v>151</v>
      </c>
      <c r="Q12" s="23" t="s">
        <v>225</v>
      </c>
      <c r="R12" s="23" t="s">
        <v>152</v>
      </c>
      <c r="S12" s="23"/>
      <c r="T12" s="26" t="n">
        <f aca="false">IF(OR($O12="",$D12=""),"",WORKDAY($O12,-IFERROR(VLOOKUP($D12,'Rules &amp; Guardrails'!$A$9:$D$24,3,0),10)))</f>
        <v>46281</v>
      </c>
      <c r="U12" s="23" t="s">
        <v>226</v>
      </c>
      <c r="V12" s="23" t="s">
        <v>173</v>
      </c>
      <c r="W12" s="23" t="s">
        <v>135</v>
      </c>
      <c r="X12" s="6" t="s">
        <v>227</v>
      </c>
      <c r="Y12" s="23" t="s">
        <v>199</v>
      </c>
      <c r="Z12" s="23" t="s">
        <v>156</v>
      </c>
      <c r="AA12" s="23" t="s">
        <v>156</v>
      </c>
      <c r="AB12" s="23" t="s">
        <v>138</v>
      </c>
      <c r="AC12" s="23"/>
      <c r="AD12" s="23"/>
      <c r="AE12" s="23" t="s">
        <v>201</v>
      </c>
      <c r="AF12" s="27" t="str">
        <f aca="true">IF($O12="","",IF(OR($AE12="Cancelled",$AE12="On hold",$AE12="Launched"),$AE12,IF(AND($Y12="Approved",OR($Z12="Yes",$Z12="N/A"),OR($AA12="Yes",$AA12="N/A"),OR($AB12="No",$AB12="N/A",AND($AB12="Yes",$AD12="Yes"))),"Ready",IF($O12&lt;TODAY(),"Overdue",IF($O12-TODAY()&lt;='Rules &amp; Guardrails'!$C$5,"At Risk","In Progress")))))</f>
        <v>In Progress</v>
      </c>
      <c r="AG12" s="28" t="str">
        <f aca="false">IF($O12="","",IF(OR($AE12="Launched",$AE12="Cancelled"),"",MID(IF($Y12&lt;&gt;"Approved",", Content approval","")&amp;IF(NOT(OR($Z12="Yes",$Z12="N/A")),", Assets","")&amp;IF(NOT(OR($AA12="Yes",$AA12="N/A")),", List","")&amp;IF($AB12="",", Ops decision",IF(AND($AB12="Yes",$AD12&lt;&gt;"Yes"),", Ops",""))&amp;IF($U12="",", Owner","")&amp;IF($K12="",", Segment",""),3,200)))</f>
        <v>Content approval, Assets, List, Ops</v>
      </c>
      <c r="AH12" s="29" t="n">
        <f aca="true">IF($O12="","",$O12-TODAY())</f>
        <v>20</v>
      </c>
      <c r="AI12" s="26" t="n">
        <f aca="false">IF($O12="","",$O12-WEEKDAY($O12,3))</f>
        <v>46321</v>
      </c>
      <c r="AJ12" s="30" t="n">
        <f aca="false">IF($O12="","",DATE(YEAR($O12),MONTH($O12),1))</f>
        <v>46296</v>
      </c>
      <c r="AK12" s="31" t="n">
        <f aca="false">IF(OR($O12="",$K12=""),"",COUNTIFS('Comms Calendar'!$K$5:$K$504,$K12,'Comms Calendar'!$B$5:$B$504,$B12,'Comms Calendar'!$AI$5:$AI$504,$AI12,'Comms Calendar'!$AE$5:$AE$504,"&lt;&gt;Cancelled"))</f>
        <v>1</v>
      </c>
      <c r="AL12" s="27" t="str">
        <f aca="false">IF($AK12="","",IF($AK12&gt;'Rules &amp; Guardrails'!$C$3,"Over cap","OK"))</f>
        <v>OK</v>
      </c>
      <c r="AM12" s="27" t="str">
        <f aca="false">IF(OR($O12="",$K12=""),"",IF(COUNTIFS('Comms Calendar'!$K$5:$K$504,$K12,'Comms Calendar'!$B$5:$B$504,$B12,'Comms Calendar'!$O$5:$O$504,$O12,'Comms Calendar'!$AE$5:$AE$504,"&lt;&gt;Cancelled")&gt;1,"Clash",""))</f>
        <v/>
      </c>
      <c r="AN12" s="27" t="str">
        <f aca="false">IF($O12="","",IF(IF($B12="Global",COUNTIF('Rules &amp; Guardrails'!$F$9:$F$60,$O12),COUNTIFS('Rules &amp; Guardrails'!$F$9:$F$60,$O12,'Rules &amp; Guardrails'!$G$9:$G$60,$B12)+COUNTIFS('Rules &amp; Guardrails'!$F$9:$F$60,$O12,'Rules &amp; Guardrails'!$G$9:$G$60,"Global"))&gt;0,"Blackout",""))</f>
        <v/>
      </c>
      <c r="AO12" s="6" t="s">
        <v>228</v>
      </c>
      <c r="AP12" s="25" t="n">
        <v>46303</v>
      </c>
      <c r="AQ12" s="23" t="s">
        <v>142</v>
      </c>
      <c r="AR12" s="31" t="str">
        <f aca="false">IF($D12="","",IFERROR(VLOOKUP($D12,'Rules &amp; Guardrails'!$A$9:$D$24,2,0),"Other"))</f>
        <v>Webinar</v>
      </c>
      <c r="AS12" s="31" t="str">
        <f aca="false">IF($O12="","",$O12&amp;"|"&amp;$B12)</f>
        <v>46323|APAC</v>
      </c>
    </row>
    <row r="13" customFormat="false" ht="23.85" hidden="false" customHeight="false" outlineLevel="0" collapsed="false">
      <c r="A13" s="23" t="s">
        <v>229</v>
      </c>
      <c r="B13" s="23" t="s">
        <v>217</v>
      </c>
      <c r="C13" s="23" t="s">
        <v>230</v>
      </c>
      <c r="D13" s="23" t="s">
        <v>231</v>
      </c>
      <c r="E13" s="23" t="s">
        <v>232</v>
      </c>
      <c r="F13" s="23" t="s">
        <v>233</v>
      </c>
      <c r="G13" s="6" t="s">
        <v>234</v>
      </c>
      <c r="H13" s="6" t="s">
        <v>235</v>
      </c>
      <c r="I13" s="23" t="s">
        <v>236</v>
      </c>
      <c r="J13" s="23" t="s">
        <v>125</v>
      </c>
      <c r="K13" s="23" t="s">
        <v>237</v>
      </c>
      <c r="L13" s="6" t="s">
        <v>237</v>
      </c>
      <c r="M13" s="6" t="s">
        <v>238</v>
      </c>
      <c r="N13" s="24" t="n">
        <v>2100</v>
      </c>
      <c r="O13" s="25" t="n">
        <v>46331</v>
      </c>
      <c r="P13" s="23" t="s">
        <v>188</v>
      </c>
      <c r="Q13" s="23" t="s">
        <v>239</v>
      </c>
      <c r="R13" s="23" t="s">
        <v>240</v>
      </c>
      <c r="S13" s="23" t="s">
        <v>241</v>
      </c>
      <c r="T13" s="26" t="n">
        <f aca="false">IF(OR($O13="",$D13=""),"",WORKDAY($O13,-IFERROR(VLOOKUP($D13,'Rules &amp; Guardrails'!$A$9:$D$24,3,0),10)))</f>
        <v>46317</v>
      </c>
      <c r="U13" s="23" t="s">
        <v>226</v>
      </c>
      <c r="V13" s="23" t="s">
        <v>134</v>
      </c>
      <c r="W13" s="23" t="s">
        <v>242</v>
      </c>
      <c r="X13" s="6" t="s">
        <v>243</v>
      </c>
      <c r="Y13" s="23" t="s">
        <v>244</v>
      </c>
      <c r="Z13" s="23" t="s">
        <v>156</v>
      </c>
      <c r="AA13" s="23" t="s">
        <v>156</v>
      </c>
      <c r="AB13" s="23" t="s">
        <v>138</v>
      </c>
      <c r="AC13" s="23"/>
      <c r="AD13" s="23"/>
      <c r="AE13" s="23" t="s">
        <v>201</v>
      </c>
      <c r="AF13" s="27" t="str">
        <f aca="true">IF($O13="","",IF(OR($AE13="Cancelled",$AE13="On hold",$AE13="Launched"),$AE13,IF(AND($Y13="Approved",OR($Z13="Yes",$Z13="N/A"),OR($AA13="Yes",$AA13="N/A"),OR($AB13="No",$AB13="N/A",AND($AB13="Yes",$AD13="Yes"))),"Ready",IF($O13&lt;TODAY(),"Overdue",IF($O13-TODAY()&lt;='Rules &amp; Guardrails'!$C$5,"At Risk","In Progress")))))</f>
        <v>In Progress</v>
      </c>
      <c r="AG13" s="28" t="str">
        <f aca="false">IF($O13="","",IF(OR($AE13="Launched",$AE13="Cancelled"),"",MID(IF($Y13&lt;&gt;"Approved",", Content approval","")&amp;IF(NOT(OR($Z13="Yes",$Z13="N/A")),", Assets","")&amp;IF(NOT(OR($AA13="Yes",$AA13="N/A")),", List","")&amp;IF($AB13="",", Ops decision",IF(AND($AB13="Yes",$AD13&lt;&gt;"Yes"),", Ops",""))&amp;IF($U13="",", Owner","")&amp;IF($K13="",", Segment",""),3,200)))</f>
        <v>Content approval, Assets, List, Ops</v>
      </c>
      <c r="AH13" s="29" t="n">
        <f aca="true">IF($O13="","",$O13-TODAY())</f>
        <v>28</v>
      </c>
      <c r="AI13" s="26" t="n">
        <f aca="false">IF($O13="","",$O13-WEEKDAY($O13,3))</f>
        <v>46328</v>
      </c>
      <c r="AJ13" s="30" t="n">
        <f aca="false">IF($O13="","",DATE(YEAR($O13),MONTH($O13),1))</f>
        <v>46327</v>
      </c>
      <c r="AK13" s="31" t="n">
        <f aca="false">IF(OR($O13="",$K13=""),"",COUNTIFS('Comms Calendar'!$K$5:$K$504,$K13,'Comms Calendar'!$B$5:$B$504,$B13,'Comms Calendar'!$AI$5:$AI$504,$AI13,'Comms Calendar'!$AE$5:$AE$504,"&lt;&gt;Cancelled"))</f>
        <v>1</v>
      </c>
      <c r="AL13" s="27" t="str">
        <f aca="false">IF($AK13="","",IF($AK13&gt;'Rules &amp; Guardrails'!$C$3,"Over cap","OK"))</f>
        <v>OK</v>
      </c>
      <c r="AM13" s="27" t="str">
        <f aca="false">IF(OR($O13="",$K13=""),"",IF(COUNTIFS('Comms Calendar'!$K$5:$K$504,$K13,'Comms Calendar'!$B$5:$B$504,$B13,'Comms Calendar'!$O$5:$O$504,$O13,'Comms Calendar'!$AE$5:$AE$504,"&lt;&gt;Cancelled")&gt;1,"Clash",""))</f>
        <v/>
      </c>
      <c r="AN13" s="27" t="str">
        <f aca="false">IF($O13="","",IF(IF($B13="Global",COUNTIF('Rules &amp; Guardrails'!$F$9:$F$60,$O13),COUNTIFS('Rules &amp; Guardrails'!$F$9:$F$60,$O13,'Rules &amp; Guardrails'!$G$9:$G$60,$B13)+COUNTIFS('Rules &amp; Guardrails'!$F$9:$F$60,$O13,'Rules &amp; Guardrails'!$G$9:$G$60,"Global"))&gt;0,"Blackout",""))</f>
        <v/>
      </c>
      <c r="AO13" s="6"/>
      <c r="AP13" s="25" t="n">
        <v>46303</v>
      </c>
      <c r="AQ13" s="23" t="s">
        <v>142</v>
      </c>
      <c r="AR13" s="31" t="str">
        <f aca="false">IF($D13="","",IFERROR(VLOOKUP($D13,'Rules &amp; Guardrails'!$A$9:$D$24,2,0),"Other"))</f>
        <v>Email</v>
      </c>
      <c r="AS13" s="31" t="str">
        <f aca="false">IF($O13="","",$O13&amp;"|"&amp;$B13)</f>
        <v>46331|APAC</v>
      </c>
    </row>
    <row r="14" customFormat="false" ht="23.85" hidden="false" customHeight="false" outlineLevel="0" collapsed="false">
      <c r="A14" s="23" t="s">
        <v>245</v>
      </c>
      <c r="B14" s="23" t="s">
        <v>246</v>
      </c>
      <c r="C14" s="23" t="s">
        <v>247</v>
      </c>
      <c r="D14" s="23" t="s">
        <v>248</v>
      </c>
      <c r="E14" s="23" t="s">
        <v>120</v>
      </c>
      <c r="F14" s="23" t="s">
        <v>249</v>
      </c>
      <c r="G14" s="6" t="s">
        <v>250</v>
      </c>
      <c r="H14" s="6" t="s">
        <v>251</v>
      </c>
      <c r="I14" s="23" t="s">
        <v>252</v>
      </c>
      <c r="J14" s="23" t="s">
        <v>125</v>
      </c>
      <c r="K14" s="23" t="s">
        <v>253</v>
      </c>
      <c r="L14" s="6" t="s">
        <v>254</v>
      </c>
      <c r="M14" s="6" t="s">
        <v>224</v>
      </c>
      <c r="N14" s="24" t="n">
        <v>21000</v>
      </c>
      <c r="O14" s="25" t="n">
        <v>46324</v>
      </c>
      <c r="P14" s="23" t="s">
        <v>129</v>
      </c>
      <c r="Q14" s="23" t="s">
        <v>130</v>
      </c>
      <c r="R14" s="23" t="s">
        <v>255</v>
      </c>
      <c r="S14" s="23"/>
      <c r="T14" s="26" t="n">
        <f aca="false">IF(OR($O14="",$D14=""),"",WORKDAY($O14,-IFERROR(VLOOKUP($D14,'Rules &amp; Guardrails'!$A$9:$D$24,3,0),10)))</f>
        <v>46310</v>
      </c>
      <c r="U14" s="23" t="s">
        <v>242</v>
      </c>
      <c r="V14" s="23" t="s">
        <v>134</v>
      </c>
      <c r="W14" s="23" t="s">
        <v>135</v>
      </c>
      <c r="X14" s="6" t="s">
        <v>256</v>
      </c>
      <c r="Y14" s="23" t="s">
        <v>199</v>
      </c>
      <c r="Z14" s="23" t="s">
        <v>156</v>
      </c>
      <c r="AA14" s="23" t="s">
        <v>138</v>
      </c>
      <c r="AB14" s="23" t="s">
        <v>138</v>
      </c>
      <c r="AC14" s="23" t="s">
        <v>257</v>
      </c>
      <c r="AD14" s="23" t="s">
        <v>156</v>
      </c>
      <c r="AE14" s="23" t="s">
        <v>158</v>
      </c>
      <c r="AF14" s="27" t="str">
        <f aca="true">IF($O14="","",IF(OR($AE14="Cancelled",$AE14="On hold",$AE14="Launched"),$AE14,IF(AND($Y14="Approved",OR($Z14="Yes",$Z14="N/A"),OR($AA14="Yes",$AA14="N/A"),OR($AB14="No",$AB14="N/A",AND($AB14="Yes",$AD14="Yes"))),"Ready",IF($O14&lt;TODAY(),"Overdue",IF($O14-TODAY()&lt;='Rules &amp; Guardrails'!$C$5,"At Risk","In Progress")))))</f>
        <v>In Progress</v>
      </c>
      <c r="AG14" s="28" t="str">
        <f aca="false">IF($O14="","",IF(OR($AE14="Launched",$AE14="Cancelled"),"",MID(IF($Y14&lt;&gt;"Approved",", Content approval","")&amp;IF(NOT(OR($Z14="Yes",$Z14="N/A")),", Assets","")&amp;IF(NOT(OR($AA14="Yes",$AA14="N/A")),", List","")&amp;IF($AB14="",", Ops decision",IF(AND($AB14="Yes",$AD14&lt;&gt;"Yes"),", Ops",""))&amp;IF($U14="",", Owner","")&amp;IF($K14="",", Segment",""),3,200)))</f>
        <v>Content approval, Assets, Ops</v>
      </c>
      <c r="AH14" s="29" t="n">
        <f aca="true">IF($O14="","",$O14-TODAY())</f>
        <v>21</v>
      </c>
      <c r="AI14" s="26" t="n">
        <f aca="false">IF($O14="","",$O14-WEEKDAY($O14,3))</f>
        <v>46321</v>
      </c>
      <c r="AJ14" s="30" t="n">
        <f aca="false">IF($O14="","",DATE(YEAR($O14),MONTH($O14),1))</f>
        <v>46296</v>
      </c>
      <c r="AK14" s="31" t="n">
        <f aca="false">IF(OR($O14="",$K14=""),"",COUNTIFS('Comms Calendar'!$K$5:$K$504,$K14,'Comms Calendar'!$B$5:$B$504,$B14,'Comms Calendar'!$AI$5:$AI$504,$AI14,'Comms Calendar'!$AE$5:$AE$504,"&lt;&gt;Cancelled"))</f>
        <v>1</v>
      </c>
      <c r="AL14" s="27" t="str">
        <f aca="false">IF($AK14="","",IF($AK14&gt;'Rules &amp; Guardrails'!$C$3,"Over cap","OK"))</f>
        <v>OK</v>
      </c>
      <c r="AM14" s="27" t="str">
        <f aca="false">IF(OR($O14="",$K14=""),"",IF(COUNTIFS('Comms Calendar'!$K$5:$K$504,$K14,'Comms Calendar'!$B$5:$B$504,$B14,'Comms Calendar'!$O$5:$O$504,$O14,'Comms Calendar'!$AE$5:$AE$504,"&lt;&gt;Cancelled")&gt;1,"Clash",""))</f>
        <v/>
      </c>
      <c r="AN14" s="27" t="str">
        <f aca="false">IF($O14="","",IF(IF($B14="Global",COUNTIF('Rules &amp; Guardrails'!$F$9:$F$60,$O14),COUNTIFS('Rules &amp; Guardrails'!$F$9:$F$60,$O14,'Rules &amp; Guardrails'!$G$9:$G$60,$B14)+COUNTIFS('Rules &amp; Guardrails'!$F$9:$F$60,$O14,'Rules &amp; Guardrails'!$G$9:$G$60,"Global"))&gt;0,"Blackout",""))</f>
        <v/>
      </c>
      <c r="AO14" s="6" t="s">
        <v>258</v>
      </c>
      <c r="AP14" s="25" t="n">
        <v>46303</v>
      </c>
      <c r="AQ14" s="23" t="s">
        <v>142</v>
      </c>
      <c r="AR14" s="31" t="str">
        <f aca="false">IF($D14="","",IFERROR(VLOOKUP($D14,'Rules &amp; Guardrails'!$A$9:$D$24,2,0),"Other"))</f>
        <v>Email</v>
      </c>
      <c r="AS14" s="31" t="str">
        <f aca="false">IF($O14="","",$O14&amp;"|"&amp;$B14)</f>
        <v>46324|Global</v>
      </c>
    </row>
    <row r="15" customFormat="false" ht="23.85" hidden="false" customHeight="false" outlineLevel="0" collapsed="false">
      <c r="A15" s="23" t="s">
        <v>259</v>
      </c>
      <c r="B15" s="23" t="s">
        <v>246</v>
      </c>
      <c r="C15" s="23" t="s">
        <v>247</v>
      </c>
      <c r="D15" s="23" t="s">
        <v>260</v>
      </c>
      <c r="E15" s="23" t="s">
        <v>180</v>
      </c>
      <c r="F15" s="23" t="s">
        <v>121</v>
      </c>
      <c r="G15" s="6" t="s">
        <v>261</v>
      </c>
      <c r="H15" s="6" t="s">
        <v>262</v>
      </c>
      <c r="I15" s="23" t="s">
        <v>263</v>
      </c>
      <c r="J15" s="23" t="s">
        <v>125</v>
      </c>
      <c r="K15" s="23" t="s">
        <v>264</v>
      </c>
      <c r="L15" s="6" t="s">
        <v>200</v>
      </c>
      <c r="M15" s="6" t="s">
        <v>200</v>
      </c>
      <c r="N15" s="24"/>
      <c r="O15" s="25" t="n">
        <v>46310</v>
      </c>
      <c r="P15" s="23" t="s">
        <v>265</v>
      </c>
      <c r="Q15" s="23" t="s">
        <v>130</v>
      </c>
      <c r="R15" s="23" t="s">
        <v>266</v>
      </c>
      <c r="S15" s="23" t="s">
        <v>132</v>
      </c>
      <c r="T15" s="26" t="n">
        <f aca="false">IF(OR($O15="",$D15=""),"",WORKDAY($O15,-IFERROR(VLOOKUP($D15,'Rules &amp; Guardrails'!$A$9:$D$24,3,0),10)))</f>
        <v>46307</v>
      </c>
      <c r="U15" s="23" t="s">
        <v>242</v>
      </c>
      <c r="V15" s="23" t="s">
        <v>134</v>
      </c>
      <c r="W15" s="23" t="s">
        <v>135</v>
      </c>
      <c r="X15" s="6" t="s">
        <v>267</v>
      </c>
      <c r="Y15" s="23" t="s">
        <v>137</v>
      </c>
      <c r="Z15" s="23" t="s">
        <v>138</v>
      </c>
      <c r="AA15" s="23" t="s">
        <v>200</v>
      </c>
      <c r="AB15" s="23" t="s">
        <v>156</v>
      </c>
      <c r="AC15" s="23"/>
      <c r="AD15" s="23"/>
      <c r="AE15" s="23" t="s">
        <v>140</v>
      </c>
      <c r="AF15" s="27" t="str">
        <f aca="true">IF($O15="","",IF(OR($AE15="Cancelled",$AE15="On hold",$AE15="Launched"),$AE15,IF(AND($Y15="Approved",OR($Z15="Yes",$Z15="N/A"),OR($AA15="Yes",$AA15="N/A"),OR($AB15="No",$AB15="N/A",AND($AB15="Yes",$AD15="Yes"))),"Ready",IF($O15&lt;TODAY(),"Overdue",IF($O15-TODAY()&lt;='Rules &amp; Guardrails'!$C$5,"At Risk","In Progress")))))</f>
        <v>Ready</v>
      </c>
      <c r="AG15" s="28" t="str">
        <f aca="false">IF($O15="","",IF(OR($AE15="Launched",$AE15="Cancelled"),"",MID(IF($Y15&lt;&gt;"Approved",", Content approval","")&amp;IF(NOT(OR($Z15="Yes",$Z15="N/A")),", Assets","")&amp;IF(NOT(OR($AA15="Yes",$AA15="N/A")),", List","")&amp;IF($AB15="",", Ops decision",IF(AND($AB15="Yes",$AD15&lt;&gt;"Yes"),", Ops",""))&amp;IF($U15="",", Owner","")&amp;IF($K15="",", Segment",""),3,200)))</f>
        <v/>
      </c>
      <c r="AH15" s="29" t="n">
        <f aca="true">IF($O15="","",$O15-TODAY())</f>
        <v>7</v>
      </c>
      <c r="AI15" s="26" t="n">
        <f aca="false">IF($O15="","",$O15-WEEKDAY($O15,3))</f>
        <v>46307</v>
      </c>
      <c r="AJ15" s="30" t="n">
        <f aca="false">IF($O15="","",DATE(YEAR($O15),MONTH($O15),1))</f>
        <v>46296</v>
      </c>
      <c r="AK15" s="31" t="n">
        <f aca="false">IF(OR($O15="",$K15=""),"",COUNTIFS('Comms Calendar'!$K$5:$K$504,$K15,'Comms Calendar'!$B$5:$B$504,$B15,'Comms Calendar'!$AI$5:$AI$504,$AI15,'Comms Calendar'!$AE$5:$AE$504,"&lt;&gt;Cancelled"))</f>
        <v>1</v>
      </c>
      <c r="AL15" s="27" t="str">
        <f aca="false">IF($AK15="","",IF($AK15&gt;'Rules &amp; Guardrails'!$C$3,"Over cap","OK"))</f>
        <v>OK</v>
      </c>
      <c r="AM15" s="27" t="str">
        <f aca="false">IF(OR($O15="",$K15=""),"",IF(COUNTIFS('Comms Calendar'!$K$5:$K$504,$K15,'Comms Calendar'!$B$5:$B$504,$B15,'Comms Calendar'!$O$5:$O$504,$O15,'Comms Calendar'!$AE$5:$AE$504,"&lt;&gt;Cancelled")&gt;1,"Clash",""))</f>
        <v/>
      </c>
      <c r="AN15" s="27" t="str">
        <f aca="false">IF($O15="","",IF(IF($B15="Global",COUNTIF('Rules &amp; Guardrails'!$F$9:$F$60,$O15),COUNTIFS('Rules &amp; Guardrails'!$F$9:$F$60,$O15,'Rules &amp; Guardrails'!$G$9:$G$60,$B15)+COUNTIFS('Rules &amp; Guardrails'!$F$9:$F$60,$O15,'Rules &amp; Guardrails'!$G$9:$G$60,"Global"))&gt;0,"Blackout",""))</f>
        <v/>
      </c>
      <c r="AO15" s="6" t="s">
        <v>268</v>
      </c>
      <c r="AP15" s="25" t="n">
        <v>46303</v>
      </c>
      <c r="AQ15" s="23" t="s">
        <v>142</v>
      </c>
      <c r="AR15" s="31" t="str">
        <f aca="false">IF($D15="","",IFERROR(VLOOKUP($D15,'Rules &amp; Guardrails'!$A$9:$D$24,2,0),"Other"))</f>
        <v>Social</v>
      </c>
      <c r="AS15" s="31" t="str">
        <f aca="false">IF($O15="","",$O15&amp;"|"&amp;$B15)</f>
        <v>46310|Global</v>
      </c>
    </row>
    <row r="16" customFormat="false" ht="23.85" hidden="false" customHeight="false" outlineLevel="0" collapsed="false">
      <c r="A16" s="23" t="s">
        <v>269</v>
      </c>
      <c r="B16" s="23" t="s">
        <v>246</v>
      </c>
      <c r="C16" s="23" t="s">
        <v>247</v>
      </c>
      <c r="D16" s="23" t="s">
        <v>270</v>
      </c>
      <c r="E16" s="23" t="s">
        <v>180</v>
      </c>
      <c r="F16" s="23" t="s">
        <v>271</v>
      </c>
      <c r="G16" s="6" t="s">
        <v>272</v>
      </c>
      <c r="H16" s="6" t="s">
        <v>273</v>
      </c>
      <c r="I16" s="23" t="s">
        <v>274</v>
      </c>
      <c r="J16" s="23" t="s">
        <v>125</v>
      </c>
      <c r="K16" s="23" t="s">
        <v>275</v>
      </c>
      <c r="L16" s="6" t="s">
        <v>276</v>
      </c>
      <c r="M16" s="6"/>
      <c r="N16" s="24"/>
      <c r="O16" s="25" t="n">
        <v>46343</v>
      </c>
      <c r="P16" s="23" t="s">
        <v>277</v>
      </c>
      <c r="Q16" s="23" t="s">
        <v>130</v>
      </c>
      <c r="R16" s="23" t="s">
        <v>152</v>
      </c>
      <c r="S16" s="23"/>
      <c r="T16" s="26" t="n">
        <f aca="false">IF(OR($O16="",$D16=""),"",WORKDAY($O16,-IFERROR(VLOOKUP($D16,'Rules &amp; Guardrails'!$A$9:$D$24,3,0),10)))</f>
        <v>46322</v>
      </c>
      <c r="U16" s="23" t="s">
        <v>135</v>
      </c>
      <c r="V16" s="23" t="s">
        <v>278</v>
      </c>
      <c r="W16" s="23" t="s">
        <v>135</v>
      </c>
      <c r="X16" s="6" t="s">
        <v>279</v>
      </c>
      <c r="Y16" s="23" t="s">
        <v>199</v>
      </c>
      <c r="Z16" s="23" t="s">
        <v>156</v>
      </c>
      <c r="AA16" s="23" t="s">
        <v>200</v>
      </c>
      <c r="AB16" s="23" t="s">
        <v>156</v>
      </c>
      <c r="AC16" s="23"/>
      <c r="AD16" s="23"/>
      <c r="AE16" s="23" t="s">
        <v>201</v>
      </c>
      <c r="AF16" s="27" t="str">
        <f aca="true">IF($O16="","",IF(OR($AE16="Cancelled",$AE16="On hold",$AE16="Launched"),$AE16,IF(AND($Y16="Approved",OR($Z16="Yes",$Z16="N/A"),OR($AA16="Yes",$AA16="N/A"),OR($AB16="No",$AB16="N/A",AND($AB16="Yes",$AD16="Yes"))),"Ready",IF($O16&lt;TODAY(),"Overdue",IF($O16-TODAY()&lt;='Rules &amp; Guardrails'!$C$5,"At Risk","In Progress")))))</f>
        <v>In Progress</v>
      </c>
      <c r="AG16" s="28" t="str">
        <f aca="false">IF($O16="","",IF(OR($AE16="Launched",$AE16="Cancelled"),"",MID(IF($Y16&lt;&gt;"Approved",", Content approval","")&amp;IF(NOT(OR($Z16="Yes",$Z16="N/A")),", Assets","")&amp;IF(NOT(OR($AA16="Yes",$AA16="N/A")),", List","")&amp;IF($AB16="",", Ops decision",IF(AND($AB16="Yes",$AD16&lt;&gt;"Yes"),", Ops",""))&amp;IF($U16="",", Owner","")&amp;IF($K16="",", Segment",""),3,200)))</f>
        <v>Content approval, Assets</v>
      </c>
      <c r="AH16" s="29" t="n">
        <f aca="true">IF($O16="","",$O16-TODAY())</f>
        <v>40</v>
      </c>
      <c r="AI16" s="26" t="n">
        <f aca="false">IF($O16="","",$O16-WEEKDAY($O16,3))</f>
        <v>46342</v>
      </c>
      <c r="AJ16" s="30" t="n">
        <f aca="false">IF($O16="","",DATE(YEAR($O16),MONTH($O16),1))</f>
        <v>46327</v>
      </c>
      <c r="AK16" s="31" t="n">
        <f aca="false">IF(OR($O16="",$K16=""),"",COUNTIFS('Comms Calendar'!$K$5:$K$504,$K16,'Comms Calendar'!$B$5:$B$504,$B16,'Comms Calendar'!$AI$5:$AI$504,$AI16,'Comms Calendar'!$AE$5:$AE$504,"&lt;&gt;Cancelled"))</f>
        <v>1</v>
      </c>
      <c r="AL16" s="27" t="str">
        <f aca="false">IF($AK16="","",IF($AK16&gt;'Rules &amp; Guardrails'!$C$3,"Over cap","OK"))</f>
        <v>OK</v>
      </c>
      <c r="AM16" s="27" t="str">
        <f aca="false">IF(OR($O16="",$K16=""),"",IF(COUNTIFS('Comms Calendar'!$K$5:$K$504,$K16,'Comms Calendar'!$B$5:$B$504,$B16,'Comms Calendar'!$O$5:$O$504,$O16,'Comms Calendar'!$AE$5:$AE$504,"&lt;&gt;Cancelled")&gt;1,"Clash",""))</f>
        <v/>
      </c>
      <c r="AN16" s="27" t="str">
        <f aca="false">IF($O16="","",IF(IF($B16="Global",COUNTIF('Rules &amp; Guardrails'!$F$9:$F$60,$O16),COUNTIFS('Rules &amp; Guardrails'!$F$9:$F$60,$O16,'Rules &amp; Guardrails'!$G$9:$G$60,$B16)+COUNTIFS('Rules &amp; Guardrails'!$F$9:$F$60,$O16,'Rules &amp; Guardrails'!$G$9:$G$60,"Global"))&gt;0,"Blackout",""))</f>
        <v/>
      </c>
      <c r="AO16" s="6" t="s">
        <v>280</v>
      </c>
      <c r="AP16" s="25" t="n">
        <v>46303</v>
      </c>
      <c r="AQ16" s="23" t="s">
        <v>142</v>
      </c>
      <c r="AR16" s="31" t="str">
        <f aca="false">IF($D16="","",IFERROR(VLOOKUP($D16,'Rules &amp; Guardrails'!$A$9:$D$24,2,0),"Other"))</f>
        <v>PR</v>
      </c>
      <c r="AS16" s="31" t="str">
        <f aca="false">IF($O16="","",$O16&amp;"|"&amp;$B16)</f>
        <v>46343|Global</v>
      </c>
    </row>
    <row r="17" customFormat="false" ht="23.85" hidden="false" customHeight="false" outlineLevel="0" collapsed="false">
      <c r="A17" s="23" t="s">
        <v>281</v>
      </c>
      <c r="B17" s="23" t="s">
        <v>246</v>
      </c>
      <c r="C17" s="23" t="s">
        <v>247</v>
      </c>
      <c r="D17" s="23" t="s">
        <v>282</v>
      </c>
      <c r="E17" s="23" t="s">
        <v>120</v>
      </c>
      <c r="F17" s="23" t="s">
        <v>271</v>
      </c>
      <c r="G17" s="6" t="s">
        <v>283</v>
      </c>
      <c r="H17" s="6" t="s">
        <v>284</v>
      </c>
      <c r="I17" s="23" t="s">
        <v>285</v>
      </c>
      <c r="J17" s="23" t="s">
        <v>184</v>
      </c>
      <c r="K17" s="23" t="s">
        <v>253</v>
      </c>
      <c r="L17" s="6" t="s">
        <v>286</v>
      </c>
      <c r="M17" s="6"/>
      <c r="N17" s="24" t="n">
        <v>60000</v>
      </c>
      <c r="O17" s="25" t="n">
        <v>46343</v>
      </c>
      <c r="P17" s="23" t="s">
        <v>188</v>
      </c>
      <c r="Q17" s="23" t="s">
        <v>130</v>
      </c>
      <c r="R17" s="23" t="s">
        <v>152</v>
      </c>
      <c r="S17" s="23"/>
      <c r="T17" s="26" t="n">
        <f aca="false">IF(OR($O17="",$D17=""),"",WORKDAY($O17,-IFERROR(VLOOKUP($D17,'Rules &amp; Guardrails'!$A$9:$D$24,3,0),10)))</f>
        <v>46329</v>
      </c>
      <c r="U17" s="23" t="s">
        <v>287</v>
      </c>
      <c r="V17" s="23" t="s">
        <v>287</v>
      </c>
      <c r="W17" s="23" t="s">
        <v>135</v>
      </c>
      <c r="X17" s="6" t="s">
        <v>288</v>
      </c>
      <c r="Y17" s="23" t="s">
        <v>244</v>
      </c>
      <c r="Z17" s="23" t="s">
        <v>156</v>
      </c>
      <c r="AA17" s="23" t="s">
        <v>200</v>
      </c>
      <c r="AB17" s="23" t="s">
        <v>156</v>
      </c>
      <c r="AC17" s="23"/>
      <c r="AD17" s="23"/>
      <c r="AE17" s="23" t="s">
        <v>201</v>
      </c>
      <c r="AF17" s="27" t="str">
        <f aca="true">IF($O17="","",IF(OR($AE17="Cancelled",$AE17="On hold",$AE17="Launched"),$AE17,IF(AND($Y17="Approved",OR($Z17="Yes",$Z17="N/A"),OR($AA17="Yes",$AA17="N/A"),OR($AB17="No",$AB17="N/A",AND($AB17="Yes",$AD17="Yes"))),"Ready",IF($O17&lt;TODAY(),"Overdue",IF($O17-TODAY()&lt;='Rules &amp; Guardrails'!$C$5,"At Risk","In Progress")))))</f>
        <v>In Progress</v>
      </c>
      <c r="AG17" s="28" t="str">
        <f aca="false">IF($O17="","",IF(OR($AE17="Launched",$AE17="Cancelled"),"",MID(IF($Y17&lt;&gt;"Approved",", Content approval","")&amp;IF(NOT(OR($Z17="Yes",$Z17="N/A")),", Assets","")&amp;IF(NOT(OR($AA17="Yes",$AA17="N/A")),", List","")&amp;IF($AB17="",", Ops decision",IF(AND($AB17="Yes",$AD17&lt;&gt;"Yes"),", Ops",""))&amp;IF($U17="",", Owner","")&amp;IF($K17="",", Segment",""),3,200)))</f>
        <v>Content approval, Assets</v>
      </c>
      <c r="AH17" s="29" t="n">
        <f aca="true">IF($O17="","",$O17-TODAY())</f>
        <v>40</v>
      </c>
      <c r="AI17" s="26" t="n">
        <f aca="false">IF($O17="","",$O17-WEEKDAY($O17,3))</f>
        <v>46342</v>
      </c>
      <c r="AJ17" s="30" t="n">
        <f aca="false">IF($O17="","",DATE(YEAR($O17),MONTH($O17),1))</f>
        <v>46327</v>
      </c>
      <c r="AK17" s="31" t="n">
        <f aca="false">IF(OR($O17="",$K17=""),"",COUNTIFS('Comms Calendar'!$K$5:$K$504,$K17,'Comms Calendar'!$B$5:$B$504,$B17,'Comms Calendar'!$AI$5:$AI$504,$AI17,'Comms Calendar'!$AE$5:$AE$504,"&lt;&gt;Cancelled"))</f>
        <v>1</v>
      </c>
      <c r="AL17" s="27" t="str">
        <f aca="false">IF($AK17="","",IF($AK17&gt;'Rules &amp; Guardrails'!$C$3,"Over cap","OK"))</f>
        <v>OK</v>
      </c>
      <c r="AM17" s="27" t="str">
        <f aca="false">IF(OR($O17="",$K17=""),"",IF(COUNTIFS('Comms Calendar'!$K$5:$K$504,$K17,'Comms Calendar'!$B$5:$B$504,$B17,'Comms Calendar'!$O$5:$O$504,$O17,'Comms Calendar'!$AE$5:$AE$504,"&lt;&gt;Cancelled")&gt;1,"Clash",""))</f>
        <v/>
      </c>
      <c r="AN17" s="27" t="str">
        <f aca="false">IF($O17="","",IF(IF($B17="Global",COUNTIF('Rules &amp; Guardrails'!$F$9:$F$60,$O17),COUNTIFS('Rules &amp; Guardrails'!$F$9:$F$60,$O17,'Rules &amp; Guardrails'!$G$9:$G$60,$B17)+COUNTIFS('Rules &amp; Guardrails'!$F$9:$F$60,$O17,'Rules &amp; Guardrails'!$G$9:$G$60,"Global"))&gt;0,"Blackout",""))</f>
        <v/>
      </c>
      <c r="AO17" s="6"/>
      <c r="AP17" s="25" t="n">
        <v>46303</v>
      </c>
      <c r="AQ17" s="23" t="s">
        <v>142</v>
      </c>
      <c r="AR17" s="31" t="str">
        <f aca="false">IF($D17="","",IFERROR(VLOOKUP($D17,'Rules &amp; Guardrails'!$A$9:$D$24,2,0),"Other"))</f>
        <v>In-app</v>
      </c>
      <c r="AS17" s="31" t="str">
        <f aca="false">IF($O17="","",$O17&amp;"|"&amp;$B17)</f>
        <v>46343|Global</v>
      </c>
    </row>
    <row r="18" customFormat="false" ht="23.85" hidden="false" customHeight="false" outlineLevel="0" collapsed="false">
      <c r="A18" s="23" t="s">
        <v>289</v>
      </c>
      <c r="B18" s="23" t="s">
        <v>117</v>
      </c>
      <c r="C18" s="23" t="s">
        <v>290</v>
      </c>
      <c r="D18" s="23" t="s">
        <v>231</v>
      </c>
      <c r="E18" s="23" t="s">
        <v>232</v>
      </c>
      <c r="F18" s="23" t="s">
        <v>291</v>
      </c>
      <c r="G18" s="6" t="s">
        <v>292</v>
      </c>
      <c r="H18" s="6" t="s">
        <v>293</v>
      </c>
      <c r="I18" s="23" t="s">
        <v>294</v>
      </c>
      <c r="J18" s="23" t="s">
        <v>125</v>
      </c>
      <c r="K18" s="23" t="s">
        <v>295</v>
      </c>
      <c r="L18" s="6" t="s">
        <v>295</v>
      </c>
      <c r="M18" s="6" t="s">
        <v>238</v>
      </c>
      <c r="N18" s="24" t="n">
        <v>6400</v>
      </c>
      <c r="O18" s="25" t="n">
        <v>46353</v>
      </c>
      <c r="P18" s="23" t="s">
        <v>129</v>
      </c>
      <c r="Q18" s="23" t="s">
        <v>130</v>
      </c>
      <c r="R18" s="23" t="s">
        <v>152</v>
      </c>
      <c r="S18" s="23"/>
      <c r="T18" s="26" t="n">
        <f aca="false">IF(OR($O18="",$D18=""),"",WORKDAY($O18,-IFERROR(VLOOKUP($D18,'Rules &amp; Guardrails'!$A$9:$D$24,3,0),10)))</f>
        <v>46339</v>
      </c>
      <c r="U18" s="23" t="s">
        <v>133</v>
      </c>
      <c r="V18" s="23" t="s">
        <v>134</v>
      </c>
      <c r="W18" s="23" t="s">
        <v>135</v>
      </c>
      <c r="X18" s="6" t="s">
        <v>296</v>
      </c>
      <c r="Y18" s="23" t="s">
        <v>244</v>
      </c>
      <c r="Z18" s="23" t="s">
        <v>156</v>
      </c>
      <c r="AA18" s="23" t="s">
        <v>156</v>
      </c>
      <c r="AB18" s="23" t="s">
        <v>138</v>
      </c>
      <c r="AC18" s="23"/>
      <c r="AD18" s="23"/>
      <c r="AE18" s="23" t="s">
        <v>201</v>
      </c>
      <c r="AF18" s="27" t="str">
        <f aca="true">IF($O18="","",IF(OR($AE18="Cancelled",$AE18="On hold",$AE18="Launched"),$AE18,IF(AND($Y18="Approved",OR($Z18="Yes",$Z18="N/A"),OR($AA18="Yes",$AA18="N/A"),OR($AB18="No",$AB18="N/A",AND($AB18="Yes",$AD18="Yes"))),"Ready",IF($O18&lt;TODAY(),"Overdue",IF($O18-TODAY()&lt;='Rules &amp; Guardrails'!$C$5,"At Risk","In Progress")))))</f>
        <v>In Progress</v>
      </c>
      <c r="AG18" s="28" t="str">
        <f aca="false">IF($O18="","",IF(OR($AE18="Launched",$AE18="Cancelled"),"",MID(IF($Y18&lt;&gt;"Approved",", Content approval","")&amp;IF(NOT(OR($Z18="Yes",$Z18="N/A")),", Assets","")&amp;IF(NOT(OR($AA18="Yes",$AA18="N/A")),", List","")&amp;IF($AB18="",", Ops decision",IF(AND($AB18="Yes",$AD18&lt;&gt;"Yes"),", Ops",""))&amp;IF($U18="",", Owner","")&amp;IF($K18="",", Segment",""),3,200)))</f>
        <v>Content approval, Assets, List, Ops</v>
      </c>
      <c r="AH18" s="29" t="n">
        <f aca="true">IF($O18="","",$O18-TODAY())</f>
        <v>50</v>
      </c>
      <c r="AI18" s="26" t="n">
        <f aca="false">IF($O18="","",$O18-WEEKDAY($O18,3))</f>
        <v>46349</v>
      </c>
      <c r="AJ18" s="30" t="n">
        <f aca="false">IF($O18="","",DATE(YEAR($O18),MONTH($O18),1))</f>
        <v>46327</v>
      </c>
      <c r="AK18" s="31" t="n">
        <f aca="false">IF(OR($O18="",$K18=""),"",COUNTIFS('Comms Calendar'!$K$5:$K$504,$K18,'Comms Calendar'!$B$5:$B$504,$B18,'Comms Calendar'!$AI$5:$AI$504,$AI18,'Comms Calendar'!$AE$5:$AE$504,"&lt;&gt;Cancelled"))</f>
        <v>1</v>
      </c>
      <c r="AL18" s="27" t="str">
        <f aca="false">IF($AK18="","",IF($AK18&gt;'Rules &amp; Guardrails'!$C$3,"Over cap","OK"))</f>
        <v>OK</v>
      </c>
      <c r="AM18" s="27" t="str">
        <f aca="false">IF(OR($O18="",$K18=""),"",IF(COUNTIFS('Comms Calendar'!$K$5:$K$504,$K18,'Comms Calendar'!$B$5:$B$504,$B18,'Comms Calendar'!$O$5:$O$504,$O18,'Comms Calendar'!$AE$5:$AE$504,"&lt;&gt;Cancelled")&gt;1,"Clash",""))</f>
        <v/>
      </c>
      <c r="AN18" s="27" t="str">
        <f aca="false">IF($O18="","",IF(IF($B18="Global",COUNTIF('Rules &amp; Guardrails'!$F$9:$F$60,$O18),COUNTIFS('Rules &amp; Guardrails'!$F$9:$F$60,$O18,'Rules &amp; Guardrails'!$G$9:$G$60,$B18)+COUNTIFS('Rules &amp; Guardrails'!$F$9:$F$60,$O18,'Rules &amp; Guardrails'!$G$9:$G$60,"Global"))&gt;0,"Blackout",""))</f>
        <v>Blackout</v>
      </c>
      <c r="AO18" s="6" t="s">
        <v>297</v>
      </c>
      <c r="AP18" s="25" t="n">
        <v>46303</v>
      </c>
      <c r="AQ18" s="23" t="s">
        <v>142</v>
      </c>
      <c r="AR18" s="31" t="str">
        <f aca="false">IF($D18="","",IFERROR(VLOOKUP($D18,'Rules &amp; Guardrails'!$A$9:$D$24,2,0),"Other"))</f>
        <v>Email</v>
      </c>
      <c r="AS18" s="31" t="str">
        <f aca="false">IF($O18="","",$O18&amp;"|"&amp;$B18)</f>
        <v>46353|AMER</v>
      </c>
    </row>
    <row r="19" customFormat="false" ht="23.85" hidden="false" customHeight="false" outlineLevel="0" collapsed="false">
      <c r="A19" s="23" t="s">
        <v>298</v>
      </c>
      <c r="B19" s="23" t="s">
        <v>246</v>
      </c>
      <c r="C19" s="23" t="s">
        <v>247</v>
      </c>
      <c r="D19" s="23" t="s">
        <v>248</v>
      </c>
      <c r="E19" s="23" t="s">
        <v>120</v>
      </c>
      <c r="F19" s="23" t="s">
        <v>249</v>
      </c>
      <c r="G19" s="6" t="s">
        <v>299</v>
      </c>
      <c r="H19" s="6" t="s">
        <v>300</v>
      </c>
      <c r="I19" s="23" t="s">
        <v>301</v>
      </c>
      <c r="J19" s="23" t="s">
        <v>184</v>
      </c>
      <c r="K19" s="23" t="s">
        <v>253</v>
      </c>
      <c r="L19" s="6" t="s">
        <v>254</v>
      </c>
      <c r="M19" s="6" t="s">
        <v>224</v>
      </c>
      <c r="N19" s="24" t="n">
        <v>21000</v>
      </c>
      <c r="O19" s="25" t="n">
        <v>46371</v>
      </c>
      <c r="P19" s="23" t="s">
        <v>129</v>
      </c>
      <c r="Q19" s="23" t="s">
        <v>130</v>
      </c>
      <c r="R19" s="23" t="s">
        <v>152</v>
      </c>
      <c r="S19" s="23"/>
      <c r="T19" s="26" t="n">
        <f aca="false">IF(OR($O19="",$D19=""),"",WORKDAY($O19,-IFERROR(VLOOKUP($D19,'Rules &amp; Guardrails'!$A$9:$D$24,3,0),10)))</f>
        <v>46357</v>
      </c>
      <c r="U19" s="23" t="s">
        <v>135</v>
      </c>
      <c r="V19" s="23" t="s">
        <v>134</v>
      </c>
      <c r="W19" s="23" t="s">
        <v>135</v>
      </c>
      <c r="X19" s="6" t="s">
        <v>302</v>
      </c>
      <c r="Y19" s="23" t="s">
        <v>244</v>
      </c>
      <c r="Z19" s="23" t="s">
        <v>156</v>
      </c>
      <c r="AA19" s="23" t="s">
        <v>138</v>
      </c>
      <c r="AB19" s="23" t="s">
        <v>138</v>
      </c>
      <c r="AC19" s="23"/>
      <c r="AD19" s="23"/>
      <c r="AE19" s="23" t="s">
        <v>201</v>
      </c>
      <c r="AF19" s="27" t="str">
        <f aca="true">IF($O19="","",IF(OR($AE19="Cancelled",$AE19="On hold",$AE19="Launched"),$AE19,IF(AND($Y19="Approved",OR($Z19="Yes",$Z19="N/A"),OR($AA19="Yes",$AA19="N/A"),OR($AB19="No",$AB19="N/A",AND($AB19="Yes",$AD19="Yes"))),"Ready",IF($O19&lt;TODAY(),"Overdue",IF($O19-TODAY()&lt;='Rules &amp; Guardrails'!$C$5,"At Risk","In Progress")))))</f>
        <v>In Progress</v>
      </c>
      <c r="AG19" s="28" t="str">
        <f aca="false">IF($O19="","",IF(OR($AE19="Launched",$AE19="Cancelled"),"",MID(IF($Y19&lt;&gt;"Approved",", Content approval","")&amp;IF(NOT(OR($Z19="Yes",$Z19="N/A")),", Assets","")&amp;IF(NOT(OR($AA19="Yes",$AA19="N/A")),", List","")&amp;IF($AB19="",", Ops decision",IF(AND($AB19="Yes",$AD19&lt;&gt;"Yes"),", Ops",""))&amp;IF($U19="",", Owner","")&amp;IF($K19="",", Segment",""),3,200)))</f>
        <v>Content approval, Assets, Ops</v>
      </c>
      <c r="AH19" s="29" t="n">
        <f aca="true">IF($O19="","",$O19-TODAY())</f>
        <v>68</v>
      </c>
      <c r="AI19" s="26" t="n">
        <f aca="false">IF($O19="","",$O19-WEEKDAY($O19,3))</f>
        <v>46370</v>
      </c>
      <c r="AJ19" s="30" t="n">
        <f aca="false">IF($O19="","",DATE(YEAR($O19),MONTH($O19),1))</f>
        <v>46357</v>
      </c>
      <c r="AK19" s="31" t="n">
        <f aca="false">IF(OR($O19="",$K19=""),"",COUNTIFS('Comms Calendar'!$K$5:$K$504,$K19,'Comms Calendar'!$B$5:$B$504,$B19,'Comms Calendar'!$AI$5:$AI$504,$AI19,'Comms Calendar'!$AE$5:$AE$504,"&lt;&gt;Cancelled"))</f>
        <v>1</v>
      </c>
      <c r="AL19" s="27" t="str">
        <f aca="false">IF($AK19="","",IF($AK19&gt;'Rules &amp; Guardrails'!$C$3,"Over cap","OK"))</f>
        <v>OK</v>
      </c>
      <c r="AM19" s="27" t="str">
        <f aca="false">IF(OR($O19="",$K19=""),"",IF(COUNTIFS('Comms Calendar'!$K$5:$K$504,$K19,'Comms Calendar'!$B$5:$B$504,$B19,'Comms Calendar'!$O$5:$O$504,$O19,'Comms Calendar'!$AE$5:$AE$504,"&lt;&gt;Cancelled")&gt;1,"Clash",""))</f>
        <v/>
      </c>
      <c r="AN19" s="27" t="str">
        <f aca="false">IF($O19="","",IF(IF($B19="Global",COUNTIF('Rules &amp; Guardrails'!$F$9:$F$60,$O19),COUNTIFS('Rules &amp; Guardrails'!$F$9:$F$60,$O19,'Rules &amp; Guardrails'!$G$9:$G$60,$B19)+COUNTIFS('Rules &amp; Guardrails'!$F$9:$F$60,$O19,'Rules &amp; Guardrails'!$G$9:$G$60,"Global"))&gt;0,"Blackout",""))</f>
        <v/>
      </c>
      <c r="AO19" s="6"/>
      <c r="AP19" s="25" t="n">
        <v>46303</v>
      </c>
      <c r="AQ19" s="23" t="s">
        <v>142</v>
      </c>
      <c r="AR19" s="31" t="str">
        <f aca="false">IF($D19="","",IFERROR(VLOOKUP($D19,'Rules &amp; Guardrails'!$A$9:$D$24,2,0),"Other"))</f>
        <v>Email</v>
      </c>
      <c r="AS19" s="31" t="str">
        <f aca="false">IF($O19="","",$O19&amp;"|"&amp;$B19)</f>
        <v>46371|Global</v>
      </c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6"/>
      <c r="H20" s="6"/>
      <c r="I20" s="23"/>
      <c r="J20" s="23"/>
      <c r="K20" s="23"/>
      <c r="L20" s="6"/>
      <c r="M20" s="6"/>
      <c r="N20" s="24"/>
      <c r="O20" s="25"/>
      <c r="P20" s="23"/>
      <c r="Q20" s="23"/>
      <c r="R20" s="23"/>
      <c r="S20" s="23"/>
      <c r="T20" s="26" t="str">
        <f aca="false">IF(OR($O20="",$D20=""),"",WORKDAY($O20,-IFERROR(VLOOKUP($D20,'Rules &amp; Guardrails'!$A$9:$D$24,3,0),10)))</f>
        <v/>
      </c>
      <c r="U20" s="23"/>
      <c r="V20" s="23"/>
      <c r="W20" s="23"/>
      <c r="X20" s="6"/>
      <c r="Y20" s="23"/>
      <c r="Z20" s="23"/>
      <c r="AA20" s="23"/>
      <c r="AB20" s="23"/>
      <c r="AC20" s="23"/>
      <c r="AD20" s="23"/>
      <c r="AE20" s="23"/>
      <c r="AF20" s="27" t="str">
        <f aca="true">IF($O20="","",IF(OR($AE20="Cancelled",$AE20="On hold",$AE20="Launched"),$AE20,IF(AND($Y20="Approved",OR($Z20="Yes",$Z20="N/A"),OR($AA20="Yes",$AA20="N/A"),OR($AB20="No",$AB20="N/A",AND($AB20="Yes",$AD20="Yes"))),"Ready",IF($O20&lt;TODAY(),"Overdue",IF($O20-TODAY()&lt;='Rules &amp; Guardrails'!$C$5,"At Risk","In Progress")))))</f>
        <v/>
      </c>
      <c r="AG20" s="28" t="str">
        <f aca="false">IF($O20="","",IF(OR($AE20="Launched",$AE20="Cancelled"),"",MID(IF($Y20&lt;&gt;"Approved",", Content approval","")&amp;IF(NOT(OR($Z20="Yes",$Z20="N/A")),", Assets","")&amp;IF(NOT(OR($AA20="Yes",$AA20="N/A")),", List","")&amp;IF($AB20="",", Ops decision",IF(AND($AB20="Yes",$AD20&lt;&gt;"Yes"),", Ops",""))&amp;IF($U20="",", Owner","")&amp;IF($K20="",", Segment",""),3,200)))</f>
        <v/>
      </c>
      <c r="AH20" s="29" t="str">
        <f aca="true">IF($O20="","",$O20-TODAY())</f>
        <v/>
      </c>
      <c r="AI20" s="26" t="str">
        <f aca="false">IF($O20="","",$O20-WEEKDAY($O20,3))</f>
        <v/>
      </c>
      <c r="AJ20" s="30" t="str">
        <f aca="false">IF($O20="","",DATE(YEAR($O20),MONTH($O20),1))</f>
        <v/>
      </c>
      <c r="AK20" s="31" t="str">
        <f aca="false">IF(OR($O20="",$K20=""),"",COUNTIFS('Comms Calendar'!$K$5:$K$504,$K20,'Comms Calendar'!$B$5:$B$504,$B20,'Comms Calendar'!$AI$5:$AI$504,$AI20,'Comms Calendar'!$AE$5:$AE$504,"&lt;&gt;Cancelled"))</f>
        <v/>
      </c>
      <c r="AL20" s="27" t="str">
        <f aca="false">IF($AK20="","",IF($AK20&gt;'Rules &amp; Guardrails'!$C$3,"Over cap","OK"))</f>
        <v/>
      </c>
      <c r="AM20" s="27" t="str">
        <f aca="false">IF(OR($O20="",$K20=""),"",IF(COUNTIFS('Comms Calendar'!$K$5:$K$504,$K20,'Comms Calendar'!$B$5:$B$504,$B20,'Comms Calendar'!$O$5:$O$504,$O20,'Comms Calendar'!$AE$5:$AE$504,"&lt;&gt;Cancelled")&gt;1,"Clash",""))</f>
        <v/>
      </c>
      <c r="AN20" s="27" t="str">
        <f aca="false">IF($O20="","",IF(IF($B20="Global",COUNTIF('Rules &amp; Guardrails'!$F$9:$F$60,$O20),COUNTIFS('Rules &amp; Guardrails'!$F$9:$F$60,$O20,'Rules &amp; Guardrails'!$G$9:$G$60,$B20)+COUNTIFS('Rules &amp; Guardrails'!$F$9:$F$60,$O20,'Rules &amp; Guardrails'!$G$9:$G$60,"Global"))&gt;0,"Blackout",""))</f>
        <v/>
      </c>
      <c r="AO20" s="6"/>
      <c r="AP20" s="25"/>
      <c r="AQ20" s="23"/>
      <c r="AR20" s="31" t="str">
        <f aca="false">IF($D20="","",IFERROR(VLOOKUP($D20,'Rules &amp; Guardrails'!$A$9:$D$24,2,0),"Other"))</f>
        <v/>
      </c>
      <c r="AS20" s="31" t="str">
        <f aca="false">IF($O20="","",$O20&amp;"|"&amp;$B20)</f>
        <v/>
      </c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6"/>
      <c r="H21" s="6"/>
      <c r="I21" s="23"/>
      <c r="J21" s="23"/>
      <c r="K21" s="23"/>
      <c r="L21" s="6"/>
      <c r="M21" s="6"/>
      <c r="N21" s="24"/>
      <c r="O21" s="25"/>
      <c r="P21" s="23"/>
      <c r="Q21" s="23"/>
      <c r="R21" s="23"/>
      <c r="S21" s="23"/>
      <c r="T21" s="26" t="str">
        <f aca="false">IF(OR($O21="",$D21=""),"",WORKDAY($O21,-IFERROR(VLOOKUP($D21,'Rules &amp; Guardrails'!$A$9:$D$24,3,0),10)))</f>
        <v/>
      </c>
      <c r="U21" s="23"/>
      <c r="V21" s="23"/>
      <c r="W21" s="23"/>
      <c r="X21" s="6"/>
      <c r="Y21" s="23"/>
      <c r="Z21" s="23"/>
      <c r="AA21" s="23"/>
      <c r="AB21" s="23"/>
      <c r="AC21" s="23"/>
      <c r="AD21" s="23"/>
      <c r="AE21" s="23"/>
      <c r="AF21" s="27" t="str">
        <f aca="true">IF($O21="","",IF(OR($AE21="Cancelled",$AE21="On hold",$AE21="Launched"),$AE21,IF(AND($Y21="Approved",OR($Z21="Yes",$Z21="N/A"),OR($AA21="Yes",$AA21="N/A"),OR($AB21="No",$AB21="N/A",AND($AB21="Yes",$AD21="Yes"))),"Ready",IF($O21&lt;TODAY(),"Overdue",IF($O21-TODAY()&lt;='Rules &amp; Guardrails'!$C$5,"At Risk","In Progress")))))</f>
        <v/>
      </c>
      <c r="AG21" s="28" t="str">
        <f aca="false">IF($O21="","",IF(OR($AE21="Launched",$AE21="Cancelled"),"",MID(IF($Y21&lt;&gt;"Approved",", Content approval","")&amp;IF(NOT(OR($Z21="Yes",$Z21="N/A")),", Assets","")&amp;IF(NOT(OR($AA21="Yes",$AA21="N/A")),", List","")&amp;IF($AB21="",", Ops decision",IF(AND($AB21="Yes",$AD21&lt;&gt;"Yes"),", Ops",""))&amp;IF($U21="",", Owner","")&amp;IF($K21="",", Segment",""),3,200)))</f>
        <v/>
      </c>
      <c r="AH21" s="29" t="str">
        <f aca="true">IF($O21="","",$O21-TODAY())</f>
        <v/>
      </c>
      <c r="AI21" s="26" t="str">
        <f aca="false">IF($O21="","",$O21-WEEKDAY($O21,3))</f>
        <v/>
      </c>
      <c r="AJ21" s="30" t="str">
        <f aca="false">IF($O21="","",DATE(YEAR($O21),MONTH($O21),1))</f>
        <v/>
      </c>
      <c r="AK21" s="31" t="str">
        <f aca="false">IF(OR($O21="",$K21=""),"",COUNTIFS('Comms Calendar'!$K$5:$K$504,$K21,'Comms Calendar'!$B$5:$B$504,$B21,'Comms Calendar'!$AI$5:$AI$504,$AI21,'Comms Calendar'!$AE$5:$AE$504,"&lt;&gt;Cancelled"))</f>
        <v/>
      </c>
      <c r="AL21" s="27" t="str">
        <f aca="false">IF($AK21="","",IF($AK21&gt;'Rules &amp; Guardrails'!$C$3,"Over cap","OK"))</f>
        <v/>
      </c>
      <c r="AM21" s="27" t="str">
        <f aca="false">IF(OR($O21="",$K21=""),"",IF(COUNTIFS('Comms Calendar'!$K$5:$K$504,$K21,'Comms Calendar'!$B$5:$B$504,$B21,'Comms Calendar'!$O$5:$O$504,$O21,'Comms Calendar'!$AE$5:$AE$504,"&lt;&gt;Cancelled")&gt;1,"Clash",""))</f>
        <v/>
      </c>
      <c r="AN21" s="27" t="str">
        <f aca="false">IF($O21="","",IF(IF($B21="Global",COUNTIF('Rules &amp; Guardrails'!$F$9:$F$60,$O21),COUNTIFS('Rules &amp; Guardrails'!$F$9:$F$60,$O21,'Rules &amp; Guardrails'!$G$9:$G$60,$B21)+COUNTIFS('Rules &amp; Guardrails'!$F$9:$F$60,$O21,'Rules &amp; Guardrails'!$G$9:$G$60,"Global"))&gt;0,"Blackout",""))</f>
        <v/>
      </c>
      <c r="AO21" s="6"/>
      <c r="AP21" s="25"/>
      <c r="AQ21" s="23"/>
      <c r="AR21" s="31" t="str">
        <f aca="false">IF($D21="","",IFERROR(VLOOKUP($D21,'Rules &amp; Guardrails'!$A$9:$D$24,2,0),"Other"))</f>
        <v/>
      </c>
      <c r="AS21" s="31" t="str">
        <f aca="false">IF($O21="","",$O21&amp;"|"&amp;$B21)</f>
        <v/>
      </c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6"/>
      <c r="H22" s="6"/>
      <c r="I22" s="23"/>
      <c r="J22" s="23"/>
      <c r="K22" s="23"/>
      <c r="L22" s="6"/>
      <c r="M22" s="6"/>
      <c r="N22" s="24"/>
      <c r="O22" s="25"/>
      <c r="P22" s="23"/>
      <c r="Q22" s="23"/>
      <c r="R22" s="23"/>
      <c r="S22" s="23"/>
      <c r="T22" s="26" t="str">
        <f aca="false">IF(OR($O22="",$D22=""),"",WORKDAY($O22,-IFERROR(VLOOKUP($D22,'Rules &amp; Guardrails'!$A$9:$D$24,3,0),10)))</f>
        <v/>
      </c>
      <c r="U22" s="23"/>
      <c r="V22" s="23"/>
      <c r="W22" s="23"/>
      <c r="X22" s="6"/>
      <c r="Y22" s="23"/>
      <c r="Z22" s="23"/>
      <c r="AA22" s="23"/>
      <c r="AB22" s="23"/>
      <c r="AC22" s="23"/>
      <c r="AD22" s="23"/>
      <c r="AE22" s="23"/>
      <c r="AF22" s="27" t="str">
        <f aca="true">IF($O22="","",IF(OR($AE22="Cancelled",$AE22="On hold",$AE22="Launched"),$AE22,IF(AND($Y22="Approved",OR($Z22="Yes",$Z22="N/A"),OR($AA22="Yes",$AA22="N/A"),OR($AB22="No",$AB22="N/A",AND($AB22="Yes",$AD22="Yes"))),"Ready",IF($O22&lt;TODAY(),"Overdue",IF($O22-TODAY()&lt;='Rules &amp; Guardrails'!$C$5,"At Risk","In Progress")))))</f>
        <v/>
      </c>
      <c r="AG22" s="28" t="str">
        <f aca="false">IF($O22="","",IF(OR($AE22="Launched",$AE22="Cancelled"),"",MID(IF($Y22&lt;&gt;"Approved",", Content approval","")&amp;IF(NOT(OR($Z22="Yes",$Z22="N/A")),", Assets","")&amp;IF(NOT(OR($AA22="Yes",$AA22="N/A")),", List","")&amp;IF($AB22="",", Ops decision",IF(AND($AB22="Yes",$AD22&lt;&gt;"Yes"),", Ops",""))&amp;IF($U22="",", Owner","")&amp;IF($K22="",", Segment",""),3,200)))</f>
        <v/>
      </c>
      <c r="AH22" s="29" t="str">
        <f aca="true">IF($O22="","",$O22-TODAY())</f>
        <v/>
      </c>
      <c r="AI22" s="26" t="str">
        <f aca="false">IF($O22="","",$O22-WEEKDAY($O22,3))</f>
        <v/>
      </c>
      <c r="AJ22" s="30" t="str">
        <f aca="false">IF($O22="","",DATE(YEAR($O22),MONTH($O22),1))</f>
        <v/>
      </c>
      <c r="AK22" s="31" t="str">
        <f aca="false">IF(OR($O22="",$K22=""),"",COUNTIFS('Comms Calendar'!$K$5:$K$504,$K22,'Comms Calendar'!$B$5:$B$504,$B22,'Comms Calendar'!$AI$5:$AI$504,$AI22,'Comms Calendar'!$AE$5:$AE$504,"&lt;&gt;Cancelled"))</f>
        <v/>
      </c>
      <c r="AL22" s="27" t="str">
        <f aca="false">IF($AK22="","",IF($AK22&gt;'Rules &amp; Guardrails'!$C$3,"Over cap","OK"))</f>
        <v/>
      </c>
      <c r="AM22" s="27" t="str">
        <f aca="false">IF(OR($O22="",$K22=""),"",IF(COUNTIFS('Comms Calendar'!$K$5:$K$504,$K22,'Comms Calendar'!$B$5:$B$504,$B22,'Comms Calendar'!$O$5:$O$504,$O22,'Comms Calendar'!$AE$5:$AE$504,"&lt;&gt;Cancelled")&gt;1,"Clash",""))</f>
        <v/>
      </c>
      <c r="AN22" s="27" t="str">
        <f aca="false">IF($O22="","",IF(IF($B22="Global",COUNTIF('Rules &amp; Guardrails'!$F$9:$F$60,$O22),COUNTIFS('Rules &amp; Guardrails'!$F$9:$F$60,$O22,'Rules &amp; Guardrails'!$G$9:$G$60,$B22)+COUNTIFS('Rules &amp; Guardrails'!$F$9:$F$60,$O22,'Rules &amp; Guardrails'!$G$9:$G$60,"Global"))&gt;0,"Blackout",""))</f>
        <v/>
      </c>
      <c r="AO22" s="6"/>
      <c r="AP22" s="25"/>
      <c r="AQ22" s="23"/>
      <c r="AR22" s="31" t="str">
        <f aca="false">IF($D22="","",IFERROR(VLOOKUP($D22,'Rules &amp; Guardrails'!$A$9:$D$24,2,0),"Other"))</f>
        <v/>
      </c>
      <c r="AS22" s="31" t="str">
        <f aca="false">IF($O22="","",$O22&amp;"|"&amp;$B22)</f>
        <v/>
      </c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6"/>
      <c r="H23" s="6"/>
      <c r="I23" s="23"/>
      <c r="J23" s="23"/>
      <c r="K23" s="23"/>
      <c r="L23" s="6"/>
      <c r="M23" s="6"/>
      <c r="N23" s="24"/>
      <c r="O23" s="25"/>
      <c r="P23" s="23"/>
      <c r="Q23" s="23"/>
      <c r="R23" s="23"/>
      <c r="S23" s="23"/>
      <c r="T23" s="26" t="str">
        <f aca="false">IF(OR($O23="",$D23=""),"",WORKDAY($O23,-IFERROR(VLOOKUP($D23,'Rules &amp; Guardrails'!$A$9:$D$24,3,0),10)))</f>
        <v/>
      </c>
      <c r="U23" s="23"/>
      <c r="V23" s="23"/>
      <c r="W23" s="23"/>
      <c r="X23" s="6"/>
      <c r="Y23" s="23"/>
      <c r="Z23" s="23"/>
      <c r="AA23" s="23"/>
      <c r="AB23" s="23"/>
      <c r="AC23" s="23"/>
      <c r="AD23" s="23"/>
      <c r="AE23" s="23"/>
      <c r="AF23" s="27" t="str">
        <f aca="true">IF($O23="","",IF(OR($AE23="Cancelled",$AE23="On hold",$AE23="Launched"),$AE23,IF(AND($Y23="Approved",OR($Z23="Yes",$Z23="N/A"),OR($AA23="Yes",$AA23="N/A"),OR($AB23="No",$AB23="N/A",AND($AB23="Yes",$AD23="Yes"))),"Ready",IF($O23&lt;TODAY(),"Overdue",IF($O23-TODAY()&lt;='Rules &amp; Guardrails'!$C$5,"At Risk","In Progress")))))</f>
        <v/>
      </c>
      <c r="AG23" s="28" t="str">
        <f aca="false">IF($O23="","",IF(OR($AE23="Launched",$AE23="Cancelled"),"",MID(IF($Y23&lt;&gt;"Approved",", Content approval","")&amp;IF(NOT(OR($Z23="Yes",$Z23="N/A")),", Assets","")&amp;IF(NOT(OR($AA23="Yes",$AA23="N/A")),", List","")&amp;IF($AB23="",", Ops decision",IF(AND($AB23="Yes",$AD23&lt;&gt;"Yes"),", Ops",""))&amp;IF($U23="",", Owner","")&amp;IF($K23="",", Segment",""),3,200)))</f>
        <v/>
      </c>
      <c r="AH23" s="29" t="str">
        <f aca="true">IF($O23="","",$O23-TODAY())</f>
        <v/>
      </c>
      <c r="AI23" s="26" t="str">
        <f aca="false">IF($O23="","",$O23-WEEKDAY($O23,3))</f>
        <v/>
      </c>
      <c r="AJ23" s="30" t="str">
        <f aca="false">IF($O23="","",DATE(YEAR($O23),MONTH($O23),1))</f>
        <v/>
      </c>
      <c r="AK23" s="31" t="str">
        <f aca="false">IF(OR($O23="",$K23=""),"",COUNTIFS('Comms Calendar'!$K$5:$K$504,$K23,'Comms Calendar'!$B$5:$B$504,$B23,'Comms Calendar'!$AI$5:$AI$504,$AI23,'Comms Calendar'!$AE$5:$AE$504,"&lt;&gt;Cancelled"))</f>
        <v/>
      </c>
      <c r="AL23" s="27" t="str">
        <f aca="false">IF($AK23="","",IF($AK23&gt;'Rules &amp; Guardrails'!$C$3,"Over cap","OK"))</f>
        <v/>
      </c>
      <c r="AM23" s="27" t="str">
        <f aca="false">IF(OR($O23="",$K23=""),"",IF(COUNTIFS('Comms Calendar'!$K$5:$K$504,$K23,'Comms Calendar'!$B$5:$B$504,$B23,'Comms Calendar'!$O$5:$O$504,$O23,'Comms Calendar'!$AE$5:$AE$504,"&lt;&gt;Cancelled")&gt;1,"Clash",""))</f>
        <v/>
      </c>
      <c r="AN23" s="27" t="str">
        <f aca="false">IF($O23="","",IF(IF($B23="Global",COUNTIF('Rules &amp; Guardrails'!$F$9:$F$60,$O23),COUNTIFS('Rules &amp; Guardrails'!$F$9:$F$60,$O23,'Rules &amp; Guardrails'!$G$9:$G$60,$B23)+COUNTIFS('Rules &amp; Guardrails'!$F$9:$F$60,$O23,'Rules &amp; Guardrails'!$G$9:$G$60,"Global"))&gt;0,"Blackout",""))</f>
        <v/>
      </c>
      <c r="AO23" s="6"/>
      <c r="AP23" s="25"/>
      <c r="AQ23" s="23"/>
      <c r="AR23" s="31" t="str">
        <f aca="false">IF($D23="","",IFERROR(VLOOKUP($D23,'Rules &amp; Guardrails'!$A$9:$D$24,2,0),"Other"))</f>
        <v/>
      </c>
      <c r="AS23" s="31" t="str">
        <f aca="false">IF($O23="","",$O23&amp;"|"&amp;$B23)</f>
        <v/>
      </c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6"/>
      <c r="H24" s="6"/>
      <c r="I24" s="23"/>
      <c r="J24" s="23"/>
      <c r="K24" s="23"/>
      <c r="L24" s="6"/>
      <c r="M24" s="6"/>
      <c r="N24" s="24"/>
      <c r="O24" s="25"/>
      <c r="P24" s="23"/>
      <c r="Q24" s="23"/>
      <c r="R24" s="23"/>
      <c r="S24" s="23"/>
      <c r="T24" s="26" t="str">
        <f aca="false">IF(OR($O24="",$D24=""),"",WORKDAY($O24,-IFERROR(VLOOKUP($D24,'Rules &amp; Guardrails'!$A$9:$D$24,3,0),10)))</f>
        <v/>
      </c>
      <c r="U24" s="23"/>
      <c r="V24" s="23"/>
      <c r="W24" s="23"/>
      <c r="X24" s="6"/>
      <c r="Y24" s="23"/>
      <c r="Z24" s="23"/>
      <c r="AA24" s="23"/>
      <c r="AB24" s="23"/>
      <c r="AC24" s="23"/>
      <c r="AD24" s="23"/>
      <c r="AE24" s="23"/>
      <c r="AF24" s="27" t="str">
        <f aca="true">IF($O24="","",IF(OR($AE24="Cancelled",$AE24="On hold",$AE24="Launched"),$AE24,IF(AND($Y24="Approved",OR($Z24="Yes",$Z24="N/A"),OR($AA24="Yes",$AA24="N/A"),OR($AB24="No",$AB24="N/A",AND($AB24="Yes",$AD24="Yes"))),"Ready",IF($O24&lt;TODAY(),"Overdue",IF($O24-TODAY()&lt;='Rules &amp; Guardrails'!$C$5,"At Risk","In Progress")))))</f>
        <v/>
      </c>
      <c r="AG24" s="28" t="str">
        <f aca="false">IF($O24="","",IF(OR($AE24="Launched",$AE24="Cancelled"),"",MID(IF($Y24&lt;&gt;"Approved",", Content approval","")&amp;IF(NOT(OR($Z24="Yes",$Z24="N/A")),", Assets","")&amp;IF(NOT(OR($AA24="Yes",$AA24="N/A")),", List","")&amp;IF($AB24="",", Ops decision",IF(AND($AB24="Yes",$AD24&lt;&gt;"Yes"),", Ops",""))&amp;IF($U24="",", Owner","")&amp;IF($K24="",", Segment",""),3,200)))</f>
        <v/>
      </c>
      <c r="AH24" s="29" t="str">
        <f aca="true">IF($O24="","",$O24-TODAY())</f>
        <v/>
      </c>
      <c r="AI24" s="26" t="str">
        <f aca="false">IF($O24="","",$O24-WEEKDAY($O24,3))</f>
        <v/>
      </c>
      <c r="AJ24" s="30" t="str">
        <f aca="false">IF($O24="","",DATE(YEAR($O24),MONTH($O24),1))</f>
        <v/>
      </c>
      <c r="AK24" s="31" t="str">
        <f aca="false">IF(OR($O24="",$K24=""),"",COUNTIFS('Comms Calendar'!$K$5:$K$504,$K24,'Comms Calendar'!$B$5:$B$504,$B24,'Comms Calendar'!$AI$5:$AI$504,$AI24,'Comms Calendar'!$AE$5:$AE$504,"&lt;&gt;Cancelled"))</f>
        <v/>
      </c>
      <c r="AL24" s="27" t="str">
        <f aca="false">IF($AK24="","",IF($AK24&gt;'Rules &amp; Guardrails'!$C$3,"Over cap","OK"))</f>
        <v/>
      </c>
      <c r="AM24" s="27" t="str">
        <f aca="false">IF(OR($O24="",$K24=""),"",IF(COUNTIFS('Comms Calendar'!$K$5:$K$504,$K24,'Comms Calendar'!$B$5:$B$504,$B24,'Comms Calendar'!$O$5:$O$504,$O24,'Comms Calendar'!$AE$5:$AE$504,"&lt;&gt;Cancelled")&gt;1,"Clash",""))</f>
        <v/>
      </c>
      <c r="AN24" s="27" t="str">
        <f aca="false">IF($O24="","",IF(IF($B24="Global",COUNTIF('Rules &amp; Guardrails'!$F$9:$F$60,$O24),COUNTIFS('Rules &amp; Guardrails'!$F$9:$F$60,$O24,'Rules &amp; Guardrails'!$G$9:$G$60,$B24)+COUNTIFS('Rules &amp; Guardrails'!$F$9:$F$60,$O24,'Rules &amp; Guardrails'!$G$9:$G$60,"Global"))&gt;0,"Blackout",""))</f>
        <v/>
      </c>
      <c r="AO24" s="6"/>
      <c r="AP24" s="25"/>
      <c r="AQ24" s="23"/>
      <c r="AR24" s="31" t="str">
        <f aca="false">IF($D24="","",IFERROR(VLOOKUP($D24,'Rules &amp; Guardrails'!$A$9:$D$24,2,0),"Other"))</f>
        <v/>
      </c>
      <c r="AS24" s="31" t="str">
        <f aca="false">IF($O24="","",$O24&amp;"|"&amp;$B24)</f>
        <v/>
      </c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6"/>
      <c r="H25" s="6"/>
      <c r="I25" s="23"/>
      <c r="J25" s="23"/>
      <c r="K25" s="23"/>
      <c r="L25" s="6"/>
      <c r="M25" s="6"/>
      <c r="N25" s="24"/>
      <c r="O25" s="25"/>
      <c r="P25" s="23"/>
      <c r="Q25" s="23"/>
      <c r="R25" s="23"/>
      <c r="S25" s="23"/>
      <c r="T25" s="26" t="str">
        <f aca="false">IF(OR($O25="",$D25=""),"",WORKDAY($O25,-IFERROR(VLOOKUP($D25,'Rules &amp; Guardrails'!$A$9:$D$24,3,0),10)))</f>
        <v/>
      </c>
      <c r="U25" s="23"/>
      <c r="V25" s="23"/>
      <c r="W25" s="23"/>
      <c r="X25" s="6"/>
      <c r="Y25" s="23"/>
      <c r="Z25" s="23"/>
      <c r="AA25" s="23"/>
      <c r="AB25" s="23"/>
      <c r="AC25" s="23"/>
      <c r="AD25" s="23"/>
      <c r="AE25" s="23"/>
      <c r="AF25" s="27" t="str">
        <f aca="true">IF($O25="","",IF(OR($AE25="Cancelled",$AE25="On hold",$AE25="Launched"),$AE25,IF(AND($Y25="Approved",OR($Z25="Yes",$Z25="N/A"),OR($AA25="Yes",$AA25="N/A"),OR($AB25="No",$AB25="N/A",AND($AB25="Yes",$AD25="Yes"))),"Ready",IF($O25&lt;TODAY(),"Overdue",IF($O25-TODAY()&lt;='Rules &amp; Guardrails'!$C$5,"At Risk","In Progress")))))</f>
        <v/>
      </c>
      <c r="AG25" s="28" t="str">
        <f aca="false">IF($O25="","",IF(OR($AE25="Launched",$AE25="Cancelled"),"",MID(IF($Y25&lt;&gt;"Approved",", Content approval","")&amp;IF(NOT(OR($Z25="Yes",$Z25="N/A")),", Assets","")&amp;IF(NOT(OR($AA25="Yes",$AA25="N/A")),", List","")&amp;IF($AB25="",", Ops decision",IF(AND($AB25="Yes",$AD25&lt;&gt;"Yes"),", Ops",""))&amp;IF($U25="",", Owner","")&amp;IF($K25="",", Segment",""),3,200)))</f>
        <v/>
      </c>
      <c r="AH25" s="29" t="str">
        <f aca="true">IF($O25="","",$O25-TODAY())</f>
        <v/>
      </c>
      <c r="AI25" s="26" t="str">
        <f aca="false">IF($O25="","",$O25-WEEKDAY($O25,3))</f>
        <v/>
      </c>
      <c r="AJ25" s="30" t="str">
        <f aca="false">IF($O25="","",DATE(YEAR($O25),MONTH($O25),1))</f>
        <v/>
      </c>
      <c r="AK25" s="31" t="str">
        <f aca="false">IF(OR($O25="",$K25=""),"",COUNTIFS('Comms Calendar'!$K$5:$K$504,$K25,'Comms Calendar'!$B$5:$B$504,$B25,'Comms Calendar'!$AI$5:$AI$504,$AI25,'Comms Calendar'!$AE$5:$AE$504,"&lt;&gt;Cancelled"))</f>
        <v/>
      </c>
      <c r="AL25" s="27" t="str">
        <f aca="false">IF($AK25="","",IF($AK25&gt;'Rules &amp; Guardrails'!$C$3,"Over cap","OK"))</f>
        <v/>
      </c>
      <c r="AM25" s="27" t="str">
        <f aca="false">IF(OR($O25="",$K25=""),"",IF(COUNTIFS('Comms Calendar'!$K$5:$K$504,$K25,'Comms Calendar'!$B$5:$B$504,$B25,'Comms Calendar'!$O$5:$O$504,$O25,'Comms Calendar'!$AE$5:$AE$504,"&lt;&gt;Cancelled")&gt;1,"Clash",""))</f>
        <v/>
      </c>
      <c r="AN25" s="27" t="str">
        <f aca="false">IF($O25="","",IF(IF($B25="Global",COUNTIF('Rules &amp; Guardrails'!$F$9:$F$60,$O25),COUNTIFS('Rules &amp; Guardrails'!$F$9:$F$60,$O25,'Rules &amp; Guardrails'!$G$9:$G$60,$B25)+COUNTIFS('Rules &amp; Guardrails'!$F$9:$F$60,$O25,'Rules &amp; Guardrails'!$G$9:$G$60,"Global"))&gt;0,"Blackout",""))</f>
        <v/>
      </c>
      <c r="AO25" s="6"/>
      <c r="AP25" s="25"/>
      <c r="AQ25" s="23"/>
      <c r="AR25" s="31" t="str">
        <f aca="false">IF($D25="","",IFERROR(VLOOKUP($D25,'Rules &amp; Guardrails'!$A$9:$D$24,2,0),"Other"))</f>
        <v/>
      </c>
      <c r="AS25" s="31" t="str">
        <f aca="false">IF($O25="","",$O25&amp;"|"&amp;$B25)</f>
        <v/>
      </c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6"/>
      <c r="H26" s="6"/>
      <c r="I26" s="23"/>
      <c r="J26" s="23"/>
      <c r="K26" s="23"/>
      <c r="L26" s="6"/>
      <c r="M26" s="6"/>
      <c r="N26" s="24"/>
      <c r="O26" s="25"/>
      <c r="P26" s="23"/>
      <c r="Q26" s="23"/>
      <c r="R26" s="23"/>
      <c r="S26" s="23"/>
      <c r="T26" s="26" t="str">
        <f aca="false">IF(OR($O26="",$D26=""),"",WORKDAY($O26,-IFERROR(VLOOKUP($D26,'Rules &amp; Guardrails'!$A$9:$D$24,3,0),10)))</f>
        <v/>
      </c>
      <c r="U26" s="23"/>
      <c r="V26" s="23"/>
      <c r="W26" s="23"/>
      <c r="X26" s="6"/>
      <c r="Y26" s="23"/>
      <c r="Z26" s="23"/>
      <c r="AA26" s="23"/>
      <c r="AB26" s="23"/>
      <c r="AC26" s="23"/>
      <c r="AD26" s="23"/>
      <c r="AE26" s="23"/>
      <c r="AF26" s="27" t="str">
        <f aca="true">IF($O26="","",IF(OR($AE26="Cancelled",$AE26="On hold",$AE26="Launched"),$AE26,IF(AND($Y26="Approved",OR($Z26="Yes",$Z26="N/A"),OR($AA26="Yes",$AA26="N/A"),OR($AB26="No",$AB26="N/A",AND($AB26="Yes",$AD26="Yes"))),"Ready",IF($O26&lt;TODAY(),"Overdue",IF($O26-TODAY()&lt;='Rules &amp; Guardrails'!$C$5,"At Risk","In Progress")))))</f>
        <v/>
      </c>
      <c r="AG26" s="28" t="str">
        <f aca="false">IF($O26="","",IF(OR($AE26="Launched",$AE26="Cancelled"),"",MID(IF($Y26&lt;&gt;"Approved",", Content approval","")&amp;IF(NOT(OR($Z26="Yes",$Z26="N/A")),", Assets","")&amp;IF(NOT(OR($AA26="Yes",$AA26="N/A")),", List","")&amp;IF($AB26="",", Ops decision",IF(AND($AB26="Yes",$AD26&lt;&gt;"Yes"),", Ops",""))&amp;IF($U26="",", Owner","")&amp;IF($K26="",", Segment",""),3,200)))</f>
        <v/>
      </c>
      <c r="AH26" s="29" t="str">
        <f aca="true">IF($O26="","",$O26-TODAY())</f>
        <v/>
      </c>
      <c r="AI26" s="26" t="str">
        <f aca="false">IF($O26="","",$O26-WEEKDAY($O26,3))</f>
        <v/>
      </c>
      <c r="AJ26" s="30" t="str">
        <f aca="false">IF($O26="","",DATE(YEAR($O26),MONTH($O26),1))</f>
        <v/>
      </c>
      <c r="AK26" s="31" t="str">
        <f aca="false">IF(OR($O26="",$K26=""),"",COUNTIFS('Comms Calendar'!$K$5:$K$504,$K26,'Comms Calendar'!$B$5:$B$504,$B26,'Comms Calendar'!$AI$5:$AI$504,$AI26,'Comms Calendar'!$AE$5:$AE$504,"&lt;&gt;Cancelled"))</f>
        <v/>
      </c>
      <c r="AL26" s="27" t="str">
        <f aca="false">IF($AK26="","",IF($AK26&gt;'Rules &amp; Guardrails'!$C$3,"Over cap","OK"))</f>
        <v/>
      </c>
      <c r="AM26" s="27" t="str">
        <f aca="false">IF(OR($O26="",$K26=""),"",IF(COUNTIFS('Comms Calendar'!$K$5:$K$504,$K26,'Comms Calendar'!$B$5:$B$504,$B26,'Comms Calendar'!$O$5:$O$504,$O26,'Comms Calendar'!$AE$5:$AE$504,"&lt;&gt;Cancelled")&gt;1,"Clash",""))</f>
        <v/>
      </c>
      <c r="AN26" s="27" t="str">
        <f aca="false">IF($O26="","",IF(IF($B26="Global",COUNTIF('Rules &amp; Guardrails'!$F$9:$F$60,$O26),COUNTIFS('Rules &amp; Guardrails'!$F$9:$F$60,$O26,'Rules &amp; Guardrails'!$G$9:$G$60,$B26)+COUNTIFS('Rules &amp; Guardrails'!$F$9:$F$60,$O26,'Rules &amp; Guardrails'!$G$9:$G$60,"Global"))&gt;0,"Blackout",""))</f>
        <v/>
      </c>
      <c r="AO26" s="6"/>
      <c r="AP26" s="25"/>
      <c r="AQ26" s="23"/>
      <c r="AR26" s="31" t="str">
        <f aca="false">IF($D26="","",IFERROR(VLOOKUP($D26,'Rules &amp; Guardrails'!$A$9:$D$24,2,0),"Other"))</f>
        <v/>
      </c>
      <c r="AS26" s="31" t="str">
        <f aca="false">IF($O26="","",$O26&amp;"|"&amp;$B26)</f>
        <v/>
      </c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6"/>
      <c r="H27" s="6"/>
      <c r="I27" s="23"/>
      <c r="J27" s="23"/>
      <c r="K27" s="23"/>
      <c r="L27" s="6"/>
      <c r="M27" s="6"/>
      <c r="N27" s="24"/>
      <c r="O27" s="25"/>
      <c r="P27" s="23"/>
      <c r="Q27" s="23"/>
      <c r="R27" s="23"/>
      <c r="S27" s="23"/>
      <c r="T27" s="26" t="str">
        <f aca="false">IF(OR($O27="",$D27=""),"",WORKDAY($O27,-IFERROR(VLOOKUP($D27,'Rules &amp; Guardrails'!$A$9:$D$24,3,0),10)))</f>
        <v/>
      </c>
      <c r="U27" s="23"/>
      <c r="V27" s="23"/>
      <c r="W27" s="23"/>
      <c r="X27" s="6"/>
      <c r="Y27" s="23"/>
      <c r="Z27" s="23"/>
      <c r="AA27" s="23"/>
      <c r="AB27" s="23"/>
      <c r="AC27" s="23"/>
      <c r="AD27" s="23"/>
      <c r="AE27" s="23"/>
      <c r="AF27" s="27" t="str">
        <f aca="true">IF($O27="","",IF(OR($AE27="Cancelled",$AE27="On hold",$AE27="Launched"),$AE27,IF(AND($Y27="Approved",OR($Z27="Yes",$Z27="N/A"),OR($AA27="Yes",$AA27="N/A"),OR($AB27="No",$AB27="N/A",AND($AB27="Yes",$AD27="Yes"))),"Ready",IF($O27&lt;TODAY(),"Overdue",IF($O27-TODAY()&lt;='Rules &amp; Guardrails'!$C$5,"At Risk","In Progress")))))</f>
        <v/>
      </c>
      <c r="AG27" s="28" t="str">
        <f aca="false">IF($O27="","",IF(OR($AE27="Launched",$AE27="Cancelled"),"",MID(IF($Y27&lt;&gt;"Approved",", Content approval","")&amp;IF(NOT(OR($Z27="Yes",$Z27="N/A")),", Assets","")&amp;IF(NOT(OR($AA27="Yes",$AA27="N/A")),", List","")&amp;IF($AB27="",", Ops decision",IF(AND($AB27="Yes",$AD27&lt;&gt;"Yes"),", Ops",""))&amp;IF($U27="",", Owner","")&amp;IF($K27="",", Segment",""),3,200)))</f>
        <v/>
      </c>
      <c r="AH27" s="29" t="str">
        <f aca="true">IF($O27="","",$O27-TODAY())</f>
        <v/>
      </c>
      <c r="AI27" s="26" t="str">
        <f aca="false">IF($O27="","",$O27-WEEKDAY($O27,3))</f>
        <v/>
      </c>
      <c r="AJ27" s="30" t="str">
        <f aca="false">IF($O27="","",DATE(YEAR($O27),MONTH($O27),1))</f>
        <v/>
      </c>
      <c r="AK27" s="31" t="str">
        <f aca="false">IF(OR($O27="",$K27=""),"",COUNTIFS('Comms Calendar'!$K$5:$K$504,$K27,'Comms Calendar'!$B$5:$B$504,$B27,'Comms Calendar'!$AI$5:$AI$504,$AI27,'Comms Calendar'!$AE$5:$AE$504,"&lt;&gt;Cancelled"))</f>
        <v/>
      </c>
      <c r="AL27" s="27" t="str">
        <f aca="false">IF($AK27="","",IF($AK27&gt;'Rules &amp; Guardrails'!$C$3,"Over cap","OK"))</f>
        <v/>
      </c>
      <c r="AM27" s="27" t="str">
        <f aca="false">IF(OR($O27="",$K27=""),"",IF(COUNTIFS('Comms Calendar'!$K$5:$K$504,$K27,'Comms Calendar'!$B$5:$B$504,$B27,'Comms Calendar'!$O$5:$O$504,$O27,'Comms Calendar'!$AE$5:$AE$504,"&lt;&gt;Cancelled")&gt;1,"Clash",""))</f>
        <v/>
      </c>
      <c r="AN27" s="27" t="str">
        <f aca="false">IF($O27="","",IF(IF($B27="Global",COUNTIF('Rules &amp; Guardrails'!$F$9:$F$60,$O27),COUNTIFS('Rules &amp; Guardrails'!$F$9:$F$60,$O27,'Rules &amp; Guardrails'!$G$9:$G$60,$B27)+COUNTIFS('Rules &amp; Guardrails'!$F$9:$F$60,$O27,'Rules &amp; Guardrails'!$G$9:$G$60,"Global"))&gt;0,"Blackout",""))</f>
        <v/>
      </c>
      <c r="AO27" s="6"/>
      <c r="AP27" s="25"/>
      <c r="AQ27" s="23"/>
      <c r="AR27" s="31" t="str">
        <f aca="false">IF($D27="","",IFERROR(VLOOKUP($D27,'Rules &amp; Guardrails'!$A$9:$D$24,2,0),"Other"))</f>
        <v/>
      </c>
      <c r="AS27" s="31" t="str">
        <f aca="false">IF($O27="","",$O27&amp;"|"&amp;$B27)</f>
        <v/>
      </c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6"/>
      <c r="H28" s="6"/>
      <c r="I28" s="23"/>
      <c r="J28" s="23"/>
      <c r="K28" s="23"/>
      <c r="L28" s="6"/>
      <c r="M28" s="6"/>
      <c r="N28" s="24"/>
      <c r="O28" s="25"/>
      <c r="P28" s="23"/>
      <c r="Q28" s="23"/>
      <c r="R28" s="23"/>
      <c r="S28" s="23"/>
      <c r="T28" s="26" t="str">
        <f aca="false">IF(OR($O28="",$D28=""),"",WORKDAY($O28,-IFERROR(VLOOKUP($D28,'Rules &amp; Guardrails'!$A$9:$D$24,3,0),10)))</f>
        <v/>
      </c>
      <c r="U28" s="23"/>
      <c r="V28" s="23"/>
      <c r="W28" s="23"/>
      <c r="X28" s="6"/>
      <c r="Y28" s="23"/>
      <c r="Z28" s="23"/>
      <c r="AA28" s="23"/>
      <c r="AB28" s="23"/>
      <c r="AC28" s="23"/>
      <c r="AD28" s="23"/>
      <c r="AE28" s="23"/>
      <c r="AF28" s="27" t="str">
        <f aca="true">IF($O28="","",IF(OR($AE28="Cancelled",$AE28="On hold",$AE28="Launched"),$AE28,IF(AND($Y28="Approved",OR($Z28="Yes",$Z28="N/A"),OR($AA28="Yes",$AA28="N/A"),OR($AB28="No",$AB28="N/A",AND($AB28="Yes",$AD28="Yes"))),"Ready",IF($O28&lt;TODAY(),"Overdue",IF($O28-TODAY()&lt;='Rules &amp; Guardrails'!$C$5,"At Risk","In Progress")))))</f>
        <v/>
      </c>
      <c r="AG28" s="28" t="str">
        <f aca="false">IF($O28="","",IF(OR($AE28="Launched",$AE28="Cancelled"),"",MID(IF($Y28&lt;&gt;"Approved",", Content approval","")&amp;IF(NOT(OR($Z28="Yes",$Z28="N/A")),", Assets","")&amp;IF(NOT(OR($AA28="Yes",$AA28="N/A")),", List","")&amp;IF($AB28="",", Ops decision",IF(AND($AB28="Yes",$AD28&lt;&gt;"Yes"),", Ops",""))&amp;IF($U28="",", Owner","")&amp;IF($K28="",", Segment",""),3,200)))</f>
        <v/>
      </c>
      <c r="AH28" s="29" t="str">
        <f aca="true">IF($O28="","",$O28-TODAY())</f>
        <v/>
      </c>
      <c r="AI28" s="26" t="str">
        <f aca="false">IF($O28="","",$O28-WEEKDAY($O28,3))</f>
        <v/>
      </c>
      <c r="AJ28" s="30" t="str">
        <f aca="false">IF($O28="","",DATE(YEAR($O28),MONTH($O28),1))</f>
        <v/>
      </c>
      <c r="AK28" s="31" t="str">
        <f aca="false">IF(OR($O28="",$K28=""),"",COUNTIFS('Comms Calendar'!$K$5:$K$504,$K28,'Comms Calendar'!$B$5:$B$504,$B28,'Comms Calendar'!$AI$5:$AI$504,$AI28,'Comms Calendar'!$AE$5:$AE$504,"&lt;&gt;Cancelled"))</f>
        <v/>
      </c>
      <c r="AL28" s="27" t="str">
        <f aca="false">IF($AK28="","",IF($AK28&gt;'Rules &amp; Guardrails'!$C$3,"Over cap","OK"))</f>
        <v/>
      </c>
      <c r="AM28" s="27" t="str">
        <f aca="false">IF(OR($O28="",$K28=""),"",IF(COUNTIFS('Comms Calendar'!$K$5:$K$504,$K28,'Comms Calendar'!$B$5:$B$504,$B28,'Comms Calendar'!$O$5:$O$504,$O28,'Comms Calendar'!$AE$5:$AE$504,"&lt;&gt;Cancelled")&gt;1,"Clash",""))</f>
        <v/>
      </c>
      <c r="AN28" s="27" t="str">
        <f aca="false">IF($O28="","",IF(IF($B28="Global",COUNTIF('Rules &amp; Guardrails'!$F$9:$F$60,$O28),COUNTIFS('Rules &amp; Guardrails'!$F$9:$F$60,$O28,'Rules &amp; Guardrails'!$G$9:$G$60,$B28)+COUNTIFS('Rules &amp; Guardrails'!$F$9:$F$60,$O28,'Rules &amp; Guardrails'!$G$9:$G$60,"Global"))&gt;0,"Blackout",""))</f>
        <v/>
      </c>
      <c r="AO28" s="6"/>
      <c r="AP28" s="25"/>
      <c r="AQ28" s="23"/>
      <c r="AR28" s="31" t="str">
        <f aca="false">IF($D28="","",IFERROR(VLOOKUP($D28,'Rules &amp; Guardrails'!$A$9:$D$24,2,0),"Other"))</f>
        <v/>
      </c>
      <c r="AS28" s="31" t="str">
        <f aca="false">IF($O28="","",$O28&amp;"|"&amp;$B28)</f>
        <v/>
      </c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6"/>
      <c r="H29" s="6"/>
      <c r="I29" s="23"/>
      <c r="J29" s="23"/>
      <c r="K29" s="23"/>
      <c r="L29" s="6"/>
      <c r="M29" s="6"/>
      <c r="N29" s="24"/>
      <c r="O29" s="25"/>
      <c r="P29" s="23"/>
      <c r="Q29" s="23"/>
      <c r="R29" s="23"/>
      <c r="S29" s="23"/>
      <c r="T29" s="26" t="str">
        <f aca="false">IF(OR($O29="",$D29=""),"",WORKDAY($O29,-IFERROR(VLOOKUP($D29,'Rules &amp; Guardrails'!$A$9:$D$24,3,0),10)))</f>
        <v/>
      </c>
      <c r="U29" s="23"/>
      <c r="V29" s="23"/>
      <c r="W29" s="23"/>
      <c r="X29" s="6"/>
      <c r="Y29" s="23"/>
      <c r="Z29" s="23"/>
      <c r="AA29" s="23"/>
      <c r="AB29" s="23"/>
      <c r="AC29" s="23"/>
      <c r="AD29" s="23"/>
      <c r="AE29" s="23"/>
      <c r="AF29" s="27" t="str">
        <f aca="true">IF($O29="","",IF(OR($AE29="Cancelled",$AE29="On hold",$AE29="Launched"),$AE29,IF(AND($Y29="Approved",OR($Z29="Yes",$Z29="N/A"),OR($AA29="Yes",$AA29="N/A"),OR($AB29="No",$AB29="N/A",AND($AB29="Yes",$AD29="Yes"))),"Ready",IF($O29&lt;TODAY(),"Overdue",IF($O29-TODAY()&lt;='Rules &amp; Guardrails'!$C$5,"At Risk","In Progress")))))</f>
        <v/>
      </c>
      <c r="AG29" s="28" t="str">
        <f aca="false">IF($O29="","",IF(OR($AE29="Launched",$AE29="Cancelled"),"",MID(IF($Y29&lt;&gt;"Approved",", Content approval","")&amp;IF(NOT(OR($Z29="Yes",$Z29="N/A")),", Assets","")&amp;IF(NOT(OR($AA29="Yes",$AA29="N/A")),", List","")&amp;IF($AB29="",", Ops decision",IF(AND($AB29="Yes",$AD29&lt;&gt;"Yes"),", Ops",""))&amp;IF($U29="",", Owner","")&amp;IF($K29="",", Segment",""),3,200)))</f>
        <v/>
      </c>
      <c r="AH29" s="29" t="str">
        <f aca="true">IF($O29="","",$O29-TODAY())</f>
        <v/>
      </c>
      <c r="AI29" s="26" t="str">
        <f aca="false">IF($O29="","",$O29-WEEKDAY($O29,3))</f>
        <v/>
      </c>
      <c r="AJ29" s="30" t="str">
        <f aca="false">IF($O29="","",DATE(YEAR($O29),MONTH($O29),1))</f>
        <v/>
      </c>
      <c r="AK29" s="31" t="str">
        <f aca="false">IF(OR($O29="",$K29=""),"",COUNTIFS('Comms Calendar'!$K$5:$K$504,$K29,'Comms Calendar'!$B$5:$B$504,$B29,'Comms Calendar'!$AI$5:$AI$504,$AI29,'Comms Calendar'!$AE$5:$AE$504,"&lt;&gt;Cancelled"))</f>
        <v/>
      </c>
      <c r="AL29" s="27" t="str">
        <f aca="false">IF($AK29="","",IF($AK29&gt;'Rules &amp; Guardrails'!$C$3,"Over cap","OK"))</f>
        <v/>
      </c>
      <c r="AM29" s="27" t="str">
        <f aca="false">IF(OR($O29="",$K29=""),"",IF(COUNTIFS('Comms Calendar'!$K$5:$K$504,$K29,'Comms Calendar'!$B$5:$B$504,$B29,'Comms Calendar'!$O$5:$O$504,$O29,'Comms Calendar'!$AE$5:$AE$504,"&lt;&gt;Cancelled")&gt;1,"Clash",""))</f>
        <v/>
      </c>
      <c r="AN29" s="27" t="str">
        <f aca="false">IF($O29="","",IF(IF($B29="Global",COUNTIF('Rules &amp; Guardrails'!$F$9:$F$60,$O29),COUNTIFS('Rules &amp; Guardrails'!$F$9:$F$60,$O29,'Rules &amp; Guardrails'!$G$9:$G$60,$B29)+COUNTIFS('Rules &amp; Guardrails'!$F$9:$F$60,$O29,'Rules &amp; Guardrails'!$G$9:$G$60,"Global"))&gt;0,"Blackout",""))</f>
        <v/>
      </c>
      <c r="AO29" s="6"/>
      <c r="AP29" s="25"/>
      <c r="AQ29" s="23"/>
      <c r="AR29" s="31" t="str">
        <f aca="false">IF($D29="","",IFERROR(VLOOKUP($D29,'Rules &amp; Guardrails'!$A$9:$D$24,2,0),"Other"))</f>
        <v/>
      </c>
      <c r="AS29" s="31" t="str">
        <f aca="false">IF($O29="","",$O29&amp;"|"&amp;$B29)</f>
        <v/>
      </c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6"/>
      <c r="H30" s="6"/>
      <c r="I30" s="23"/>
      <c r="J30" s="23"/>
      <c r="K30" s="23"/>
      <c r="L30" s="6"/>
      <c r="M30" s="6"/>
      <c r="N30" s="24"/>
      <c r="O30" s="25"/>
      <c r="P30" s="23"/>
      <c r="Q30" s="23"/>
      <c r="R30" s="23"/>
      <c r="S30" s="23"/>
      <c r="T30" s="26" t="str">
        <f aca="false">IF(OR($O30="",$D30=""),"",WORKDAY($O30,-IFERROR(VLOOKUP($D30,'Rules &amp; Guardrails'!$A$9:$D$24,3,0),10)))</f>
        <v/>
      </c>
      <c r="U30" s="23"/>
      <c r="V30" s="23"/>
      <c r="W30" s="23"/>
      <c r="X30" s="6"/>
      <c r="Y30" s="23"/>
      <c r="Z30" s="23"/>
      <c r="AA30" s="23"/>
      <c r="AB30" s="23"/>
      <c r="AC30" s="23"/>
      <c r="AD30" s="23"/>
      <c r="AE30" s="23"/>
      <c r="AF30" s="27" t="str">
        <f aca="true">IF($O30="","",IF(OR($AE30="Cancelled",$AE30="On hold",$AE30="Launched"),$AE30,IF(AND($Y30="Approved",OR($Z30="Yes",$Z30="N/A"),OR($AA30="Yes",$AA30="N/A"),OR($AB30="No",$AB30="N/A",AND($AB30="Yes",$AD30="Yes"))),"Ready",IF($O30&lt;TODAY(),"Overdue",IF($O30-TODAY()&lt;='Rules &amp; Guardrails'!$C$5,"At Risk","In Progress")))))</f>
        <v/>
      </c>
      <c r="AG30" s="28" t="str">
        <f aca="false">IF($O30="","",IF(OR($AE30="Launched",$AE30="Cancelled"),"",MID(IF($Y30&lt;&gt;"Approved",", Content approval","")&amp;IF(NOT(OR($Z30="Yes",$Z30="N/A")),", Assets","")&amp;IF(NOT(OR($AA30="Yes",$AA30="N/A")),", List","")&amp;IF($AB30="",", Ops decision",IF(AND($AB30="Yes",$AD30&lt;&gt;"Yes"),", Ops",""))&amp;IF($U30="",", Owner","")&amp;IF($K30="",", Segment",""),3,200)))</f>
        <v/>
      </c>
      <c r="AH30" s="29" t="str">
        <f aca="true">IF($O30="","",$O30-TODAY())</f>
        <v/>
      </c>
      <c r="AI30" s="26" t="str">
        <f aca="false">IF($O30="","",$O30-WEEKDAY($O30,3))</f>
        <v/>
      </c>
      <c r="AJ30" s="30" t="str">
        <f aca="false">IF($O30="","",DATE(YEAR($O30),MONTH($O30),1))</f>
        <v/>
      </c>
      <c r="AK30" s="31" t="str">
        <f aca="false">IF(OR($O30="",$K30=""),"",COUNTIFS('Comms Calendar'!$K$5:$K$504,$K30,'Comms Calendar'!$B$5:$B$504,$B30,'Comms Calendar'!$AI$5:$AI$504,$AI30,'Comms Calendar'!$AE$5:$AE$504,"&lt;&gt;Cancelled"))</f>
        <v/>
      </c>
      <c r="AL30" s="27" t="str">
        <f aca="false">IF($AK30="","",IF($AK30&gt;'Rules &amp; Guardrails'!$C$3,"Over cap","OK"))</f>
        <v/>
      </c>
      <c r="AM30" s="27" t="str">
        <f aca="false">IF(OR($O30="",$K30=""),"",IF(COUNTIFS('Comms Calendar'!$K$5:$K$504,$K30,'Comms Calendar'!$B$5:$B$504,$B30,'Comms Calendar'!$O$5:$O$504,$O30,'Comms Calendar'!$AE$5:$AE$504,"&lt;&gt;Cancelled")&gt;1,"Clash",""))</f>
        <v/>
      </c>
      <c r="AN30" s="27" t="str">
        <f aca="false">IF($O30="","",IF(IF($B30="Global",COUNTIF('Rules &amp; Guardrails'!$F$9:$F$60,$O30),COUNTIFS('Rules &amp; Guardrails'!$F$9:$F$60,$O30,'Rules &amp; Guardrails'!$G$9:$G$60,$B30)+COUNTIFS('Rules &amp; Guardrails'!$F$9:$F$60,$O30,'Rules &amp; Guardrails'!$G$9:$G$60,"Global"))&gt;0,"Blackout",""))</f>
        <v/>
      </c>
      <c r="AO30" s="6"/>
      <c r="AP30" s="25"/>
      <c r="AQ30" s="23"/>
      <c r="AR30" s="31" t="str">
        <f aca="false">IF($D30="","",IFERROR(VLOOKUP($D30,'Rules &amp; Guardrails'!$A$9:$D$24,2,0),"Other"))</f>
        <v/>
      </c>
      <c r="AS30" s="31" t="str">
        <f aca="false">IF($O30="","",$O30&amp;"|"&amp;$B30)</f>
        <v/>
      </c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6"/>
      <c r="H31" s="6"/>
      <c r="I31" s="23"/>
      <c r="J31" s="23"/>
      <c r="K31" s="23"/>
      <c r="L31" s="6"/>
      <c r="M31" s="6"/>
      <c r="N31" s="24"/>
      <c r="O31" s="25"/>
      <c r="P31" s="23"/>
      <c r="Q31" s="23"/>
      <c r="R31" s="23"/>
      <c r="S31" s="23"/>
      <c r="T31" s="26" t="str">
        <f aca="false">IF(OR($O31="",$D31=""),"",WORKDAY($O31,-IFERROR(VLOOKUP($D31,'Rules &amp; Guardrails'!$A$9:$D$24,3,0),10)))</f>
        <v/>
      </c>
      <c r="U31" s="23"/>
      <c r="V31" s="23"/>
      <c r="W31" s="23"/>
      <c r="X31" s="6"/>
      <c r="Y31" s="23"/>
      <c r="Z31" s="23"/>
      <c r="AA31" s="23"/>
      <c r="AB31" s="23"/>
      <c r="AC31" s="23"/>
      <c r="AD31" s="23"/>
      <c r="AE31" s="23"/>
      <c r="AF31" s="27" t="str">
        <f aca="true">IF($O31="","",IF(OR($AE31="Cancelled",$AE31="On hold",$AE31="Launched"),$AE31,IF(AND($Y31="Approved",OR($Z31="Yes",$Z31="N/A"),OR($AA31="Yes",$AA31="N/A"),OR($AB31="No",$AB31="N/A",AND($AB31="Yes",$AD31="Yes"))),"Ready",IF($O31&lt;TODAY(),"Overdue",IF($O31-TODAY()&lt;='Rules &amp; Guardrails'!$C$5,"At Risk","In Progress")))))</f>
        <v/>
      </c>
      <c r="AG31" s="28" t="str">
        <f aca="false">IF($O31="","",IF(OR($AE31="Launched",$AE31="Cancelled"),"",MID(IF($Y31&lt;&gt;"Approved",", Content approval","")&amp;IF(NOT(OR($Z31="Yes",$Z31="N/A")),", Assets","")&amp;IF(NOT(OR($AA31="Yes",$AA31="N/A")),", List","")&amp;IF($AB31="",", Ops decision",IF(AND($AB31="Yes",$AD31&lt;&gt;"Yes"),", Ops",""))&amp;IF($U31="",", Owner","")&amp;IF($K31="",", Segment",""),3,200)))</f>
        <v/>
      </c>
      <c r="AH31" s="29" t="str">
        <f aca="true">IF($O31="","",$O31-TODAY())</f>
        <v/>
      </c>
      <c r="AI31" s="26" t="str">
        <f aca="false">IF($O31="","",$O31-WEEKDAY($O31,3))</f>
        <v/>
      </c>
      <c r="AJ31" s="30" t="str">
        <f aca="false">IF($O31="","",DATE(YEAR($O31),MONTH($O31),1))</f>
        <v/>
      </c>
      <c r="AK31" s="31" t="str">
        <f aca="false">IF(OR($O31="",$K31=""),"",COUNTIFS('Comms Calendar'!$K$5:$K$504,$K31,'Comms Calendar'!$B$5:$B$504,$B31,'Comms Calendar'!$AI$5:$AI$504,$AI31,'Comms Calendar'!$AE$5:$AE$504,"&lt;&gt;Cancelled"))</f>
        <v/>
      </c>
      <c r="AL31" s="27" t="str">
        <f aca="false">IF($AK31="","",IF($AK31&gt;'Rules &amp; Guardrails'!$C$3,"Over cap","OK"))</f>
        <v/>
      </c>
      <c r="AM31" s="27" t="str">
        <f aca="false">IF(OR($O31="",$K31=""),"",IF(COUNTIFS('Comms Calendar'!$K$5:$K$504,$K31,'Comms Calendar'!$B$5:$B$504,$B31,'Comms Calendar'!$O$5:$O$504,$O31,'Comms Calendar'!$AE$5:$AE$504,"&lt;&gt;Cancelled")&gt;1,"Clash",""))</f>
        <v/>
      </c>
      <c r="AN31" s="27" t="str">
        <f aca="false">IF($O31="","",IF(IF($B31="Global",COUNTIF('Rules &amp; Guardrails'!$F$9:$F$60,$O31),COUNTIFS('Rules &amp; Guardrails'!$F$9:$F$60,$O31,'Rules &amp; Guardrails'!$G$9:$G$60,$B31)+COUNTIFS('Rules &amp; Guardrails'!$F$9:$F$60,$O31,'Rules &amp; Guardrails'!$G$9:$G$60,"Global"))&gt;0,"Blackout",""))</f>
        <v/>
      </c>
      <c r="AO31" s="6"/>
      <c r="AP31" s="25"/>
      <c r="AQ31" s="23"/>
      <c r="AR31" s="31" t="str">
        <f aca="false">IF($D31="","",IFERROR(VLOOKUP($D31,'Rules &amp; Guardrails'!$A$9:$D$24,2,0),"Other"))</f>
        <v/>
      </c>
      <c r="AS31" s="31" t="str">
        <f aca="false">IF($O31="","",$O31&amp;"|"&amp;$B31)</f>
        <v/>
      </c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6"/>
      <c r="H32" s="6"/>
      <c r="I32" s="23"/>
      <c r="J32" s="23"/>
      <c r="K32" s="23"/>
      <c r="L32" s="6"/>
      <c r="M32" s="6"/>
      <c r="N32" s="24"/>
      <c r="O32" s="25"/>
      <c r="P32" s="23"/>
      <c r="Q32" s="23"/>
      <c r="R32" s="23"/>
      <c r="S32" s="23"/>
      <c r="T32" s="26" t="str">
        <f aca="false">IF(OR($O32="",$D32=""),"",WORKDAY($O32,-IFERROR(VLOOKUP($D32,'Rules &amp; Guardrails'!$A$9:$D$24,3,0),10)))</f>
        <v/>
      </c>
      <c r="U32" s="23"/>
      <c r="V32" s="23"/>
      <c r="W32" s="23"/>
      <c r="X32" s="6"/>
      <c r="Y32" s="23"/>
      <c r="Z32" s="23"/>
      <c r="AA32" s="23"/>
      <c r="AB32" s="23"/>
      <c r="AC32" s="23"/>
      <c r="AD32" s="23"/>
      <c r="AE32" s="23"/>
      <c r="AF32" s="27" t="str">
        <f aca="true">IF($O32="","",IF(OR($AE32="Cancelled",$AE32="On hold",$AE32="Launched"),$AE32,IF(AND($Y32="Approved",OR($Z32="Yes",$Z32="N/A"),OR($AA32="Yes",$AA32="N/A"),OR($AB32="No",$AB32="N/A",AND($AB32="Yes",$AD32="Yes"))),"Ready",IF($O32&lt;TODAY(),"Overdue",IF($O32-TODAY()&lt;='Rules &amp; Guardrails'!$C$5,"At Risk","In Progress")))))</f>
        <v/>
      </c>
      <c r="AG32" s="28" t="str">
        <f aca="false">IF($O32="","",IF(OR($AE32="Launched",$AE32="Cancelled"),"",MID(IF($Y32&lt;&gt;"Approved",", Content approval","")&amp;IF(NOT(OR($Z32="Yes",$Z32="N/A")),", Assets","")&amp;IF(NOT(OR($AA32="Yes",$AA32="N/A")),", List","")&amp;IF($AB32="",", Ops decision",IF(AND($AB32="Yes",$AD32&lt;&gt;"Yes"),", Ops",""))&amp;IF($U32="",", Owner","")&amp;IF($K32="",", Segment",""),3,200)))</f>
        <v/>
      </c>
      <c r="AH32" s="29" t="str">
        <f aca="true">IF($O32="","",$O32-TODAY())</f>
        <v/>
      </c>
      <c r="AI32" s="26" t="str">
        <f aca="false">IF($O32="","",$O32-WEEKDAY($O32,3))</f>
        <v/>
      </c>
      <c r="AJ32" s="30" t="str">
        <f aca="false">IF($O32="","",DATE(YEAR($O32),MONTH($O32),1))</f>
        <v/>
      </c>
      <c r="AK32" s="31" t="str">
        <f aca="false">IF(OR($O32="",$K32=""),"",COUNTIFS('Comms Calendar'!$K$5:$K$504,$K32,'Comms Calendar'!$B$5:$B$504,$B32,'Comms Calendar'!$AI$5:$AI$504,$AI32,'Comms Calendar'!$AE$5:$AE$504,"&lt;&gt;Cancelled"))</f>
        <v/>
      </c>
      <c r="AL32" s="27" t="str">
        <f aca="false">IF($AK32="","",IF($AK32&gt;'Rules &amp; Guardrails'!$C$3,"Over cap","OK"))</f>
        <v/>
      </c>
      <c r="AM32" s="27" t="str">
        <f aca="false">IF(OR($O32="",$K32=""),"",IF(COUNTIFS('Comms Calendar'!$K$5:$K$504,$K32,'Comms Calendar'!$B$5:$B$504,$B32,'Comms Calendar'!$O$5:$O$504,$O32,'Comms Calendar'!$AE$5:$AE$504,"&lt;&gt;Cancelled")&gt;1,"Clash",""))</f>
        <v/>
      </c>
      <c r="AN32" s="27" t="str">
        <f aca="false">IF($O32="","",IF(IF($B32="Global",COUNTIF('Rules &amp; Guardrails'!$F$9:$F$60,$O32),COUNTIFS('Rules &amp; Guardrails'!$F$9:$F$60,$O32,'Rules &amp; Guardrails'!$G$9:$G$60,$B32)+COUNTIFS('Rules &amp; Guardrails'!$F$9:$F$60,$O32,'Rules &amp; Guardrails'!$G$9:$G$60,"Global"))&gt;0,"Blackout",""))</f>
        <v/>
      </c>
      <c r="AO32" s="6"/>
      <c r="AP32" s="25"/>
      <c r="AQ32" s="23"/>
      <c r="AR32" s="31" t="str">
        <f aca="false">IF($D32="","",IFERROR(VLOOKUP($D32,'Rules &amp; Guardrails'!$A$9:$D$24,2,0),"Other"))</f>
        <v/>
      </c>
      <c r="AS32" s="31" t="str">
        <f aca="false">IF($O32="","",$O32&amp;"|"&amp;$B32)</f>
        <v/>
      </c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6"/>
      <c r="H33" s="6"/>
      <c r="I33" s="23"/>
      <c r="J33" s="23"/>
      <c r="K33" s="23"/>
      <c r="L33" s="6"/>
      <c r="M33" s="6"/>
      <c r="N33" s="24"/>
      <c r="O33" s="25"/>
      <c r="P33" s="23"/>
      <c r="Q33" s="23"/>
      <c r="R33" s="23"/>
      <c r="S33" s="23"/>
      <c r="T33" s="26" t="str">
        <f aca="false">IF(OR($O33="",$D33=""),"",WORKDAY($O33,-IFERROR(VLOOKUP($D33,'Rules &amp; Guardrails'!$A$9:$D$24,3,0),10)))</f>
        <v/>
      </c>
      <c r="U33" s="23"/>
      <c r="V33" s="23"/>
      <c r="W33" s="23"/>
      <c r="X33" s="6"/>
      <c r="Y33" s="23"/>
      <c r="Z33" s="23"/>
      <c r="AA33" s="23"/>
      <c r="AB33" s="23"/>
      <c r="AC33" s="23"/>
      <c r="AD33" s="23"/>
      <c r="AE33" s="23"/>
      <c r="AF33" s="27" t="str">
        <f aca="true">IF($O33="","",IF(OR($AE33="Cancelled",$AE33="On hold",$AE33="Launched"),$AE33,IF(AND($Y33="Approved",OR($Z33="Yes",$Z33="N/A"),OR($AA33="Yes",$AA33="N/A"),OR($AB33="No",$AB33="N/A",AND($AB33="Yes",$AD33="Yes"))),"Ready",IF($O33&lt;TODAY(),"Overdue",IF($O33-TODAY()&lt;='Rules &amp; Guardrails'!$C$5,"At Risk","In Progress")))))</f>
        <v/>
      </c>
      <c r="AG33" s="28" t="str">
        <f aca="false">IF($O33="","",IF(OR($AE33="Launched",$AE33="Cancelled"),"",MID(IF($Y33&lt;&gt;"Approved",", Content approval","")&amp;IF(NOT(OR($Z33="Yes",$Z33="N/A")),", Assets","")&amp;IF(NOT(OR($AA33="Yes",$AA33="N/A")),", List","")&amp;IF($AB33="",", Ops decision",IF(AND($AB33="Yes",$AD33&lt;&gt;"Yes"),", Ops",""))&amp;IF($U33="",", Owner","")&amp;IF($K33="",", Segment",""),3,200)))</f>
        <v/>
      </c>
      <c r="AH33" s="29" t="str">
        <f aca="true">IF($O33="","",$O33-TODAY())</f>
        <v/>
      </c>
      <c r="AI33" s="26" t="str">
        <f aca="false">IF($O33="","",$O33-WEEKDAY($O33,3))</f>
        <v/>
      </c>
      <c r="AJ33" s="30" t="str">
        <f aca="false">IF($O33="","",DATE(YEAR($O33),MONTH($O33),1))</f>
        <v/>
      </c>
      <c r="AK33" s="31" t="str">
        <f aca="false">IF(OR($O33="",$K33=""),"",COUNTIFS('Comms Calendar'!$K$5:$K$504,$K33,'Comms Calendar'!$B$5:$B$504,$B33,'Comms Calendar'!$AI$5:$AI$504,$AI33,'Comms Calendar'!$AE$5:$AE$504,"&lt;&gt;Cancelled"))</f>
        <v/>
      </c>
      <c r="AL33" s="27" t="str">
        <f aca="false">IF($AK33="","",IF($AK33&gt;'Rules &amp; Guardrails'!$C$3,"Over cap","OK"))</f>
        <v/>
      </c>
      <c r="AM33" s="27" t="str">
        <f aca="false">IF(OR($O33="",$K33=""),"",IF(COUNTIFS('Comms Calendar'!$K$5:$K$504,$K33,'Comms Calendar'!$B$5:$B$504,$B33,'Comms Calendar'!$O$5:$O$504,$O33,'Comms Calendar'!$AE$5:$AE$504,"&lt;&gt;Cancelled")&gt;1,"Clash",""))</f>
        <v/>
      </c>
      <c r="AN33" s="27" t="str">
        <f aca="false">IF($O33="","",IF(IF($B33="Global",COUNTIF('Rules &amp; Guardrails'!$F$9:$F$60,$O33),COUNTIFS('Rules &amp; Guardrails'!$F$9:$F$60,$O33,'Rules &amp; Guardrails'!$G$9:$G$60,$B33)+COUNTIFS('Rules &amp; Guardrails'!$F$9:$F$60,$O33,'Rules &amp; Guardrails'!$G$9:$G$60,"Global"))&gt;0,"Blackout",""))</f>
        <v/>
      </c>
      <c r="AO33" s="6"/>
      <c r="AP33" s="25"/>
      <c r="AQ33" s="23"/>
      <c r="AR33" s="31" t="str">
        <f aca="false">IF($D33="","",IFERROR(VLOOKUP($D33,'Rules &amp; Guardrails'!$A$9:$D$24,2,0),"Other"))</f>
        <v/>
      </c>
      <c r="AS33" s="31" t="str">
        <f aca="false">IF($O33="","",$O33&amp;"|"&amp;$B33)</f>
        <v/>
      </c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6"/>
      <c r="H34" s="6"/>
      <c r="I34" s="23"/>
      <c r="J34" s="23"/>
      <c r="K34" s="23"/>
      <c r="L34" s="6"/>
      <c r="M34" s="6"/>
      <c r="N34" s="24"/>
      <c r="O34" s="25"/>
      <c r="P34" s="23"/>
      <c r="Q34" s="23"/>
      <c r="R34" s="23"/>
      <c r="S34" s="23"/>
      <c r="T34" s="26" t="str">
        <f aca="false">IF(OR($O34="",$D34=""),"",WORKDAY($O34,-IFERROR(VLOOKUP($D34,'Rules &amp; Guardrails'!$A$9:$D$24,3,0),10)))</f>
        <v/>
      </c>
      <c r="U34" s="23"/>
      <c r="V34" s="23"/>
      <c r="W34" s="23"/>
      <c r="X34" s="6"/>
      <c r="Y34" s="23"/>
      <c r="Z34" s="23"/>
      <c r="AA34" s="23"/>
      <c r="AB34" s="23"/>
      <c r="AC34" s="23"/>
      <c r="AD34" s="23"/>
      <c r="AE34" s="23"/>
      <c r="AF34" s="27" t="str">
        <f aca="true">IF($O34="","",IF(OR($AE34="Cancelled",$AE34="On hold",$AE34="Launched"),$AE34,IF(AND($Y34="Approved",OR($Z34="Yes",$Z34="N/A"),OR($AA34="Yes",$AA34="N/A"),OR($AB34="No",$AB34="N/A",AND($AB34="Yes",$AD34="Yes"))),"Ready",IF($O34&lt;TODAY(),"Overdue",IF($O34-TODAY()&lt;='Rules &amp; Guardrails'!$C$5,"At Risk","In Progress")))))</f>
        <v/>
      </c>
      <c r="AG34" s="28" t="str">
        <f aca="false">IF($O34="","",IF(OR($AE34="Launched",$AE34="Cancelled"),"",MID(IF($Y34&lt;&gt;"Approved",", Content approval","")&amp;IF(NOT(OR($Z34="Yes",$Z34="N/A")),", Assets","")&amp;IF(NOT(OR($AA34="Yes",$AA34="N/A")),", List","")&amp;IF($AB34="",", Ops decision",IF(AND($AB34="Yes",$AD34&lt;&gt;"Yes"),", Ops",""))&amp;IF($U34="",", Owner","")&amp;IF($K34="",", Segment",""),3,200)))</f>
        <v/>
      </c>
      <c r="AH34" s="29" t="str">
        <f aca="true">IF($O34="","",$O34-TODAY())</f>
        <v/>
      </c>
      <c r="AI34" s="26" t="str">
        <f aca="false">IF($O34="","",$O34-WEEKDAY($O34,3))</f>
        <v/>
      </c>
      <c r="AJ34" s="30" t="str">
        <f aca="false">IF($O34="","",DATE(YEAR($O34),MONTH($O34),1))</f>
        <v/>
      </c>
      <c r="AK34" s="31" t="str">
        <f aca="false">IF(OR($O34="",$K34=""),"",COUNTIFS('Comms Calendar'!$K$5:$K$504,$K34,'Comms Calendar'!$B$5:$B$504,$B34,'Comms Calendar'!$AI$5:$AI$504,$AI34,'Comms Calendar'!$AE$5:$AE$504,"&lt;&gt;Cancelled"))</f>
        <v/>
      </c>
      <c r="AL34" s="27" t="str">
        <f aca="false">IF($AK34="","",IF($AK34&gt;'Rules &amp; Guardrails'!$C$3,"Over cap","OK"))</f>
        <v/>
      </c>
      <c r="AM34" s="27" t="str">
        <f aca="false">IF(OR($O34="",$K34=""),"",IF(COUNTIFS('Comms Calendar'!$K$5:$K$504,$K34,'Comms Calendar'!$B$5:$B$504,$B34,'Comms Calendar'!$O$5:$O$504,$O34,'Comms Calendar'!$AE$5:$AE$504,"&lt;&gt;Cancelled")&gt;1,"Clash",""))</f>
        <v/>
      </c>
      <c r="AN34" s="27" t="str">
        <f aca="false">IF($O34="","",IF(IF($B34="Global",COUNTIF('Rules &amp; Guardrails'!$F$9:$F$60,$O34),COUNTIFS('Rules &amp; Guardrails'!$F$9:$F$60,$O34,'Rules &amp; Guardrails'!$G$9:$G$60,$B34)+COUNTIFS('Rules &amp; Guardrails'!$F$9:$F$60,$O34,'Rules &amp; Guardrails'!$G$9:$G$60,"Global"))&gt;0,"Blackout",""))</f>
        <v/>
      </c>
      <c r="AO34" s="6"/>
      <c r="AP34" s="25"/>
      <c r="AQ34" s="23"/>
      <c r="AR34" s="31" t="str">
        <f aca="false">IF($D34="","",IFERROR(VLOOKUP($D34,'Rules &amp; Guardrails'!$A$9:$D$24,2,0),"Other"))</f>
        <v/>
      </c>
      <c r="AS34" s="31" t="str">
        <f aca="false">IF($O34="","",$O34&amp;"|"&amp;$B34)</f>
        <v/>
      </c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6"/>
      <c r="H35" s="6"/>
      <c r="I35" s="23"/>
      <c r="J35" s="23"/>
      <c r="K35" s="23"/>
      <c r="L35" s="6"/>
      <c r="M35" s="6"/>
      <c r="N35" s="24"/>
      <c r="O35" s="25"/>
      <c r="P35" s="23"/>
      <c r="Q35" s="23"/>
      <c r="R35" s="23"/>
      <c r="S35" s="23"/>
      <c r="T35" s="26" t="str">
        <f aca="false">IF(OR($O35="",$D35=""),"",WORKDAY($O35,-IFERROR(VLOOKUP($D35,'Rules &amp; Guardrails'!$A$9:$D$24,3,0),10)))</f>
        <v/>
      </c>
      <c r="U35" s="23"/>
      <c r="V35" s="23"/>
      <c r="W35" s="23"/>
      <c r="X35" s="6"/>
      <c r="Y35" s="23"/>
      <c r="Z35" s="23"/>
      <c r="AA35" s="23"/>
      <c r="AB35" s="23"/>
      <c r="AC35" s="23"/>
      <c r="AD35" s="23"/>
      <c r="AE35" s="23"/>
      <c r="AF35" s="27" t="str">
        <f aca="true">IF($O35="","",IF(OR($AE35="Cancelled",$AE35="On hold",$AE35="Launched"),$AE35,IF(AND($Y35="Approved",OR($Z35="Yes",$Z35="N/A"),OR($AA35="Yes",$AA35="N/A"),OR($AB35="No",$AB35="N/A",AND($AB35="Yes",$AD35="Yes"))),"Ready",IF($O35&lt;TODAY(),"Overdue",IF($O35-TODAY()&lt;='Rules &amp; Guardrails'!$C$5,"At Risk","In Progress")))))</f>
        <v/>
      </c>
      <c r="AG35" s="28" t="str">
        <f aca="false">IF($O35="","",IF(OR($AE35="Launched",$AE35="Cancelled"),"",MID(IF($Y35&lt;&gt;"Approved",", Content approval","")&amp;IF(NOT(OR($Z35="Yes",$Z35="N/A")),", Assets","")&amp;IF(NOT(OR($AA35="Yes",$AA35="N/A")),", List","")&amp;IF($AB35="",", Ops decision",IF(AND($AB35="Yes",$AD35&lt;&gt;"Yes"),", Ops",""))&amp;IF($U35="",", Owner","")&amp;IF($K35="",", Segment",""),3,200)))</f>
        <v/>
      </c>
      <c r="AH35" s="29" t="str">
        <f aca="true">IF($O35="","",$O35-TODAY())</f>
        <v/>
      </c>
      <c r="AI35" s="26" t="str">
        <f aca="false">IF($O35="","",$O35-WEEKDAY($O35,3))</f>
        <v/>
      </c>
      <c r="AJ35" s="30" t="str">
        <f aca="false">IF($O35="","",DATE(YEAR($O35),MONTH($O35),1))</f>
        <v/>
      </c>
      <c r="AK35" s="31" t="str">
        <f aca="false">IF(OR($O35="",$K35=""),"",COUNTIFS('Comms Calendar'!$K$5:$K$504,$K35,'Comms Calendar'!$B$5:$B$504,$B35,'Comms Calendar'!$AI$5:$AI$504,$AI35,'Comms Calendar'!$AE$5:$AE$504,"&lt;&gt;Cancelled"))</f>
        <v/>
      </c>
      <c r="AL35" s="27" t="str">
        <f aca="false">IF($AK35="","",IF($AK35&gt;'Rules &amp; Guardrails'!$C$3,"Over cap","OK"))</f>
        <v/>
      </c>
      <c r="AM35" s="27" t="str">
        <f aca="false">IF(OR($O35="",$K35=""),"",IF(COUNTIFS('Comms Calendar'!$K$5:$K$504,$K35,'Comms Calendar'!$B$5:$B$504,$B35,'Comms Calendar'!$O$5:$O$504,$O35,'Comms Calendar'!$AE$5:$AE$504,"&lt;&gt;Cancelled")&gt;1,"Clash",""))</f>
        <v/>
      </c>
      <c r="AN35" s="27" t="str">
        <f aca="false">IF($O35="","",IF(IF($B35="Global",COUNTIF('Rules &amp; Guardrails'!$F$9:$F$60,$O35),COUNTIFS('Rules &amp; Guardrails'!$F$9:$F$60,$O35,'Rules &amp; Guardrails'!$G$9:$G$60,$B35)+COUNTIFS('Rules &amp; Guardrails'!$F$9:$F$60,$O35,'Rules &amp; Guardrails'!$G$9:$G$60,"Global"))&gt;0,"Blackout",""))</f>
        <v/>
      </c>
      <c r="AO35" s="6"/>
      <c r="AP35" s="25"/>
      <c r="AQ35" s="23"/>
      <c r="AR35" s="31" t="str">
        <f aca="false">IF($D35="","",IFERROR(VLOOKUP($D35,'Rules &amp; Guardrails'!$A$9:$D$24,2,0),"Other"))</f>
        <v/>
      </c>
      <c r="AS35" s="31" t="str">
        <f aca="false">IF($O35="","",$O35&amp;"|"&amp;$B35)</f>
        <v/>
      </c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6"/>
      <c r="H36" s="6"/>
      <c r="I36" s="23"/>
      <c r="J36" s="23"/>
      <c r="K36" s="23"/>
      <c r="L36" s="6"/>
      <c r="M36" s="6"/>
      <c r="N36" s="24"/>
      <c r="O36" s="25"/>
      <c r="P36" s="23"/>
      <c r="Q36" s="23"/>
      <c r="R36" s="23"/>
      <c r="S36" s="23"/>
      <c r="T36" s="26" t="str">
        <f aca="false">IF(OR($O36="",$D36=""),"",WORKDAY($O36,-IFERROR(VLOOKUP($D36,'Rules &amp; Guardrails'!$A$9:$D$24,3,0),10)))</f>
        <v/>
      </c>
      <c r="U36" s="23"/>
      <c r="V36" s="23"/>
      <c r="W36" s="23"/>
      <c r="X36" s="6"/>
      <c r="Y36" s="23"/>
      <c r="Z36" s="23"/>
      <c r="AA36" s="23"/>
      <c r="AB36" s="23"/>
      <c r="AC36" s="23"/>
      <c r="AD36" s="23"/>
      <c r="AE36" s="23"/>
      <c r="AF36" s="27" t="str">
        <f aca="true">IF($O36="","",IF(OR($AE36="Cancelled",$AE36="On hold",$AE36="Launched"),$AE36,IF(AND($Y36="Approved",OR($Z36="Yes",$Z36="N/A"),OR($AA36="Yes",$AA36="N/A"),OR($AB36="No",$AB36="N/A",AND($AB36="Yes",$AD36="Yes"))),"Ready",IF($O36&lt;TODAY(),"Overdue",IF($O36-TODAY()&lt;='Rules &amp; Guardrails'!$C$5,"At Risk","In Progress")))))</f>
        <v/>
      </c>
      <c r="AG36" s="28" t="str">
        <f aca="false">IF($O36="","",IF(OR($AE36="Launched",$AE36="Cancelled"),"",MID(IF($Y36&lt;&gt;"Approved",", Content approval","")&amp;IF(NOT(OR($Z36="Yes",$Z36="N/A")),", Assets","")&amp;IF(NOT(OR($AA36="Yes",$AA36="N/A")),", List","")&amp;IF($AB36="",", Ops decision",IF(AND($AB36="Yes",$AD36&lt;&gt;"Yes"),", Ops",""))&amp;IF($U36="",", Owner","")&amp;IF($K36="",", Segment",""),3,200)))</f>
        <v/>
      </c>
      <c r="AH36" s="29" t="str">
        <f aca="true">IF($O36="","",$O36-TODAY())</f>
        <v/>
      </c>
      <c r="AI36" s="26" t="str">
        <f aca="false">IF($O36="","",$O36-WEEKDAY($O36,3))</f>
        <v/>
      </c>
      <c r="AJ36" s="30" t="str">
        <f aca="false">IF($O36="","",DATE(YEAR($O36),MONTH($O36),1))</f>
        <v/>
      </c>
      <c r="AK36" s="31" t="str">
        <f aca="false">IF(OR($O36="",$K36=""),"",COUNTIFS('Comms Calendar'!$K$5:$K$504,$K36,'Comms Calendar'!$B$5:$B$504,$B36,'Comms Calendar'!$AI$5:$AI$504,$AI36,'Comms Calendar'!$AE$5:$AE$504,"&lt;&gt;Cancelled"))</f>
        <v/>
      </c>
      <c r="AL36" s="27" t="str">
        <f aca="false">IF($AK36="","",IF($AK36&gt;'Rules &amp; Guardrails'!$C$3,"Over cap","OK"))</f>
        <v/>
      </c>
      <c r="AM36" s="27" t="str">
        <f aca="false">IF(OR($O36="",$K36=""),"",IF(COUNTIFS('Comms Calendar'!$K$5:$K$504,$K36,'Comms Calendar'!$B$5:$B$504,$B36,'Comms Calendar'!$O$5:$O$504,$O36,'Comms Calendar'!$AE$5:$AE$504,"&lt;&gt;Cancelled")&gt;1,"Clash",""))</f>
        <v/>
      </c>
      <c r="AN36" s="27" t="str">
        <f aca="false">IF($O36="","",IF(IF($B36="Global",COUNTIF('Rules &amp; Guardrails'!$F$9:$F$60,$O36),COUNTIFS('Rules &amp; Guardrails'!$F$9:$F$60,$O36,'Rules &amp; Guardrails'!$G$9:$G$60,$B36)+COUNTIFS('Rules &amp; Guardrails'!$F$9:$F$60,$O36,'Rules &amp; Guardrails'!$G$9:$G$60,"Global"))&gt;0,"Blackout",""))</f>
        <v/>
      </c>
      <c r="AO36" s="6"/>
      <c r="AP36" s="25"/>
      <c r="AQ36" s="23"/>
      <c r="AR36" s="31" t="str">
        <f aca="false">IF($D36="","",IFERROR(VLOOKUP($D36,'Rules &amp; Guardrails'!$A$9:$D$24,2,0),"Other"))</f>
        <v/>
      </c>
      <c r="AS36" s="31" t="str">
        <f aca="false">IF($O36="","",$O36&amp;"|"&amp;$B36)</f>
        <v/>
      </c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6"/>
      <c r="H37" s="6"/>
      <c r="I37" s="23"/>
      <c r="J37" s="23"/>
      <c r="K37" s="23"/>
      <c r="L37" s="6"/>
      <c r="M37" s="6"/>
      <c r="N37" s="24"/>
      <c r="O37" s="25"/>
      <c r="P37" s="23"/>
      <c r="Q37" s="23"/>
      <c r="R37" s="23"/>
      <c r="S37" s="23"/>
      <c r="T37" s="26" t="str">
        <f aca="false">IF(OR($O37="",$D37=""),"",WORKDAY($O37,-IFERROR(VLOOKUP($D37,'Rules &amp; Guardrails'!$A$9:$D$24,3,0),10)))</f>
        <v/>
      </c>
      <c r="U37" s="23"/>
      <c r="V37" s="23"/>
      <c r="W37" s="23"/>
      <c r="X37" s="6"/>
      <c r="Y37" s="23"/>
      <c r="Z37" s="23"/>
      <c r="AA37" s="23"/>
      <c r="AB37" s="23"/>
      <c r="AC37" s="23"/>
      <c r="AD37" s="23"/>
      <c r="AE37" s="23"/>
      <c r="AF37" s="27" t="str">
        <f aca="true">IF($O37="","",IF(OR($AE37="Cancelled",$AE37="On hold",$AE37="Launched"),$AE37,IF(AND($Y37="Approved",OR($Z37="Yes",$Z37="N/A"),OR($AA37="Yes",$AA37="N/A"),OR($AB37="No",$AB37="N/A",AND($AB37="Yes",$AD37="Yes"))),"Ready",IF($O37&lt;TODAY(),"Overdue",IF($O37-TODAY()&lt;='Rules &amp; Guardrails'!$C$5,"At Risk","In Progress")))))</f>
        <v/>
      </c>
      <c r="AG37" s="28" t="str">
        <f aca="false">IF($O37="","",IF(OR($AE37="Launched",$AE37="Cancelled"),"",MID(IF($Y37&lt;&gt;"Approved",", Content approval","")&amp;IF(NOT(OR($Z37="Yes",$Z37="N/A")),", Assets","")&amp;IF(NOT(OR($AA37="Yes",$AA37="N/A")),", List","")&amp;IF($AB37="",", Ops decision",IF(AND($AB37="Yes",$AD37&lt;&gt;"Yes"),", Ops",""))&amp;IF($U37="",", Owner","")&amp;IF($K37="",", Segment",""),3,200)))</f>
        <v/>
      </c>
      <c r="AH37" s="29" t="str">
        <f aca="true">IF($O37="","",$O37-TODAY())</f>
        <v/>
      </c>
      <c r="AI37" s="26" t="str">
        <f aca="false">IF($O37="","",$O37-WEEKDAY($O37,3))</f>
        <v/>
      </c>
      <c r="AJ37" s="30" t="str">
        <f aca="false">IF($O37="","",DATE(YEAR($O37),MONTH($O37),1))</f>
        <v/>
      </c>
      <c r="AK37" s="31" t="str">
        <f aca="false">IF(OR($O37="",$K37=""),"",COUNTIFS('Comms Calendar'!$K$5:$K$504,$K37,'Comms Calendar'!$B$5:$B$504,$B37,'Comms Calendar'!$AI$5:$AI$504,$AI37,'Comms Calendar'!$AE$5:$AE$504,"&lt;&gt;Cancelled"))</f>
        <v/>
      </c>
      <c r="AL37" s="27" t="str">
        <f aca="false">IF($AK37="","",IF($AK37&gt;'Rules &amp; Guardrails'!$C$3,"Over cap","OK"))</f>
        <v/>
      </c>
      <c r="AM37" s="27" t="str">
        <f aca="false">IF(OR($O37="",$K37=""),"",IF(COUNTIFS('Comms Calendar'!$K$5:$K$504,$K37,'Comms Calendar'!$B$5:$B$504,$B37,'Comms Calendar'!$O$5:$O$504,$O37,'Comms Calendar'!$AE$5:$AE$504,"&lt;&gt;Cancelled")&gt;1,"Clash",""))</f>
        <v/>
      </c>
      <c r="AN37" s="27" t="str">
        <f aca="false">IF($O37="","",IF(IF($B37="Global",COUNTIF('Rules &amp; Guardrails'!$F$9:$F$60,$O37),COUNTIFS('Rules &amp; Guardrails'!$F$9:$F$60,$O37,'Rules &amp; Guardrails'!$G$9:$G$60,$B37)+COUNTIFS('Rules &amp; Guardrails'!$F$9:$F$60,$O37,'Rules &amp; Guardrails'!$G$9:$G$60,"Global"))&gt;0,"Blackout",""))</f>
        <v/>
      </c>
      <c r="AO37" s="6"/>
      <c r="AP37" s="25"/>
      <c r="AQ37" s="23"/>
      <c r="AR37" s="31" t="str">
        <f aca="false">IF($D37="","",IFERROR(VLOOKUP($D37,'Rules &amp; Guardrails'!$A$9:$D$24,2,0),"Other"))</f>
        <v/>
      </c>
      <c r="AS37" s="31" t="str">
        <f aca="false">IF($O37="","",$O37&amp;"|"&amp;$B37)</f>
        <v/>
      </c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6"/>
      <c r="H38" s="6"/>
      <c r="I38" s="23"/>
      <c r="J38" s="23"/>
      <c r="K38" s="23"/>
      <c r="L38" s="6"/>
      <c r="M38" s="6"/>
      <c r="N38" s="24"/>
      <c r="O38" s="25"/>
      <c r="P38" s="23"/>
      <c r="Q38" s="23"/>
      <c r="R38" s="23"/>
      <c r="S38" s="23"/>
      <c r="T38" s="26" t="str">
        <f aca="false">IF(OR($O38="",$D38=""),"",WORKDAY($O38,-IFERROR(VLOOKUP($D38,'Rules &amp; Guardrails'!$A$9:$D$24,3,0),10)))</f>
        <v/>
      </c>
      <c r="U38" s="23"/>
      <c r="V38" s="23"/>
      <c r="W38" s="23"/>
      <c r="X38" s="6"/>
      <c r="Y38" s="23"/>
      <c r="Z38" s="23"/>
      <c r="AA38" s="23"/>
      <c r="AB38" s="23"/>
      <c r="AC38" s="23"/>
      <c r="AD38" s="23"/>
      <c r="AE38" s="23"/>
      <c r="AF38" s="27" t="str">
        <f aca="true">IF($O38="","",IF(OR($AE38="Cancelled",$AE38="On hold",$AE38="Launched"),$AE38,IF(AND($Y38="Approved",OR($Z38="Yes",$Z38="N/A"),OR($AA38="Yes",$AA38="N/A"),OR($AB38="No",$AB38="N/A",AND($AB38="Yes",$AD38="Yes"))),"Ready",IF($O38&lt;TODAY(),"Overdue",IF($O38-TODAY()&lt;='Rules &amp; Guardrails'!$C$5,"At Risk","In Progress")))))</f>
        <v/>
      </c>
      <c r="AG38" s="28" t="str">
        <f aca="false">IF($O38="","",IF(OR($AE38="Launched",$AE38="Cancelled"),"",MID(IF($Y38&lt;&gt;"Approved",", Content approval","")&amp;IF(NOT(OR($Z38="Yes",$Z38="N/A")),", Assets","")&amp;IF(NOT(OR($AA38="Yes",$AA38="N/A")),", List","")&amp;IF($AB38="",", Ops decision",IF(AND($AB38="Yes",$AD38&lt;&gt;"Yes"),", Ops",""))&amp;IF($U38="",", Owner","")&amp;IF($K38="",", Segment",""),3,200)))</f>
        <v/>
      </c>
      <c r="AH38" s="29" t="str">
        <f aca="true">IF($O38="","",$O38-TODAY())</f>
        <v/>
      </c>
      <c r="AI38" s="26" t="str">
        <f aca="false">IF($O38="","",$O38-WEEKDAY($O38,3))</f>
        <v/>
      </c>
      <c r="AJ38" s="30" t="str">
        <f aca="false">IF($O38="","",DATE(YEAR($O38),MONTH($O38),1))</f>
        <v/>
      </c>
      <c r="AK38" s="31" t="str">
        <f aca="false">IF(OR($O38="",$K38=""),"",COUNTIFS('Comms Calendar'!$K$5:$K$504,$K38,'Comms Calendar'!$B$5:$B$504,$B38,'Comms Calendar'!$AI$5:$AI$504,$AI38,'Comms Calendar'!$AE$5:$AE$504,"&lt;&gt;Cancelled"))</f>
        <v/>
      </c>
      <c r="AL38" s="27" t="str">
        <f aca="false">IF($AK38="","",IF($AK38&gt;'Rules &amp; Guardrails'!$C$3,"Over cap","OK"))</f>
        <v/>
      </c>
      <c r="AM38" s="27" t="str">
        <f aca="false">IF(OR($O38="",$K38=""),"",IF(COUNTIFS('Comms Calendar'!$K$5:$K$504,$K38,'Comms Calendar'!$B$5:$B$504,$B38,'Comms Calendar'!$O$5:$O$504,$O38,'Comms Calendar'!$AE$5:$AE$504,"&lt;&gt;Cancelled")&gt;1,"Clash",""))</f>
        <v/>
      </c>
      <c r="AN38" s="27" t="str">
        <f aca="false">IF($O38="","",IF(IF($B38="Global",COUNTIF('Rules &amp; Guardrails'!$F$9:$F$60,$O38),COUNTIFS('Rules &amp; Guardrails'!$F$9:$F$60,$O38,'Rules &amp; Guardrails'!$G$9:$G$60,$B38)+COUNTIFS('Rules &amp; Guardrails'!$F$9:$F$60,$O38,'Rules &amp; Guardrails'!$G$9:$G$60,"Global"))&gt;0,"Blackout",""))</f>
        <v/>
      </c>
      <c r="AO38" s="6"/>
      <c r="AP38" s="25"/>
      <c r="AQ38" s="23"/>
      <c r="AR38" s="31" t="str">
        <f aca="false">IF($D38="","",IFERROR(VLOOKUP($D38,'Rules &amp; Guardrails'!$A$9:$D$24,2,0),"Other"))</f>
        <v/>
      </c>
      <c r="AS38" s="31" t="str">
        <f aca="false">IF($O38="","",$O38&amp;"|"&amp;$B38)</f>
        <v/>
      </c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6"/>
      <c r="H39" s="6"/>
      <c r="I39" s="23"/>
      <c r="J39" s="23"/>
      <c r="K39" s="23"/>
      <c r="L39" s="6"/>
      <c r="M39" s="6"/>
      <c r="N39" s="24"/>
      <c r="O39" s="25"/>
      <c r="P39" s="23"/>
      <c r="Q39" s="23"/>
      <c r="R39" s="23"/>
      <c r="S39" s="23"/>
      <c r="T39" s="26" t="str">
        <f aca="false">IF(OR($O39="",$D39=""),"",WORKDAY($O39,-IFERROR(VLOOKUP($D39,'Rules &amp; Guardrails'!$A$9:$D$24,3,0),10)))</f>
        <v/>
      </c>
      <c r="U39" s="23"/>
      <c r="V39" s="23"/>
      <c r="W39" s="23"/>
      <c r="X39" s="6"/>
      <c r="Y39" s="23"/>
      <c r="Z39" s="23"/>
      <c r="AA39" s="23"/>
      <c r="AB39" s="23"/>
      <c r="AC39" s="23"/>
      <c r="AD39" s="23"/>
      <c r="AE39" s="23"/>
      <c r="AF39" s="27" t="str">
        <f aca="true">IF($O39="","",IF(OR($AE39="Cancelled",$AE39="On hold",$AE39="Launched"),$AE39,IF(AND($Y39="Approved",OR($Z39="Yes",$Z39="N/A"),OR($AA39="Yes",$AA39="N/A"),OR($AB39="No",$AB39="N/A",AND($AB39="Yes",$AD39="Yes"))),"Ready",IF($O39&lt;TODAY(),"Overdue",IF($O39-TODAY()&lt;='Rules &amp; Guardrails'!$C$5,"At Risk","In Progress")))))</f>
        <v/>
      </c>
      <c r="AG39" s="28" t="str">
        <f aca="false">IF($O39="","",IF(OR($AE39="Launched",$AE39="Cancelled"),"",MID(IF($Y39&lt;&gt;"Approved",", Content approval","")&amp;IF(NOT(OR($Z39="Yes",$Z39="N/A")),", Assets","")&amp;IF(NOT(OR($AA39="Yes",$AA39="N/A")),", List","")&amp;IF($AB39="",", Ops decision",IF(AND($AB39="Yes",$AD39&lt;&gt;"Yes"),", Ops",""))&amp;IF($U39="",", Owner","")&amp;IF($K39="",", Segment",""),3,200)))</f>
        <v/>
      </c>
      <c r="AH39" s="29" t="str">
        <f aca="true">IF($O39="","",$O39-TODAY())</f>
        <v/>
      </c>
      <c r="AI39" s="26" t="str">
        <f aca="false">IF($O39="","",$O39-WEEKDAY($O39,3))</f>
        <v/>
      </c>
      <c r="AJ39" s="30" t="str">
        <f aca="false">IF($O39="","",DATE(YEAR($O39),MONTH($O39),1))</f>
        <v/>
      </c>
      <c r="AK39" s="31" t="str">
        <f aca="false">IF(OR($O39="",$K39=""),"",COUNTIFS('Comms Calendar'!$K$5:$K$504,$K39,'Comms Calendar'!$B$5:$B$504,$B39,'Comms Calendar'!$AI$5:$AI$504,$AI39,'Comms Calendar'!$AE$5:$AE$504,"&lt;&gt;Cancelled"))</f>
        <v/>
      </c>
      <c r="AL39" s="27" t="str">
        <f aca="false">IF($AK39="","",IF($AK39&gt;'Rules &amp; Guardrails'!$C$3,"Over cap","OK"))</f>
        <v/>
      </c>
      <c r="AM39" s="27" t="str">
        <f aca="false">IF(OR($O39="",$K39=""),"",IF(COUNTIFS('Comms Calendar'!$K$5:$K$504,$K39,'Comms Calendar'!$B$5:$B$504,$B39,'Comms Calendar'!$O$5:$O$504,$O39,'Comms Calendar'!$AE$5:$AE$504,"&lt;&gt;Cancelled")&gt;1,"Clash",""))</f>
        <v/>
      </c>
      <c r="AN39" s="27" t="str">
        <f aca="false">IF($O39="","",IF(IF($B39="Global",COUNTIF('Rules &amp; Guardrails'!$F$9:$F$60,$O39),COUNTIFS('Rules &amp; Guardrails'!$F$9:$F$60,$O39,'Rules &amp; Guardrails'!$G$9:$G$60,$B39)+COUNTIFS('Rules &amp; Guardrails'!$F$9:$F$60,$O39,'Rules &amp; Guardrails'!$G$9:$G$60,"Global"))&gt;0,"Blackout",""))</f>
        <v/>
      </c>
      <c r="AO39" s="6"/>
      <c r="AP39" s="25"/>
      <c r="AQ39" s="23"/>
      <c r="AR39" s="31" t="str">
        <f aca="false">IF($D39="","",IFERROR(VLOOKUP($D39,'Rules &amp; Guardrails'!$A$9:$D$24,2,0),"Other"))</f>
        <v/>
      </c>
      <c r="AS39" s="31" t="str">
        <f aca="false">IF($O39="","",$O39&amp;"|"&amp;$B39)</f>
        <v/>
      </c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6"/>
      <c r="H40" s="6"/>
      <c r="I40" s="23"/>
      <c r="J40" s="23"/>
      <c r="K40" s="23"/>
      <c r="L40" s="6"/>
      <c r="M40" s="6"/>
      <c r="N40" s="24"/>
      <c r="O40" s="25"/>
      <c r="P40" s="23"/>
      <c r="Q40" s="23"/>
      <c r="R40" s="23"/>
      <c r="S40" s="23"/>
      <c r="T40" s="26" t="str">
        <f aca="false">IF(OR($O40="",$D40=""),"",WORKDAY($O40,-IFERROR(VLOOKUP($D40,'Rules &amp; Guardrails'!$A$9:$D$24,3,0),10)))</f>
        <v/>
      </c>
      <c r="U40" s="23"/>
      <c r="V40" s="23"/>
      <c r="W40" s="23"/>
      <c r="X40" s="6"/>
      <c r="Y40" s="23"/>
      <c r="Z40" s="23"/>
      <c r="AA40" s="23"/>
      <c r="AB40" s="23"/>
      <c r="AC40" s="23"/>
      <c r="AD40" s="23"/>
      <c r="AE40" s="23"/>
      <c r="AF40" s="27" t="str">
        <f aca="true">IF($O40="","",IF(OR($AE40="Cancelled",$AE40="On hold",$AE40="Launched"),$AE40,IF(AND($Y40="Approved",OR($Z40="Yes",$Z40="N/A"),OR($AA40="Yes",$AA40="N/A"),OR($AB40="No",$AB40="N/A",AND($AB40="Yes",$AD40="Yes"))),"Ready",IF($O40&lt;TODAY(),"Overdue",IF($O40-TODAY()&lt;='Rules &amp; Guardrails'!$C$5,"At Risk","In Progress")))))</f>
        <v/>
      </c>
      <c r="AG40" s="28" t="str">
        <f aca="false">IF($O40="","",IF(OR($AE40="Launched",$AE40="Cancelled"),"",MID(IF($Y40&lt;&gt;"Approved",", Content approval","")&amp;IF(NOT(OR($Z40="Yes",$Z40="N/A")),", Assets","")&amp;IF(NOT(OR($AA40="Yes",$AA40="N/A")),", List","")&amp;IF($AB40="",", Ops decision",IF(AND($AB40="Yes",$AD40&lt;&gt;"Yes"),", Ops",""))&amp;IF($U40="",", Owner","")&amp;IF($K40="",", Segment",""),3,200)))</f>
        <v/>
      </c>
      <c r="AH40" s="29" t="str">
        <f aca="true">IF($O40="","",$O40-TODAY())</f>
        <v/>
      </c>
      <c r="AI40" s="26" t="str">
        <f aca="false">IF($O40="","",$O40-WEEKDAY($O40,3))</f>
        <v/>
      </c>
      <c r="AJ40" s="30" t="str">
        <f aca="false">IF($O40="","",DATE(YEAR($O40),MONTH($O40),1))</f>
        <v/>
      </c>
      <c r="AK40" s="31" t="str">
        <f aca="false">IF(OR($O40="",$K40=""),"",COUNTIFS('Comms Calendar'!$K$5:$K$504,$K40,'Comms Calendar'!$B$5:$B$504,$B40,'Comms Calendar'!$AI$5:$AI$504,$AI40,'Comms Calendar'!$AE$5:$AE$504,"&lt;&gt;Cancelled"))</f>
        <v/>
      </c>
      <c r="AL40" s="27" t="str">
        <f aca="false">IF($AK40="","",IF($AK40&gt;'Rules &amp; Guardrails'!$C$3,"Over cap","OK"))</f>
        <v/>
      </c>
      <c r="AM40" s="27" t="str">
        <f aca="false">IF(OR($O40="",$K40=""),"",IF(COUNTIFS('Comms Calendar'!$K$5:$K$504,$K40,'Comms Calendar'!$B$5:$B$504,$B40,'Comms Calendar'!$O$5:$O$504,$O40,'Comms Calendar'!$AE$5:$AE$504,"&lt;&gt;Cancelled")&gt;1,"Clash",""))</f>
        <v/>
      </c>
      <c r="AN40" s="27" t="str">
        <f aca="false">IF($O40="","",IF(IF($B40="Global",COUNTIF('Rules &amp; Guardrails'!$F$9:$F$60,$O40),COUNTIFS('Rules &amp; Guardrails'!$F$9:$F$60,$O40,'Rules &amp; Guardrails'!$G$9:$G$60,$B40)+COUNTIFS('Rules &amp; Guardrails'!$F$9:$F$60,$O40,'Rules &amp; Guardrails'!$G$9:$G$60,"Global"))&gt;0,"Blackout",""))</f>
        <v/>
      </c>
      <c r="AO40" s="6"/>
      <c r="AP40" s="25"/>
      <c r="AQ40" s="23"/>
      <c r="AR40" s="31" t="str">
        <f aca="false">IF($D40="","",IFERROR(VLOOKUP($D40,'Rules &amp; Guardrails'!$A$9:$D$24,2,0),"Other"))</f>
        <v/>
      </c>
      <c r="AS40" s="31" t="str">
        <f aca="false">IF($O40="","",$O40&amp;"|"&amp;$B40)</f>
        <v/>
      </c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6"/>
      <c r="H41" s="6"/>
      <c r="I41" s="23"/>
      <c r="J41" s="23"/>
      <c r="K41" s="23"/>
      <c r="L41" s="6"/>
      <c r="M41" s="6"/>
      <c r="N41" s="24"/>
      <c r="O41" s="25"/>
      <c r="P41" s="23"/>
      <c r="Q41" s="23"/>
      <c r="R41" s="23"/>
      <c r="S41" s="23"/>
      <c r="T41" s="26" t="str">
        <f aca="false">IF(OR($O41="",$D41=""),"",WORKDAY($O41,-IFERROR(VLOOKUP($D41,'Rules &amp; Guardrails'!$A$9:$D$24,3,0),10)))</f>
        <v/>
      </c>
      <c r="U41" s="23"/>
      <c r="V41" s="23"/>
      <c r="W41" s="23"/>
      <c r="X41" s="6"/>
      <c r="Y41" s="23"/>
      <c r="Z41" s="23"/>
      <c r="AA41" s="23"/>
      <c r="AB41" s="23"/>
      <c r="AC41" s="23"/>
      <c r="AD41" s="23"/>
      <c r="AE41" s="23"/>
      <c r="AF41" s="27" t="str">
        <f aca="true">IF($O41="","",IF(OR($AE41="Cancelled",$AE41="On hold",$AE41="Launched"),$AE41,IF(AND($Y41="Approved",OR($Z41="Yes",$Z41="N/A"),OR($AA41="Yes",$AA41="N/A"),OR($AB41="No",$AB41="N/A",AND($AB41="Yes",$AD41="Yes"))),"Ready",IF($O41&lt;TODAY(),"Overdue",IF($O41-TODAY()&lt;='Rules &amp; Guardrails'!$C$5,"At Risk","In Progress")))))</f>
        <v/>
      </c>
      <c r="AG41" s="28" t="str">
        <f aca="false">IF($O41="","",IF(OR($AE41="Launched",$AE41="Cancelled"),"",MID(IF($Y41&lt;&gt;"Approved",", Content approval","")&amp;IF(NOT(OR($Z41="Yes",$Z41="N/A")),", Assets","")&amp;IF(NOT(OR($AA41="Yes",$AA41="N/A")),", List","")&amp;IF($AB41="",", Ops decision",IF(AND($AB41="Yes",$AD41&lt;&gt;"Yes"),", Ops",""))&amp;IF($U41="",", Owner","")&amp;IF($K41="",", Segment",""),3,200)))</f>
        <v/>
      </c>
      <c r="AH41" s="29" t="str">
        <f aca="true">IF($O41="","",$O41-TODAY())</f>
        <v/>
      </c>
      <c r="AI41" s="26" t="str">
        <f aca="false">IF($O41="","",$O41-WEEKDAY($O41,3))</f>
        <v/>
      </c>
      <c r="AJ41" s="30" t="str">
        <f aca="false">IF($O41="","",DATE(YEAR($O41),MONTH($O41),1))</f>
        <v/>
      </c>
      <c r="AK41" s="31" t="str">
        <f aca="false">IF(OR($O41="",$K41=""),"",COUNTIFS('Comms Calendar'!$K$5:$K$504,$K41,'Comms Calendar'!$B$5:$B$504,$B41,'Comms Calendar'!$AI$5:$AI$504,$AI41,'Comms Calendar'!$AE$5:$AE$504,"&lt;&gt;Cancelled"))</f>
        <v/>
      </c>
      <c r="AL41" s="27" t="str">
        <f aca="false">IF($AK41="","",IF($AK41&gt;'Rules &amp; Guardrails'!$C$3,"Over cap","OK"))</f>
        <v/>
      </c>
      <c r="AM41" s="27" t="str">
        <f aca="false">IF(OR($O41="",$K41=""),"",IF(COUNTIFS('Comms Calendar'!$K$5:$K$504,$K41,'Comms Calendar'!$B$5:$B$504,$B41,'Comms Calendar'!$O$5:$O$504,$O41,'Comms Calendar'!$AE$5:$AE$504,"&lt;&gt;Cancelled")&gt;1,"Clash",""))</f>
        <v/>
      </c>
      <c r="AN41" s="27" t="str">
        <f aca="false">IF($O41="","",IF(IF($B41="Global",COUNTIF('Rules &amp; Guardrails'!$F$9:$F$60,$O41),COUNTIFS('Rules &amp; Guardrails'!$F$9:$F$60,$O41,'Rules &amp; Guardrails'!$G$9:$G$60,$B41)+COUNTIFS('Rules &amp; Guardrails'!$F$9:$F$60,$O41,'Rules &amp; Guardrails'!$G$9:$G$60,"Global"))&gt;0,"Blackout",""))</f>
        <v/>
      </c>
      <c r="AO41" s="6"/>
      <c r="AP41" s="25"/>
      <c r="AQ41" s="23"/>
      <c r="AR41" s="31" t="str">
        <f aca="false">IF($D41="","",IFERROR(VLOOKUP($D41,'Rules &amp; Guardrails'!$A$9:$D$24,2,0),"Other"))</f>
        <v/>
      </c>
      <c r="AS41" s="31" t="str">
        <f aca="false">IF($O41="","",$O41&amp;"|"&amp;$B41)</f>
        <v/>
      </c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6"/>
      <c r="H42" s="6"/>
      <c r="I42" s="23"/>
      <c r="J42" s="23"/>
      <c r="K42" s="23"/>
      <c r="L42" s="6"/>
      <c r="M42" s="6"/>
      <c r="N42" s="24"/>
      <c r="O42" s="25"/>
      <c r="P42" s="23"/>
      <c r="Q42" s="23"/>
      <c r="R42" s="23"/>
      <c r="S42" s="23"/>
      <c r="T42" s="26" t="str">
        <f aca="false">IF(OR($O42="",$D42=""),"",WORKDAY($O42,-IFERROR(VLOOKUP($D42,'Rules &amp; Guardrails'!$A$9:$D$24,3,0),10)))</f>
        <v/>
      </c>
      <c r="U42" s="23"/>
      <c r="V42" s="23"/>
      <c r="W42" s="23"/>
      <c r="X42" s="6"/>
      <c r="Y42" s="23"/>
      <c r="Z42" s="23"/>
      <c r="AA42" s="23"/>
      <c r="AB42" s="23"/>
      <c r="AC42" s="23"/>
      <c r="AD42" s="23"/>
      <c r="AE42" s="23"/>
      <c r="AF42" s="27" t="str">
        <f aca="true">IF($O42="","",IF(OR($AE42="Cancelled",$AE42="On hold",$AE42="Launched"),$AE42,IF(AND($Y42="Approved",OR($Z42="Yes",$Z42="N/A"),OR($AA42="Yes",$AA42="N/A"),OR($AB42="No",$AB42="N/A",AND($AB42="Yes",$AD42="Yes"))),"Ready",IF($O42&lt;TODAY(),"Overdue",IF($O42-TODAY()&lt;='Rules &amp; Guardrails'!$C$5,"At Risk","In Progress")))))</f>
        <v/>
      </c>
      <c r="AG42" s="28" t="str">
        <f aca="false">IF($O42="","",IF(OR($AE42="Launched",$AE42="Cancelled"),"",MID(IF($Y42&lt;&gt;"Approved",", Content approval","")&amp;IF(NOT(OR($Z42="Yes",$Z42="N/A")),", Assets","")&amp;IF(NOT(OR($AA42="Yes",$AA42="N/A")),", List","")&amp;IF($AB42="",", Ops decision",IF(AND($AB42="Yes",$AD42&lt;&gt;"Yes"),", Ops",""))&amp;IF($U42="",", Owner","")&amp;IF($K42="",", Segment",""),3,200)))</f>
        <v/>
      </c>
      <c r="AH42" s="29" t="str">
        <f aca="true">IF($O42="","",$O42-TODAY())</f>
        <v/>
      </c>
      <c r="AI42" s="26" t="str">
        <f aca="false">IF($O42="","",$O42-WEEKDAY($O42,3))</f>
        <v/>
      </c>
      <c r="AJ42" s="30" t="str">
        <f aca="false">IF($O42="","",DATE(YEAR($O42),MONTH($O42),1))</f>
        <v/>
      </c>
      <c r="AK42" s="31" t="str">
        <f aca="false">IF(OR($O42="",$K42=""),"",COUNTIFS('Comms Calendar'!$K$5:$K$504,$K42,'Comms Calendar'!$B$5:$B$504,$B42,'Comms Calendar'!$AI$5:$AI$504,$AI42,'Comms Calendar'!$AE$5:$AE$504,"&lt;&gt;Cancelled"))</f>
        <v/>
      </c>
      <c r="AL42" s="27" t="str">
        <f aca="false">IF($AK42="","",IF($AK42&gt;'Rules &amp; Guardrails'!$C$3,"Over cap","OK"))</f>
        <v/>
      </c>
      <c r="AM42" s="27" t="str">
        <f aca="false">IF(OR($O42="",$K42=""),"",IF(COUNTIFS('Comms Calendar'!$K$5:$K$504,$K42,'Comms Calendar'!$B$5:$B$504,$B42,'Comms Calendar'!$O$5:$O$504,$O42,'Comms Calendar'!$AE$5:$AE$504,"&lt;&gt;Cancelled")&gt;1,"Clash",""))</f>
        <v/>
      </c>
      <c r="AN42" s="27" t="str">
        <f aca="false">IF($O42="","",IF(IF($B42="Global",COUNTIF('Rules &amp; Guardrails'!$F$9:$F$60,$O42),COUNTIFS('Rules &amp; Guardrails'!$F$9:$F$60,$O42,'Rules &amp; Guardrails'!$G$9:$G$60,$B42)+COUNTIFS('Rules &amp; Guardrails'!$F$9:$F$60,$O42,'Rules &amp; Guardrails'!$G$9:$G$60,"Global"))&gt;0,"Blackout",""))</f>
        <v/>
      </c>
      <c r="AO42" s="6"/>
      <c r="AP42" s="25"/>
      <c r="AQ42" s="23"/>
      <c r="AR42" s="31" t="str">
        <f aca="false">IF($D42="","",IFERROR(VLOOKUP($D42,'Rules &amp; Guardrails'!$A$9:$D$24,2,0),"Other"))</f>
        <v/>
      </c>
      <c r="AS42" s="31" t="str">
        <f aca="false">IF($O42="","",$O42&amp;"|"&amp;$B42)</f>
        <v/>
      </c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6"/>
      <c r="H43" s="6"/>
      <c r="I43" s="23"/>
      <c r="J43" s="23"/>
      <c r="K43" s="23"/>
      <c r="L43" s="6"/>
      <c r="M43" s="6"/>
      <c r="N43" s="24"/>
      <c r="O43" s="25"/>
      <c r="P43" s="23"/>
      <c r="Q43" s="23"/>
      <c r="R43" s="23"/>
      <c r="S43" s="23"/>
      <c r="T43" s="26" t="str">
        <f aca="false">IF(OR($O43="",$D43=""),"",WORKDAY($O43,-IFERROR(VLOOKUP($D43,'Rules &amp; Guardrails'!$A$9:$D$24,3,0),10)))</f>
        <v/>
      </c>
      <c r="U43" s="23"/>
      <c r="V43" s="23"/>
      <c r="W43" s="23"/>
      <c r="X43" s="6"/>
      <c r="Y43" s="23"/>
      <c r="Z43" s="23"/>
      <c r="AA43" s="23"/>
      <c r="AB43" s="23"/>
      <c r="AC43" s="23"/>
      <c r="AD43" s="23"/>
      <c r="AE43" s="23"/>
      <c r="AF43" s="27" t="str">
        <f aca="true">IF($O43="","",IF(OR($AE43="Cancelled",$AE43="On hold",$AE43="Launched"),$AE43,IF(AND($Y43="Approved",OR($Z43="Yes",$Z43="N/A"),OR($AA43="Yes",$AA43="N/A"),OR($AB43="No",$AB43="N/A",AND($AB43="Yes",$AD43="Yes"))),"Ready",IF($O43&lt;TODAY(),"Overdue",IF($O43-TODAY()&lt;='Rules &amp; Guardrails'!$C$5,"At Risk","In Progress")))))</f>
        <v/>
      </c>
      <c r="AG43" s="28" t="str">
        <f aca="false">IF($O43="","",IF(OR($AE43="Launched",$AE43="Cancelled"),"",MID(IF($Y43&lt;&gt;"Approved",", Content approval","")&amp;IF(NOT(OR($Z43="Yes",$Z43="N/A")),", Assets","")&amp;IF(NOT(OR($AA43="Yes",$AA43="N/A")),", List","")&amp;IF($AB43="",", Ops decision",IF(AND($AB43="Yes",$AD43&lt;&gt;"Yes"),", Ops",""))&amp;IF($U43="",", Owner","")&amp;IF($K43="",", Segment",""),3,200)))</f>
        <v/>
      </c>
      <c r="AH43" s="29" t="str">
        <f aca="true">IF($O43="","",$O43-TODAY())</f>
        <v/>
      </c>
      <c r="AI43" s="26" t="str">
        <f aca="false">IF($O43="","",$O43-WEEKDAY($O43,3))</f>
        <v/>
      </c>
      <c r="AJ43" s="30" t="str">
        <f aca="false">IF($O43="","",DATE(YEAR($O43),MONTH($O43),1))</f>
        <v/>
      </c>
      <c r="AK43" s="31" t="str">
        <f aca="false">IF(OR($O43="",$K43=""),"",COUNTIFS('Comms Calendar'!$K$5:$K$504,$K43,'Comms Calendar'!$B$5:$B$504,$B43,'Comms Calendar'!$AI$5:$AI$504,$AI43,'Comms Calendar'!$AE$5:$AE$504,"&lt;&gt;Cancelled"))</f>
        <v/>
      </c>
      <c r="AL43" s="27" t="str">
        <f aca="false">IF($AK43="","",IF($AK43&gt;'Rules &amp; Guardrails'!$C$3,"Over cap","OK"))</f>
        <v/>
      </c>
      <c r="AM43" s="27" t="str">
        <f aca="false">IF(OR($O43="",$K43=""),"",IF(COUNTIFS('Comms Calendar'!$K$5:$K$504,$K43,'Comms Calendar'!$B$5:$B$504,$B43,'Comms Calendar'!$O$5:$O$504,$O43,'Comms Calendar'!$AE$5:$AE$504,"&lt;&gt;Cancelled")&gt;1,"Clash",""))</f>
        <v/>
      </c>
      <c r="AN43" s="27" t="str">
        <f aca="false">IF($O43="","",IF(IF($B43="Global",COUNTIF('Rules &amp; Guardrails'!$F$9:$F$60,$O43),COUNTIFS('Rules &amp; Guardrails'!$F$9:$F$60,$O43,'Rules &amp; Guardrails'!$G$9:$G$60,$B43)+COUNTIFS('Rules &amp; Guardrails'!$F$9:$F$60,$O43,'Rules &amp; Guardrails'!$G$9:$G$60,"Global"))&gt;0,"Blackout",""))</f>
        <v/>
      </c>
      <c r="AO43" s="6"/>
      <c r="AP43" s="25"/>
      <c r="AQ43" s="23"/>
      <c r="AR43" s="31" t="str">
        <f aca="false">IF($D43="","",IFERROR(VLOOKUP($D43,'Rules &amp; Guardrails'!$A$9:$D$24,2,0),"Other"))</f>
        <v/>
      </c>
      <c r="AS43" s="31" t="str">
        <f aca="false">IF($O43="","",$O43&amp;"|"&amp;$B43)</f>
        <v/>
      </c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6"/>
      <c r="H44" s="6"/>
      <c r="I44" s="23"/>
      <c r="J44" s="23"/>
      <c r="K44" s="23"/>
      <c r="L44" s="6"/>
      <c r="M44" s="6"/>
      <c r="N44" s="24"/>
      <c r="O44" s="25"/>
      <c r="P44" s="23"/>
      <c r="Q44" s="23"/>
      <c r="R44" s="23"/>
      <c r="S44" s="23"/>
      <c r="T44" s="26" t="str">
        <f aca="false">IF(OR($O44="",$D44=""),"",WORKDAY($O44,-IFERROR(VLOOKUP($D44,'Rules &amp; Guardrails'!$A$9:$D$24,3,0),10)))</f>
        <v/>
      </c>
      <c r="U44" s="23"/>
      <c r="V44" s="23"/>
      <c r="W44" s="23"/>
      <c r="X44" s="6"/>
      <c r="Y44" s="23"/>
      <c r="Z44" s="23"/>
      <c r="AA44" s="23"/>
      <c r="AB44" s="23"/>
      <c r="AC44" s="23"/>
      <c r="AD44" s="23"/>
      <c r="AE44" s="23"/>
      <c r="AF44" s="27" t="str">
        <f aca="true">IF($O44="","",IF(OR($AE44="Cancelled",$AE44="On hold",$AE44="Launched"),$AE44,IF(AND($Y44="Approved",OR($Z44="Yes",$Z44="N/A"),OR($AA44="Yes",$AA44="N/A"),OR($AB44="No",$AB44="N/A",AND($AB44="Yes",$AD44="Yes"))),"Ready",IF($O44&lt;TODAY(),"Overdue",IF($O44-TODAY()&lt;='Rules &amp; Guardrails'!$C$5,"At Risk","In Progress")))))</f>
        <v/>
      </c>
      <c r="AG44" s="28" t="str">
        <f aca="false">IF($O44="","",IF(OR($AE44="Launched",$AE44="Cancelled"),"",MID(IF($Y44&lt;&gt;"Approved",", Content approval","")&amp;IF(NOT(OR($Z44="Yes",$Z44="N/A")),", Assets","")&amp;IF(NOT(OR($AA44="Yes",$AA44="N/A")),", List","")&amp;IF($AB44="",", Ops decision",IF(AND($AB44="Yes",$AD44&lt;&gt;"Yes"),", Ops",""))&amp;IF($U44="",", Owner","")&amp;IF($K44="",", Segment",""),3,200)))</f>
        <v/>
      </c>
      <c r="AH44" s="29" t="str">
        <f aca="true">IF($O44="","",$O44-TODAY())</f>
        <v/>
      </c>
      <c r="AI44" s="26" t="str">
        <f aca="false">IF($O44="","",$O44-WEEKDAY($O44,3))</f>
        <v/>
      </c>
      <c r="AJ44" s="30" t="str">
        <f aca="false">IF($O44="","",DATE(YEAR($O44),MONTH($O44),1))</f>
        <v/>
      </c>
      <c r="AK44" s="31" t="str">
        <f aca="false">IF(OR($O44="",$K44=""),"",COUNTIFS('Comms Calendar'!$K$5:$K$504,$K44,'Comms Calendar'!$B$5:$B$504,$B44,'Comms Calendar'!$AI$5:$AI$504,$AI44,'Comms Calendar'!$AE$5:$AE$504,"&lt;&gt;Cancelled"))</f>
        <v/>
      </c>
      <c r="AL44" s="27" t="str">
        <f aca="false">IF($AK44="","",IF($AK44&gt;'Rules &amp; Guardrails'!$C$3,"Over cap","OK"))</f>
        <v/>
      </c>
      <c r="AM44" s="27" t="str">
        <f aca="false">IF(OR($O44="",$K44=""),"",IF(COUNTIFS('Comms Calendar'!$K$5:$K$504,$K44,'Comms Calendar'!$B$5:$B$504,$B44,'Comms Calendar'!$O$5:$O$504,$O44,'Comms Calendar'!$AE$5:$AE$504,"&lt;&gt;Cancelled")&gt;1,"Clash",""))</f>
        <v/>
      </c>
      <c r="AN44" s="27" t="str">
        <f aca="false">IF($O44="","",IF(IF($B44="Global",COUNTIF('Rules &amp; Guardrails'!$F$9:$F$60,$O44),COUNTIFS('Rules &amp; Guardrails'!$F$9:$F$60,$O44,'Rules &amp; Guardrails'!$G$9:$G$60,$B44)+COUNTIFS('Rules &amp; Guardrails'!$F$9:$F$60,$O44,'Rules &amp; Guardrails'!$G$9:$G$60,"Global"))&gt;0,"Blackout",""))</f>
        <v/>
      </c>
      <c r="AO44" s="6"/>
      <c r="AP44" s="25"/>
      <c r="AQ44" s="23"/>
      <c r="AR44" s="31" t="str">
        <f aca="false">IF($D44="","",IFERROR(VLOOKUP($D44,'Rules &amp; Guardrails'!$A$9:$D$24,2,0),"Other"))</f>
        <v/>
      </c>
      <c r="AS44" s="31" t="str">
        <f aca="false">IF($O44="","",$O44&amp;"|"&amp;$B44)</f>
        <v/>
      </c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6"/>
      <c r="H45" s="6"/>
      <c r="I45" s="23"/>
      <c r="J45" s="23"/>
      <c r="K45" s="23"/>
      <c r="L45" s="6"/>
      <c r="M45" s="6"/>
      <c r="N45" s="24"/>
      <c r="O45" s="25"/>
      <c r="P45" s="23"/>
      <c r="Q45" s="23"/>
      <c r="R45" s="23"/>
      <c r="S45" s="23"/>
      <c r="T45" s="26" t="str">
        <f aca="false">IF(OR($O45="",$D45=""),"",WORKDAY($O45,-IFERROR(VLOOKUP($D45,'Rules &amp; Guardrails'!$A$9:$D$24,3,0),10)))</f>
        <v/>
      </c>
      <c r="U45" s="23"/>
      <c r="V45" s="23"/>
      <c r="W45" s="23"/>
      <c r="X45" s="6"/>
      <c r="Y45" s="23"/>
      <c r="Z45" s="23"/>
      <c r="AA45" s="23"/>
      <c r="AB45" s="23"/>
      <c r="AC45" s="23"/>
      <c r="AD45" s="23"/>
      <c r="AE45" s="23"/>
      <c r="AF45" s="27" t="str">
        <f aca="true">IF($O45="","",IF(OR($AE45="Cancelled",$AE45="On hold",$AE45="Launched"),$AE45,IF(AND($Y45="Approved",OR($Z45="Yes",$Z45="N/A"),OR($AA45="Yes",$AA45="N/A"),OR($AB45="No",$AB45="N/A",AND($AB45="Yes",$AD45="Yes"))),"Ready",IF($O45&lt;TODAY(),"Overdue",IF($O45-TODAY()&lt;='Rules &amp; Guardrails'!$C$5,"At Risk","In Progress")))))</f>
        <v/>
      </c>
      <c r="AG45" s="28" t="str">
        <f aca="false">IF($O45="","",IF(OR($AE45="Launched",$AE45="Cancelled"),"",MID(IF($Y45&lt;&gt;"Approved",", Content approval","")&amp;IF(NOT(OR($Z45="Yes",$Z45="N/A")),", Assets","")&amp;IF(NOT(OR($AA45="Yes",$AA45="N/A")),", List","")&amp;IF($AB45="",", Ops decision",IF(AND($AB45="Yes",$AD45&lt;&gt;"Yes"),", Ops",""))&amp;IF($U45="",", Owner","")&amp;IF($K45="",", Segment",""),3,200)))</f>
        <v/>
      </c>
      <c r="AH45" s="29" t="str">
        <f aca="true">IF($O45="","",$O45-TODAY())</f>
        <v/>
      </c>
      <c r="AI45" s="26" t="str">
        <f aca="false">IF($O45="","",$O45-WEEKDAY($O45,3))</f>
        <v/>
      </c>
      <c r="AJ45" s="30" t="str">
        <f aca="false">IF($O45="","",DATE(YEAR($O45),MONTH($O45),1))</f>
        <v/>
      </c>
      <c r="AK45" s="31" t="str">
        <f aca="false">IF(OR($O45="",$K45=""),"",COUNTIFS('Comms Calendar'!$K$5:$K$504,$K45,'Comms Calendar'!$B$5:$B$504,$B45,'Comms Calendar'!$AI$5:$AI$504,$AI45,'Comms Calendar'!$AE$5:$AE$504,"&lt;&gt;Cancelled"))</f>
        <v/>
      </c>
      <c r="AL45" s="27" t="str">
        <f aca="false">IF($AK45="","",IF($AK45&gt;'Rules &amp; Guardrails'!$C$3,"Over cap","OK"))</f>
        <v/>
      </c>
      <c r="AM45" s="27" t="str">
        <f aca="false">IF(OR($O45="",$K45=""),"",IF(COUNTIFS('Comms Calendar'!$K$5:$K$504,$K45,'Comms Calendar'!$B$5:$B$504,$B45,'Comms Calendar'!$O$5:$O$504,$O45,'Comms Calendar'!$AE$5:$AE$504,"&lt;&gt;Cancelled")&gt;1,"Clash",""))</f>
        <v/>
      </c>
      <c r="AN45" s="27" t="str">
        <f aca="false">IF($O45="","",IF(IF($B45="Global",COUNTIF('Rules &amp; Guardrails'!$F$9:$F$60,$O45),COUNTIFS('Rules &amp; Guardrails'!$F$9:$F$60,$O45,'Rules &amp; Guardrails'!$G$9:$G$60,$B45)+COUNTIFS('Rules &amp; Guardrails'!$F$9:$F$60,$O45,'Rules &amp; Guardrails'!$G$9:$G$60,"Global"))&gt;0,"Blackout",""))</f>
        <v/>
      </c>
      <c r="AO45" s="6"/>
      <c r="AP45" s="25"/>
      <c r="AQ45" s="23"/>
      <c r="AR45" s="31" t="str">
        <f aca="false">IF($D45="","",IFERROR(VLOOKUP($D45,'Rules &amp; Guardrails'!$A$9:$D$24,2,0),"Other"))</f>
        <v/>
      </c>
      <c r="AS45" s="31" t="str">
        <f aca="false">IF($O45="","",$O45&amp;"|"&amp;$B45)</f>
        <v/>
      </c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6"/>
      <c r="H46" s="6"/>
      <c r="I46" s="23"/>
      <c r="J46" s="23"/>
      <c r="K46" s="23"/>
      <c r="L46" s="6"/>
      <c r="M46" s="6"/>
      <c r="N46" s="24"/>
      <c r="O46" s="25"/>
      <c r="P46" s="23"/>
      <c r="Q46" s="23"/>
      <c r="R46" s="23"/>
      <c r="S46" s="23"/>
      <c r="T46" s="26" t="str">
        <f aca="false">IF(OR($O46="",$D46=""),"",WORKDAY($O46,-IFERROR(VLOOKUP($D46,'Rules &amp; Guardrails'!$A$9:$D$24,3,0),10)))</f>
        <v/>
      </c>
      <c r="U46" s="23"/>
      <c r="V46" s="23"/>
      <c r="W46" s="23"/>
      <c r="X46" s="6"/>
      <c r="Y46" s="23"/>
      <c r="Z46" s="23"/>
      <c r="AA46" s="23"/>
      <c r="AB46" s="23"/>
      <c r="AC46" s="23"/>
      <c r="AD46" s="23"/>
      <c r="AE46" s="23"/>
      <c r="AF46" s="27" t="str">
        <f aca="true">IF($O46="","",IF(OR($AE46="Cancelled",$AE46="On hold",$AE46="Launched"),$AE46,IF(AND($Y46="Approved",OR($Z46="Yes",$Z46="N/A"),OR($AA46="Yes",$AA46="N/A"),OR($AB46="No",$AB46="N/A",AND($AB46="Yes",$AD46="Yes"))),"Ready",IF($O46&lt;TODAY(),"Overdue",IF($O46-TODAY()&lt;='Rules &amp; Guardrails'!$C$5,"At Risk","In Progress")))))</f>
        <v/>
      </c>
      <c r="AG46" s="28" t="str">
        <f aca="false">IF($O46="","",IF(OR($AE46="Launched",$AE46="Cancelled"),"",MID(IF($Y46&lt;&gt;"Approved",", Content approval","")&amp;IF(NOT(OR($Z46="Yes",$Z46="N/A")),", Assets","")&amp;IF(NOT(OR($AA46="Yes",$AA46="N/A")),", List","")&amp;IF($AB46="",", Ops decision",IF(AND($AB46="Yes",$AD46&lt;&gt;"Yes"),", Ops",""))&amp;IF($U46="",", Owner","")&amp;IF($K46="",", Segment",""),3,200)))</f>
        <v/>
      </c>
      <c r="AH46" s="29" t="str">
        <f aca="true">IF($O46="","",$O46-TODAY())</f>
        <v/>
      </c>
      <c r="AI46" s="26" t="str">
        <f aca="false">IF($O46="","",$O46-WEEKDAY($O46,3))</f>
        <v/>
      </c>
      <c r="AJ46" s="30" t="str">
        <f aca="false">IF($O46="","",DATE(YEAR($O46),MONTH($O46),1))</f>
        <v/>
      </c>
      <c r="AK46" s="31" t="str">
        <f aca="false">IF(OR($O46="",$K46=""),"",COUNTIFS('Comms Calendar'!$K$5:$K$504,$K46,'Comms Calendar'!$B$5:$B$504,$B46,'Comms Calendar'!$AI$5:$AI$504,$AI46,'Comms Calendar'!$AE$5:$AE$504,"&lt;&gt;Cancelled"))</f>
        <v/>
      </c>
      <c r="AL46" s="27" t="str">
        <f aca="false">IF($AK46="","",IF($AK46&gt;'Rules &amp; Guardrails'!$C$3,"Over cap","OK"))</f>
        <v/>
      </c>
      <c r="AM46" s="27" t="str">
        <f aca="false">IF(OR($O46="",$K46=""),"",IF(COUNTIFS('Comms Calendar'!$K$5:$K$504,$K46,'Comms Calendar'!$B$5:$B$504,$B46,'Comms Calendar'!$O$5:$O$504,$O46,'Comms Calendar'!$AE$5:$AE$504,"&lt;&gt;Cancelled")&gt;1,"Clash",""))</f>
        <v/>
      </c>
      <c r="AN46" s="27" t="str">
        <f aca="false">IF($O46="","",IF(IF($B46="Global",COUNTIF('Rules &amp; Guardrails'!$F$9:$F$60,$O46),COUNTIFS('Rules &amp; Guardrails'!$F$9:$F$60,$O46,'Rules &amp; Guardrails'!$G$9:$G$60,$B46)+COUNTIFS('Rules &amp; Guardrails'!$F$9:$F$60,$O46,'Rules &amp; Guardrails'!$G$9:$G$60,"Global"))&gt;0,"Blackout",""))</f>
        <v/>
      </c>
      <c r="AO46" s="6"/>
      <c r="AP46" s="25"/>
      <c r="AQ46" s="23"/>
      <c r="AR46" s="31" t="str">
        <f aca="false">IF($D46="","",IFERROR(VLOOKUP($D46,'Rules &amp; Guardrails'!$A$9:$D$24,2,0),"Other"))</f>
        <v/>
      </c>
      <c r="AS46" s="31" t="str">
        <f aca="false">IF($O46="","",$O46&amp;"|"&amp;$B46)</f>
        <v/>
      </c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6"/>
      <c r="H47" s="6"/>
      <c r="I47" s="23"/>
      <c r="J47" s="23"/>
      <c r="K47" s="23"/>
      <c r="L47" s="6"/>
      <c r="M47" s="6"/>
      <c r="N47" s="24"/>
      <c r="O47" s="25"/>
      <c r="P47" s="23"/>
      <c r="Q47" s="23"/>
      <c r="R47" s="23"/>
      <c r="S47" s="23"/>
      <c r="T47" s="26" t="str">
        <f aca="false">IF(OR($O47="",$D47=""),"",WORKDAY($O47,-IFERROR(VLOOKUP($D47,'Rules &amp; Guardrails'!$A$9:$D$24,3,0),10)))</f>
        <v/>
      </c>
      <c r="U47" s="23"/>
      <c r="V47" s="23"/>
      <c r="W47" s="23"/>
      <c r="X47" s="6"/>
      <c r="Y47" s="23"/>
      <c r="Z47" s="23"/>
      <c r="AA47" s="23"/>
      <c r="AB47" s="23"/>
      <c r="AC47" s="23"/>
      <c r="AD47" s="23"/>
      <c r="AE47" s="23"/>
      <c r="AF47" s="27" t="str">
        <f aca="true">IF($O47="","",IF(OR($AE47="Cancelled",$AE47="On hold",$AE47="Launched"),$AE47,IF(AND($Y47="Approved",OR($Z47="Yes",$Z47="N/A"),OR($AA47="Yes",$AA47="N/A"),OR($AB47="No",$AB47="N/A",AND($AB47="Yes",$AD47="Yes"))),"Ready",IF($O47&lt;TODAY(),"Overdue",IF($O47-TODAY()&lt;='Rules &amp; Guardrails'!$C$5,"At Risk","In Progress")))))</f>
        <v/>
      </c>
      <c r="AG47" s="28" t="str">
        <f aca="false">IF($O47="","",IF(OR($AE47="Launched",$AE47="Cancelled"),"",MID(IF($Y47&lt;&gt;"Approved",", Content approval","")&amp;IF(NOT(OR($Z47="Yes",$Z47="N/A")),", Assets","")&amp;IF(NOT(OR($AA47="Yes",$AA47="N/A")),", List","")&amp;IF($AB47="",", Ops decision",IF(AND($AB47="Yes",$AD47&lt;&gt;"Yes"),", Ops",""))&amp;IF($U47="",", Owner","")&amp;IF($K47="",", Segment",""),3,200)))</f>
        <v/>
      </c>
      <c r="AH47" s="29" t="str">
        <f aca="true">IF($O47="","",$O47-TODAY())</f>
        <v/>
      </c>
      <c r="AI47" s="26" t="str">
        <f aca="false">IF($O47="","",$O47-WEEKDAY($O47,3))</f>
        <v/>
      </c>
      <c r="AJ47" s="30" t="str">
        <f aca="false">IF($O47="","",DATE(YEAR($O47),MONTH($O47),1))</f>
        <v/>
      </c>
      <c r="AK47" s="31" t="str">
        <f aca="false">IF(OR($O47="",$K47=""),"",COUNTIFS('Comms Calendar'!$K$5:$K$504,$K47,'Comms Calendar'!$B$5:$B$504,$B47,'Comms Calendar'!$AI$5:$AI$504,$AI47,'Comms Calendar'!$AE$5:$AE$504,"&lt;&gt;Cancelled"))</f>
        <v/>
      </c>
      <c r="AL47" s="27" t="str">
        <f aca="false">IF($AK47="","",IF($AK47&gt;'Rules &amp; Guardrails'!$C$3,"Over cap","OK"))</f>
        <v/>
      </c>
      <c r="AM47" s="27" t="str">
        <f aca="false">IF(OR($O47="",$K47=""),"",IF(COUNTIFS('Comms Calendar'!$K$5:$K$504,$K47,'Comms Calendar'!$B$5:$B$504,$B47,'Comms Calendar'!$O$5:$O$504,$O47,'Comms Calendar'!$AE$5:$AE$504,"&lt;&gt;Cancelled")&gt;1,"Clash",""))</f>
        <v/>
      </c>
      <c r="AN47" s="27" t="str">
        <f aca="false">IF($O47="","",IF(IF($B47="Global",COUNTIF('Rules &amp; Guardrails'!$F$9:$F$60,$O47),COUNTIFS('Rules &amp; Guardrails'!$F$9:$F$60,$O47,'Rules &amp; Guardrails'!$G$9:$G$60,$B47)+COUNTIFS('Rules &amp; Guardrails'!$F$9:$F$60,$O47,'Rules &amp; Guardrails'!$G$9:$G$60,"Global"))&gt;0,"Blackout",""))</f>
        <v/>
      </c>
      <c r="AO47" s="6"/>
      <c r="AP47" s="25"/>
      <c r="AQ47" s="23"/>
      <c r="AR47" s="31" t="str">
        <f aca="false">IF($D47="","",IFERROR(VLOOKUP($D47,'Rules &amp; Guardrails'!$A$9:$D$24,2,0),"Other"))</f>
        <v/>
      </c>
      <c r="AS47" s="31" t="str">
        <f aca="false">IF($O47="","",$O47&amp;"|"&amp;$B47)</f>
        <v/>
      </c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6"/>
      <c r="H48" s="6"/>
      <c r="I48" s="23"/>
      <c r="J48" s="23"/>
      <c r="K48" s="23"/>
      <c r="L48" s="6"/>
      <c r="M48" s="6"/>
      <c r="N48" s="24"/>
      <c r="O48" s="25"/>
      <c r="P48" s="23"/>
      <c r="Q48" s="23"/>
      <c r="R48" s="23"/>
      <c r="S48" s="23"/>
      <c r="T48" s="26" t="str">
        <f aca="false">IF(OR($O48="",$D48=""),"",WORKDAY($O48,-IFERROR(VLOOKUP($D48,'Rules &amp; Guardrails'!$A$9:$D$24,3,0),10)))</f>
        <v/>
      </c>
      <c r="U48" s="23"/>
      <c r="V48" s="23"/>
      <c r="W48" s="23"/>
      <c r="X48" s="6"/>
      <c r="Y48" s="23"/>
      <c r="Z48" s="23"/>
      <c r="AA48" s="23"/>
      <c r="AB48" s="23"/>
      <c r="AC48" s="23"/>
      <c r="AD48" s="23"/>
      <c r="AE48" s="23"/>
      <c r="AF48" s="27" t="str">
        <f aca="true">IF($O48="","",IF(OR($AE48="Cancelled",$AE48="On hold",$AE48="Launched"),$AE48,IF(AND($Y48="Approved",OR($Z48="Yes",$Z48="N/A"),OR($AA48="Yes",$AA48="N/A"),OR($AB48="No",$AB48="N/A",AND($AB48="Yes",$AD48="Yes"))),"Ready",IF($O48&lt;TODAY(),"Overdue",IF($O48-TODAY()&lt;='Rules &amp; Guardrails'!$C$5,"At Risk","In Progress")))))</f>
        <v/>
      </c>
      <c r="AG48" s="28" t="str">
        <f aca="false">IF($O48="","",IF(OR($AE48="Launched",$AE48="Cancelled"),"",MID(IF($Y48&lt;&gt;"Approved",", Content approval","")&amp;IF(NOT(OR($Z48="Yes",$Z48="N/A")),", Assets","")&amp;IF(NOT(OR($AA48="Yes",$AA48="N/A")),", List","")&amp;IF($AB48="",", Ops decision",IF(AND($AB48="Yes",$AD48&lt;&gt;"Yes"),", Ops",""))&amp;IF($U48="",", Owner","")&amp;IF($K48="",", Segment",""),3,200)))</f>
        <v/>
      </c>
      <c r="AH48" s="29" t="str">
        <f aca="true">IF($O48="","",$O48-TODAY())</f>
        <v/>
      </c>
      <c r="AI48" s="26" t="str">
        <f aca="false">IF($O48="","",$O48-WEEKDAY($O48,3))</f>
        <v/>
      </c>
      <c r="AJ48" s="30" t="str">
        <f aca="false">IF($O48="","",DATE(YEAR($O48),MONTH($O48),1))</f>
        <v/>
      </c>
      <c r="AK48" s="31" t="str">
        <f aca="false">IF(OR($O48="",$K48=""),"",COUNTIFS('Comms Calendar'!$K$5:$K$504,$K48,'Comms Calendar'!$B$5:$B$504,$B48,'Comms Calendar'!$AI$5:$AI$504,$AI48,'Comms Calendar'!$AE$5:$AE$504,"&lt;&gt;Cancelled"))</f>
        <v/>
      </c>
      <c r="AL48" s="27" t="str">
        <f aca="false">IF($AK48="","",IF($AK48&gt;'Rules &amp; Guardrails'!$C$3,"Over cap","OK"))</f>
        <v/>
      </c>
      <c r="AM48" s="27" t="str">
        <f aca="false">IF(OR($O48="",$K48=""),"",IF(COUNTIFS('Comms Calendar'!$K$5:$K$504,$K48,'Comms Calendar'!$B$5:$B$504,$B48,'Comms Calendar'!$O$5:$O$504,$O48,'Comms Calendar'!$AE$5:$AE$504,"&lt;&gt;Cancelled")&gt;1,"Clash",""))</f>
        <v/>
      </c>
      <c r="AN48" s="27" t="str">
        <f aca="false">IF($O48="","",IF(IF($B48="Global",COUNTIF('Rules &amp; Guardrails'!$F$9:$F$60,$O48),COUNTIFS('Rules &amp; Guardrails'!$F$9:$F$60,$O48,'Rules &amp; Guardrails'!$G$9:$G$60,$B48)+COUNTIFS('Rules &amp; Guardrails'!$F$9:$F$60,$O48,'Rules &amp; Guardrails'!$G$9:$G$60,"Global"))&gt;0,"Blackout",""))</f>
        <v/>
      </c>
      <c r="AO48" s="6"/>
      <c r="AP48" s="25"/>
      <c r="AQ48" s="23"/>
      <c r="AR48" s="31" t="str">
        <f aca="false">IF($D48="","",IFERROR(VLOOKUP($D48,'Rules &amp; Guardrails'!$A$9:$D$24,2,0),"Other"))</f>
        <v/>
      </c>
      <c r="AS48" s="31" t="str">
        <f aca="false">IF($O48="","",$O48&amp;"|"&amp;$B48)</f>
        <v/>
      </c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6"/>
      <c r="H49" s="6"/>
      <c r="I49" s="23"/>
      <c r="J49" s="23"/>
      <c r="K49" s="23"/>
      <c r="L49" s="6"/>
      <c r="M49" s="6"/>
      <c r="N49" s="24"/>
      <c r="O49" s="25"/>
      <c r="P49" s="23"/>
      <c r="Q49" s="23"/>
      <c r="R49" s="23"/>
      <c r="S49" s="23"/>
      <c r="T49" s="26" t="str">
        <f aca="false">IF(OR($O49="",$D49=""),"",WORKDAY($O49,-IFERROR(VLOOKUP($D49,'Rules &amp; Guardrails'!$A$9:$D$24,3,0),10)))</f>
        <v/>
      </c>
      <c r="U49" s="23"/>
      <c r="V49" s="23"/>
      <c r="W49" s="23"/>
      <c r="X49" s="6"/>
      <c r="Y49" s="23"/>
      <c r="Z49" s="23"/>
      <c r="AA49" s="23"/>
      <c r="AB49" s="23"/>
      <c r="AC49" s="23"/>
      <c r="AD49" s="23"/>
      <c r="AE49" s="23"/>
      <c r="AF49" s="27" t="str">
        <f aca="true">IF($O49="","",IF(OR($AE49="Cancelled",$AE49="On hold",$AE49="Launched"),$AE49,IF(AND($Y49="Approved",OR($Z49="Yes",$Z49="N/A"),OR($AA49="Yes",$AA49="N/A"),OR($AB49="No",$AB49="N/A",AND($AB49="Yes",$AD49="Yes"))),"Ready",IF($O49&lt;TODAY(),"Overdue",IF($O49-TODAY()&lt;='Rules &amp; Guardrails'!$C$5,"At Risk","In Progress")))))</f>
        <v/>
      </c>
      <c r="AG49" s="28" t="str">
        <f aca="false">IF($O49="","",IF(OR($AE49="Launched",$AE49="Cancelled"),"",MID(IF($Y49&lt;&gt;"Approved",", Content approval","")&amp;IF(NOT(OR($Z49="Yes",$Z49="N/A")),", Assets","")&amp;IF(NOT(OR($AA49="Yes",$AA49="N/A")),", List","")&amp;IF($AB49="",", Ops decision",IF(AND($AB49="Yes",$AD49&lt;&gt;"Yes"),", Ops",""))&amp;IF($U49="",", Owner","")&amp;IF($K49="",", Segment",""),3,200)))</f>
        <v/>
      </c>
      <c r="AH49" s="29" t="str">
        <f aca="true">IF($O49="","",$O49-TODAY())</f>
        <v/>
      </c>
      <c r="AI49" s="26" t="str">
        <f aca="false">IF($O49="","",$O49-WEEKDAY($O49,3))</f>
        <v/>
      </c>
      <c r="AJ49" s="30" t="str">
        <f aca="false">IF($O49="","",DATE(YEAR($O49),MONTH($O49),1))</f>
        <v/>
      </c>
      <c r="AK49" s="31" t="str">
        <f aca="false">IF(OR($O49="",$K49=""),"",COUNTIFS('Comms Calendar'!$K$5:$K$504,$K49,'Comms Calendar'!$B$5:$B$504,$B49,'Comms Calendar'!$AI$5:$AI$504,$AI49,'Comms Calendar'!$AE$5:$AE$504,"&lt;&gt;Cancelled"))</f>
        <v/>
      </c>
      <c r="AL49" s="27" t="str">
        <f aca="false">IF($AK49="","",IF($AK49&gt;'Rules &amp; Guardrails'!$C$3,"Over cap","OK"))</f>
        <v/>
      </c>
      <c r="AM49" s="27" t="str">
        <f aca="false">IF(OR($O49="",$K49=""),"",IF(COUNTIFS('Comms Calendar'!$K$5:$K$504,$K49,'Comms Calendar'!$B$5:$B$504,$B49,'Comms Calendar'!$O$5:$O$504,$O49,'Comms Calendar'!$AE$5:$AE$504,"&lt;&gt;Cancelled")&gt;1,"Clash",""))</f>
        <v/>
      </c>
      <c r="AN49" s="27" t="str">
        <f aca="false">IF($O49="","",IF(IF($B49="Global",COUNTIF('Rules &amp; Guardrails'!$F$9:$F$60,$O49),COUNTIFS('Rules &amp; Guardrails'!$F$9:$F$60,$O49,'Rules &amp; Guardrails'!$G$9:$G$60,$B49)+COUNTIFS('Rules &amp; Guardrails'!$F$9:$F$60,$O49,'Rules &amp; Guardrails'!$G$9:$G$60,"Global"))&gt;0,"Blackout",""))</f>
        <v/>
      </c>
      <c r="AO49" s="6"/>
      <c r="AP49" s="25"/>
      <c r="AQ49" s="23"/>
      <c r="AR49" s="31" t="str">
        <f aca="false">IF($D49="","",IFERROR(VLOOKUP($D49,'Rules &amp; Guardrails'!$A$9:$D$24,2,0),"Other"))</f>
        <v/>
      </c>
      <c r="AS49" s="31" t="str">
        <f aca="false">IF($O49="","",$O49&amp;"|"&amp;$B49)</f>
        <v/>
      </c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6"/>
      <c r="H50" s="6"/>
      <c r="I50" s="23"/>
      <c r="J50" s="23"/>
      <c r="K50" s="23"/>
      <c r="L50" s="6"/>
      <c r="M50" s="6"/>
      <c r="N50" s="24"/>
      <c r="O50" s="25"/>
      <c r="P50" s="23"/>
      <c r="Q50" s="23"/>
      <c r="R50" s="23"/>
      <c r="S50" s="23"/>
      <c r="T50" s="26" t="str">
        <f aca="false">IF(OR($O50="",$D50=""),"",WORKDAY($O50,-IFERROR(VLOOKUP($D50,'Rules &amp; Guardrails'!$A$9:$D$24,3,0),10)))</f>
        <v/>
      </c>
      <c r="U50" s="23"/>
      <c r="V50" s="23"/>
      <c r="W50" s="23"/>
      <c r="X50" s="6"/>
      <c r="Y50" s="23"/>
      <c r="Z50" s="23"/>
      <c r="AA50" s="23"/>
      <c r="AB50" s="23"/>
      <c r="AC50" s="23"/>
      <c r="AD50" s="23"/>
      <c r="AE50" s="23"/>
      <c r="AF50" s="27" t="str">
        <f aca="true">IF($O50="","",IF(OR($AE50="Cancelled",$AE50="On hold",$AE50="Launched"),$AE50,IF(AND($Y50="Approved",OR($Z50="Yes",$Z50="N/A"),OR($AA50="Yes",$AA50="N/A"),OR($AB50="No",$AB50="N/A",AND($AB50="Yes",$AD50="Yes"))),"Ready",IF($O50&lt;TODAY(),"Overdue",IF($O50-TODAY()&lt;='Rules &amp; Guardrails'!$C$5,"At Risk","In Progress")))))</f>
        <v/>
      </c>
      <c r="AG50" s="28" t="str">
        <f aca="false">IF($O50="","",IF(OR($AE50="Launched",$AE50="Cancelled"),"",MID(IF($Y50&lt;&gt;"Approved",", Content approval","")&amp;IF(NOT(OR($Z50="Yes",$Z50="N/A")),", Assets","")&amp;IF(NOT(OR($AA50="Yes",$AA50="N/A")),", List","")&amp;IF($AB50="",", Ops decision",IF(AND($AB50="Yes",$AD50&lt;&gt;"Yes"),", Ops",""))&amp;IF($U50="",", Owner","")&amp;IF($K50="",", Segment",""),3,200)))</f>
        <v/>
      </c>
      <c r="AH50" s="29" t="str">
        <f aca="true">IF($O50="","",$O50-TODAY())</f>
        <v/>
      </c>
      <c r="AI50" s="26" t="str">
        <f aca="false">IF($O50="","",$O50-WEEKDAY($O50,3))</f>
        <v/>
      </c>
      <c r="AJ50" s="30" t="str">
        <f aca="false">IF($O50="","",DATE(YEAR($O50),MONTH($O50),1))</f>
        <v/>
      </c>
      <c r="AK50" s="31" t="str">
        <f aca="false">IF(OR($O50="",$K50=""),"",COUNTIFS('Comms Calendar'!$K$5:$K$504,$K50,'Comms Calendar'!$B$5:$B$504,$B50,'Comms Calendar'!$AI$5:$AI$504,$AI50,'Comms Calendar'!$AE$5:$AE$504,"&lt;&gt;Cancelled"))</f>
        <v/>
      </c>
      <c r="AL50" s="27" t="str">
        <f aca="false">IF($AK50="","",IF($AK50&gt;'Rules &amp; Guardrails'!$C$3,"Over cap","OK"))</f>
        <v/>
      </c>
      <c r="AM50" s="27" t="str">
        <f aca="false">IF(OR($O50="",$K50=""),"",IF(COUNTIFS('Comms Calendar'!$K$5:$K$504,$K50,'Comms Calendar'!$B$5:$B$504,$B50,'Comms Calendar'!$O$5:$O$504,$O50,'Comms Calendar'!$AE$5:$AE$504,"&lt;&gt;Cancelled")&gt;1,"Clash",""))</f>
        <v/>
      </c>
      <c r="AN50" s="27" t="str">
        <f aca="false">IF($O50="","",IF(IF($B50="Global",COUNTIF('Rules &amp; Guardrails'!$F$9:$F$60,$O50),COUNTIFS('Rules &amp; Guardrails'!$F$9:$F$60,$O50,'Rules &amp; Guardrails'!$G$9:$G$60,$B50)+COUNTIFS('Rules &amp; Guardrails'!$F$9:$F$60,$O50,'Rules &amp; Guardrails'!$G$9:$G$60,"Global"))&gt;0,"Blackout",""))</f>
        <v/>
      </c>
      <c r="AO50" s="6"/>
      <c r="AP50" s="25"/>
      <c r="AQ50" s="23"/>
      <c r="AR50" s="31" t="str">
        <f aca="false">IF($D50="","",IFERROR(VLOOKUP($D50,'Rules &amp; Guardrails'!$A$9:$D$24,2,0),"Other"))</f>
        <v/>
      </c>
      <c r="AS50" s="31" t="str">
        <f aca="false">IF($O50="","",$O50&amp;"|"&amp;$B50)</f>
        <v/>
      </c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6"/>
      <c r="H51" s="6"/>
      <c r="I51" s="23"/>
      <c r="J51" s="23"/>
      <c r="K51" s="23"/>
      <c r="L51" s="6"/>
      <c r="M51" s="6"/>
      <c r="N51" s="24"/>
      <c r="O51" s="25"/>
      <c r="P51" s="23"/>
      <c r="Q51" s="23"/>
      <c r="R51" s="23"/>
      <c r="S51" s="23"/>
      <c r="T51" s="26" t="str">
        <f aca="false">IF(OR($O51="",$D51=""),"",WORKDAY($O51,-IFERROR(VLOOKUP($D51,'Rules &amp; Guardrails'!$A$9:$D$24,3,0),10)))</f>
        <v/>
      </c>
      <c r="U51" s="23"/>
      <c r="V51" s="23"/>
      <c r="W51" s="23"/>
      <c r="X51" s="6"/>
      <c r="Y51" s="23"/>
      <c r="Z51" s="23"/>
      <c r="AA51" s="23"/>
      <c r="AB51" s="23"/>
      <c r="AC51" s="23"/>
      <c r="AD51" s="23"/>
      <c r="AE51" s="23"/>
      <c r="AF51" s="27" t="str">
        <f aca="true">IF($O51="","",IF(OR($AE51="Cancelled",$AE51="On hold",$AE51="Launched"),$AE51,IF(AND($Y51="Approved",OR($Z51="Yes",$Z51="N/A"),OR($AA51="Yes",$AA51="N/A"),OR($AB51="No",$AB51="N/A",AND($AB51="Yes",$AD51="Yes"))),"Ready",IF($O51&lt;TODAY(),"Overdue",IF($O51-TODAY()&lt;='Rules &amp; Guardrails'!$C$5,"At Risk","In Progress")))))</f>
        <v/>
      </c>
      <c r="AG51" s="28" t="str">
        <f aca="false">IF($O51="","",IF(OR($AE51="Launched",$AE51="Cancelled"),"",MID(IF($Y51&lt;&gt;"Approved",", Content approval","")&amp;IF(NOT(OR($Z51="Yes",$Z51="N/A")),", Assets","")&amp;IF(NOT(OR($AA51="Yes",$AA51="N/A")),", List","")&amp;IF($AB51="",", Ops decision",IF(AND($AB51="Yes",$AD51&lt;&gt;"Yes"),", Ops",""))&amp;IF($U51="",", Owner","")&amp;IF($K51="",", Segment",""),3,200)))</f>
        <v/>
      </c>
      <c r="AH51" s="29" t="str">
        <f aca="true">IF($O51="","",$O51-TODAY())</f>
        <v/>
      </c>
      <c r="AI51" s="26" t="str">
        <f aca="false">IF($O51="","",$O51-WEEKDAY($O51,3))</f>
        <v/>
      </c>
      <c r="AJ51" s="30" t="str">
        <f aca="false">IF($O51="","",DATE(YEAR($O51),MONTH($O51),1))</f>
        <v/>
      </c>
      <c r="AK51" s="31" t="str">
        <f aca="false">IF(OR($O51="",$K51=""),"",COUNTIFS('Comms Calendar'!$K$5:$K$504,$K51,'Comms Calendar'!$B$5:$B$504,$B51,'Comms Calendar'!$AI$5:$AI$504,$AI51,'Comms Calendar'!$AE$5:$AE$504,"&lt;&gt;Cancelled"))</f>
        <v/>
      </c>
      <c r="AL51" s="27" t="str">
        <f aca="false">IF($AK51="","",IF($AK51&gt;'Rules &amp; Guardrails'!$C$3,"Over cap","OK"))</f>
        <v/>
      </c>
      <c r="AM51" s="27" t="str">
        <f aca="false">IF(OR($O51="",$K51=""),"",IF(COUNTIFS('Comms Calendar'!$K$5:$K$504,$K51,'Comms Calendar'!$B$5:$B$504,$B51,'Comms Calendar'!$O$5:$O$504,$O51,'Comms Calendar'!$AE$5:$AE$504,"&lt;&gt;Cancelled")&gt;1,"Clash",""))</f>
        <v/>
      </c>
      <c r="AN51" s="27" t="str">
        <f aca="false">IF($O51="","",IF(IF($B51="Global",COUNTIF('Rules &amp; Guardrails'!$F$9:$F$60,$O51),COUNTIFS('Rules &amp; Guardrails'!$F$9:$F$60,$O51,'Rules &amp; Guardrails'!$G$9:$G$60,$B51)+COUNTIFS('Rules &amp; Guardrails'!$F$9:$F$60,$O51,'Rules &amp; Guardrails'!$G$9:$G$60,"Global"))&gt;0,"Blackout",""))</f>
        <v/>
      </c>
      <c r="AO51" s="6"/>
      <c r="AP51" s="25"/>
      <c r="AQ51" s="23"/>
      <c r="AR51" s="31" t="str">
        <f aca="false">IF($D51="","",IFERROR(VLOOKUP($D51,'Rules &amp; Guardrails'!$A$9:$D$24,2,0),"Other"))</f>
        <v/>
      </c>
      <c r="AS51" s="31" t="str">
        <f aca="false">IF($O51="","",$O51&amp;"|"&amp;$B51)</f>
        <v/>
      </c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6"/>
      <c r="H52" s="6"/>
      <c r="I52" s="23"/>
      <c r="J52" s="23"/>
      <c r="K52" s="23"/>
      <c r="L52" s="6"/>
      <c r="M52" s="6"/>
      <c r="N52" s="24"/>
      <c r="O52" s="25"/>
      <c r="P52" s="23"/>
      <c r="Q52" s="23"/>
      <c r="R52" s="23"/>
      <c r="S52" s="23"/>
      <c r="T52" s="26" t="str">
        <f aca="false">IF(OR($O52="",$D52=""),"",WORKDAY($O52,-IFERROR(VLOOKUP($D52,'Rules &amp; Guardrails'!$A$9:$D$24,3,0),10)))</f>
        <v/>
      </c>
      <c r="U52" s="23"/>
      <c r="V52" s="23"/>
      <c r="W52" s="23"/>
      <c r="X52" s="6"/>
      <c r="Y52" s="23"/>
      <c r="Z52" s="23"/>
      <c r="AA52" s="23"/>
      <c r="AB52" s="23"/>
      <c r="AC52" s="23"/>
      <c r="AD52" s="23"/>
      <c r="AE52" s="23"/>
      <c r="AF52" s="27" t="str">
        <f aca="true">IF($O52="","",IF(OR($AE52="Cancelled",$AE52="On hold",$AE52="Launched"),$AE52,IF(AND($Y52="Approved",OR($Z52="Yes",$Z52="N/A"),OR($AA52="Yes",$AA52="N/A"),OR($AB52="No",$AB52="N/A",AND($AB52="Yes",$AD52="Yes"))),"Ready",IF($O52&lt;TODAY(),"Overdue",IF($O52-TODAY()&lt;='Rules &amp; Guardrails'!$C$5,"At Risk","In Progress")))))</f>
        <v/>
      </c>
      <c r="AG52" s="28" t="str">
        <f aca="false">IF($O52="","",IF(OR($AE52="Launched",$AE52="Cancelled"),"",MID(IF($Y52&lt;&gt;"Approved",", Content approval","")&amp;IF(NOT(OR($Z52="Yes",$Z52="N/A")),", Assets","")&amp;IF(NOT(OR($AA52="Yes",$AA52="N/A")),", List","")&amp;IF($AB52="",", Ops decision",IF(AND($AB52="Yes",$AD52&lt;&gt;"Yes"),", Ops",""))&amp;IF($U52="",", Owner","")&amp;IF($K52="",", Segment",""),3,200)))</f>
        <v/>
      </c>
      <c r="AH52" s="29" t="str">
        <f aca="true">IF($O52="","",$O52-TODAY())</f>
        <v/>
      </c>
      <c r="AI52" s="26" t="str">
        <f aca="false">IF($O52="","",$O52-WEEKDAY($O52,3))</f>
        <v/>
      </c>
      <c r="AJ52" s="30" t="str">
        <f aca="false">IF($O52="","",DATE(YEAR($O52),MONTH($O52),1))</f>
        <v/>
      </c>
      <c r="AK52" s="31" t="str">
        <f aca="false">IF(OR($O52="",$K52=""),"",COUNTIFS('Comms Calendar'!$K$5:$K$504,$K52,'Comms Calendar'!$B$5:$B$504,$B52,'Comms Calendar'!$AI$5:$AI$504,$AI52,'Comms Calendar'!$AE$5:$AE$504,"&lt;&gt;Cancelled"))</f>
        <v/>
      </c>
      <c r="AL52" s="27" t="str">
        <f aca="false">IF($AK52="","",IF($AK52&gt;'Rules &amp; Guardrails'!$C$3,"Over cap","OK"))</f>
        <v/>
      </c>
      <c r="AM52" s="27" t="str">
        <f aca="false">IF(OR($O52="",$K52=""),"",IF(COUNTIFS('Comms Calendar'!$K$5:$K$504,$K52,'Comms Calendar'!$B$5:$B$504,$B52,'Comms Calendar'!$O$5:$O$504,$O52,'Comms Calendar'!$AE$5:$AE$504,"&lt;&gt;Cancelled")&gt;1,"Clash",""))</f>
        <v/>
      </c>
      <c r="AN52" s="27" t="str">
        <f aca="false">IF($O52="","",IF(IF($B52="Global",COUNTIF('Rules &amp; Guardrails'!$F$9:$F$60,$O52),COUNTIFS('Rules &amp; Guardrails'!$F$9:$F$60,$O52,'Rules &amp; Guardrails'!$G$9:$G$60,$B52)+COUNTIFS('Rules &amp; Guardrails'!$F$9:$F$60,$O52,'Rules &amp; Guardrails'!$G$9:$G$60,"Global"))&gt;0,"Blackout",""))</f>
        <v/>
      </c>
      <c r="AO52" s="6"/>
      <c r="AP52" s="25"/>
      <c r="AQ52" s="23"/>
      <c r="AR52" s="31" t="str">
        <f aca="false">IF($D52="","",IFERROR(VLOOKUP($D52,'Rules &amp; Guardrails'!$A$9:$D$24,2,0),"Other"))</f>
        <v/>
      </c>
      <c r="AS52" s="31" t="str">
        <f aca="false">IF($O52="","",$O52&amp;"|"&amp;$B52)</f>
        <v/>
      </c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6"/>
      <c r="H53" s="6"/>
      <c r="I53" s="23"/>
      <c r="J53" s="23"/>
      <c r="K53" s="23"/>
      <c r="L53" s="6"/>
      <c r="M53" s="6"/>
      <c r="N53" s="24"/>
      <c r="O53" s="25"/>
      <c r="P53" s="23"/>
      <c r="Q53" s="23"/>
      <c r="R53" s="23"/>
      <c r="S53" s="23"/>
      <c r="T53" s="26" t="str">
        <f aca="false">IF(OR($O53="",$D53=""),"",WORKDAY($O53,-IFERROR(VLOOKUP($D53,'Rules &amp; Guardrails'!$A$9:$D$24,3,0),10)))</f>
        <v/>
      </c>
      <c r="U53" s="23"/>
      <c r="V53" s="23"/>
      <c r="W53" s="23"/>
      <c r="X53" s="6"/>
      <c r="Y53" s="23"/>
      <c r="Z53" s="23"/>
      <c r="AA53" s="23"/>
      <c r="AB53" s="23"/>
      <c r="AC53" s="23"/>
      <c r="AD53" s="23"/>
      <c r="AE53" s="23"/>
      <c r="AF53" s="27" t="str">
        <f aca="true">IF($O53="","",IF(OR($AE53="Cancelled",$AE53="On hold",$AE53="Launched"),$AE53,IF(AND($Y53="Approved",OR($Z53="Yes",$Z53="N/A"),OR($AA53="Yes",$AA53="N/A"),OR($AB53="No",$AB53="N/A",AND($AB53="Yes",$AD53="Yes"))),"Ready",IF($O53&lt;TODAY(),"Overdue",IF($O53-TODAY()&lt;='Rules &amp; Guardrails'!$C$5,"At Risk","In Progress")))))</f>
        <v/>
      </c>
      <c r="AG53" s="28" t="str">
        <f aca="false">IF($O53="","",IF(OR($AE53="Launched",$AE53="Cancelled"),"",MID(IF($Y53&lt;&gt;"Approved",", Content approval","")&amp;IF(NOT(OR($Z53="Yes",$Z53="N/A")),", Assets","")&amp;IF(NOT(OR($AA53="Yes",$AA53="N/A")),", List","")&amp;IF($AB53="",", Ops decision",IF(AND($AB53="Yes",$AD53&lt;&gt;"Yes"),", Ops",""))&amp;IF($U53="",", Owner","")&amp;IF($K53="",", Segment",""),3,200)))</f>
        <v/>
      </c>
      <c r="AH53" s="29" t="str">
        <f aca="true">IF($O53="","",$O53-TODAY())</f>
        <v/>
      </c>
      <c r="AI53" s="26" t="str">
        <f aca="false">IF($O53="","",$O53-WEEKDAY($O53,3))</f>
        <v/>
      </c>
      <c r="AJ53" s="30" t="str">
        <f aca="false">IF($O53="","",DATE(YEAR($O53),MONTH($O53),1))</f>
        <v/>
      </c>
      <c r="AK53" s="31" t="str">
        <f aca="false">IF(OR($O53="",$K53=""),"",COUNTIFS('Comms Calendar'!$K$5:$K$504,$K53,'Comms Calendar'!$B$5:$B$504,$B53,'Comms Calendar'!$AI$5:$AI$504,$AI53,'Comms Calendar'!$AE$5:$AE$504,"&lt;&gt;Cancelled"))</f>
        <v/>
      </c>
      <c r="AL53" s="27" t="str">
        <f aca="false">IF($AK53="","",IF($AK53&gt;'Rules &amp; Guardrails'!$C$3,"Over cap","OK"))</f>
        <v/>
      </c>
      <c r="AM53" s="27" t="str">
        <f aca="false">IF(OR($O53="",$K53=""),"",IF(COUNTIFS('Comms Calendar'!$K$5:$K$504,$K53,'Comms Calendar'!$B$5:$B$504,$B53,'Comms Calendar'!$O$5:$O$504,$O53,'Comms Calendar'!$AE$5:$AE$504,"&lt;&gt;Cancelled")&gt;1,"Clash",""))</f>
        <v/>
      </c>
      <c r="AN53" s="27" t="str">
        <f aca="false">IF($O53="","",IF(IF($B53="Global",COUNTIF('Rules &amp; Guardrails'!$F$9:$F$60,$O53),COUNTIFS('Rules &amp; Guardrails'!$F$9:$F$60,$O53,'Rules &amp; Guardrails'!$G$9:$G$60,$B53)+COUNTIFS('Rules &amp; Guardrails'!$F$9:$F$60,$O53,'Rules &amp; Guardrails'!$G$9:$G$60,"Global"))&gt;0,"Blackout",""))</f>
        <v/>
      </c>
      <c r="AO53" s="6"/>
      <c r="AP53" s="25"/>
      <c r="AQ53" s="23"/>
      <c r="AR53" s="31" t="str">
        <f aca="false">IF($D53="","",IFERROR(VLOOKUP($D53,'Rules &amp; Guardrails'!$A$9:$D$24,2,0),"Other"))</f>
        <v/>
      </c>
      <c r="AS53" s="31" t="str">
        <f aca="false">IF($O53="","",$O53&amp;"|"&amp;$B53)</f>
        <v/>
      </c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6"/>
      <c r="H54" s="6"/>
      <c r="I54" s="23"/>
      <c r="J54" s="23"/>
      <c r="K54" s="23"/>
      <c r="L54" s="6"/>
      <c r="M54" s="6"/>
      <c r="N54" s="24"/>
      <c r="O54" s="25"/>
      <c r="P54" s="23"/>
      <c r="Q54" s="23"/>
      <c r="R54" s="23"/>
      <c r="S54" s="23"/>
      <c r="T54" s="26" t="str">
        <f aca="false">IF(OR($O54="",$D54=""),"",WORKDAY($O54,-IFERROR(VLOOKUP($D54,'Rules &amp; Guardrails'!$A$9:$D$24,3,0),10)))</f>
        <v/>
      </c>
      <c r="U54" s="23"/>
      <c r="V54" s="23"/>
      <c r="W54" s="23"/>
      <c r="X54" s="6"/>
      <c r="Y54" s="23"/>
      <c r="Z54" s="23"/>
      <c r="AA54" s="23"/>
      <c r="AB54" s="23"/>
      <c r="AC54" s="23"/>
      <c r="AD54" s="23"/>
      <c r="AE54" s="23"/>
      <c r="AF54" s="27" t="str">
        <f aca="true">IF($O54="","",IF(OR($AE54="Cancelled",$AE54="On hold",$AE54="Launched"),$AE54,IF(AND($Y54="Approved",OR($Z54="Yes",$Z54="N/A"),OR($AA54="Yes",$AA54="N/A"),OR($AB54="No",$AB54="N/A",AND($AB54="Yes",$AD54="Yes"))),"Ready",IF($O54&lt;TODAY(),"Overdue",IF($O54-TODAY()&lt;='Rules &amp; Guardrails'!$C$5,"At Risk","In Progress")))))</f>
        <v/>
      </c>
      <c r="AG54" s="28" t="str">
        <f aca="false">IF($O54="","",IF(OR($AE54="Launched",$AE54="Cancelled"),"",MID(IF($Y54&lt;&gt;"Approved",", Content approval","")&amp;IF(NOT(OR($Z54="Yes",$Z54="N/A")),", Assets","")&amp;IF(NOT(OR($AA54="Yes",$AA54="N/A")),", List","")&amp;IF($AB54="",", Ops decision",IF(AND($AB54="Yes",$AD54&lt;&gt;"Yes"),", Ops",""))&amp;IF($U54="",", Owner","")&amp;IF($K54="",", Segment",""),3,200)))</f>
        <v/>
      </c>
      <c r="AH54" s="29" t="str">
        <f aca="true">IF($O54="","",$O54-TODAY())</f>
        <v/>
      </c>
      <c r="AI54" s="26" t="str">
        <f aca="false">IF($O54="","",$O54-WEEKDAY($O54,3))</f>
        <v/>
      </c>
      <c r="AJ54" s="30" t="str">
        <f aca="false">IF($O54="","",DATE(YEAR($O54),MONTH($O54),1))</f>
        <v/>
      </c>
      <c r="AK54" s="31" t="str">
        <f aca="false">IF(OR($O54="",$K54=""),"",COUNTIFS('Comms Calendar'!$K$5:$K$504,$K54,'Comms Calendar'!$B$5:$B$504,$B54,'Comms Calendar'!$AI$5:$AI$504,$AI54,'Comms Calendar'!$AE$5:$AE$504,"&lt;&gt;Cancelled"))</f>
        <v/>
      </c>
      <c r="AL54" s="27" t="str">
        <f aca="false">IF($AK54="","",IF($AK54&gt;'Rules &amp; Guardrails'!$C$3,"Over cap","OK"))</f>
        <v/>
      </c>
      <c r="AM54" s="27" t="str">
        <f aca="false">IF(OR($O54="",$K54=""),"",IF(COUNTIFS('Comms Calendar'!$K$5:$K$504,$K54,'Comms Calendar'!$B$5:$B$504,$B54,'Comms Calendar'!$O$5:$O$504,$O54,'Comms Calendar'!$AE$5:$AE$504,"&lt;&gt;Cancelled")&gt;1,"Clash",""))</f>
        <v/>
      </c>
      <c r="AN54" s="27" t="str">
        <f aca="false">IF($O54="","",IF(IF($B54="Global",COUNTIF('Rules &amp; Guardrails'!$F$9:$F$60,$O54),COUNTIFS('Rules &amp; Guardrails'!$F$9:$F$60,$O54,'Rules &amp; Guardrails'!$G$9:$G$60,$B54)+COUNTIFS('Rules &amp; Guardrails'!$F$9:$F$60,$O54,'Rules &amp; Guardrails'!$G$9:$G$60,"Global"))&gt;0,"Blackout",""))</f>
        <v/>
      </c>
      <c r="AO54" s="6"/>
      <c r="AP54" s="25"/>
      <c r="AQ54" s="23"/>
      <c r="AR54" s="31" t="str">
        <f aca="false">IF($D54="","",IFERROR(VLOOKUP($D54,'Rules &amp; Guardrails'!$A$9:$D$24,2,0),"Other"))</f>
        <v/>
      </c>
      <c r="AS54" s="31" t="str">
        <f aca="false">IF($O54="","",$O54&amp;"|"&amp;$B54)</f>
        <v/>
      </c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6"/>
      <c r="H55" s="6"/>
      <c r="I55" s="23"/>
      <c r="J55" s="23"/>
      <c r="K55" s="23"/>
      <c r="L55" s="6"/>
      <c r="M55" s="6"/>
      <c r="N55" s="24"/>
      <c r="O55" s="25"/>
      <c r="P55" s="23"/>
      <c r="Q55" s="23"/>
      <c r="R55" s="23"/>
      <c r="S55" s="23"/>
      <c r="T55" s="26" t="str">
        <f aca="false">IF(OR($O55="",$D55=""),"",WORKDAY($O55,-IFERROR(VLOOKUP($D55,'Rules &amp; Guardrails'!$A$9:$D$24,3,0),10)))</f>
        <v/>
      </c>
      <c r="U55" s="23"/>
      <c r="V55" s="23"/>
      <c r="W55" s="23"/>
      <c r="X55" s="6"/>
      <c r="Y55" s="23"/>
      <c r="Z55" s="23"/>
      <c r="AA55" s="23"/>
      <c r="AB55" s="23"/>
      <c r="AC55" s="23"/>
      <c r="AD55" s="23"/>
      <c r="AE55" s="23"/>
      <c r="AF55" s="27" t="str">
        <f aca="true">IF($O55="","",IF(OR($AE55="Cancelled",$AE55="On hold",$AE55="Launched"),$AE55,IF(AND($Y55="Approved",OR($Z55="Yes",$Z55="N/A"),OR($AA55="Yes",$AA55="N/A"),OR($AB55="No",$AB55="N/A",AND($AB55="Yes",$AD55="Yes"))),"Ready",IF($O55&lt;TODAY(),"Overdue",IF($O55-TODAY()&lt;='Rules &amp; Guardrails'!$C$5,"At Risk","In Progress")))))</f>
        <v/>
      </c>
      <c r="AG55" s="28" t="str">
        <f aca="false">IF($O55="","",IF(OR($AE55="Launched",$AE55="Cancelled"),"",MID(IF($Y55&lt;&gt;"Approved",", Content approval","")&amp;IF(NOT(OR($Z55="Yes",$Z55="N/A")),", Assets","")&amp;IF(NOT(OR($AA55="Yes",$AA55="N/A")),", List","")&amp;IF($AB55="",", Ops decision",IF(AND($AB55="Yes",$AD55&lt;&gt;"Yes"),", Ops",""))&amp;IF($U55="",", Owner","")&amp;IF($K55="",", Segment",""),3,200)))</f>
        <v/>
      </c>
      <c r="AH55" s="29" t="str">
        <f aca="true">IF($O55="","",$O55-TODAY())</f>
        <v/>
      </c>
      <c r="AI55" s="26" t="str">
        <f aca="false">IF($O55="","",$O55-WEEKDAY($O55,3))</f>
        <v/>
      </c>
      <c r="AJ55" s="30" t="str">
        <f aca="false">IF($O55="","",DATE(YEAR($O55),MONTH($O55),1))</f>
        <v/>
      </c>
      <c r="AK55" s="31" t="str">
        <f aca="false">IF(OR($O55="",$K55=""),"",COUNTIFS('Comms Calendar'!$K$5:$K$504,$K55,'Comms Calendar'!$B$5:$B$504,$B55,'Comms Calendar'!$AI$5:$AI$504,$AI55,'Comms Calendar'!$AE$5:$AE$504,"&lt;&gt;Cancelled"))</f>
        <v/>
      </c>
      <c r="AL55" s="27" t="str">
        <f aca="false">IF($AK55="","",IF($AK55&gt;'Rules &amp; Guardrails'!$C$3,"Over cap","OK"))</f>
        <v/>
      </c>
      <c r="AM55" s="27" t="str">
        <f aca="false">IF(OR($O55="",$K55=""),"",IF(COUNTIFS('Comms Calendar'!$K$5:$K$504,$K55,'Comms Calendar'!$B$5:$B$504,$B55,'Comms Calendar'!$O$5:$O$504,$O55,'Comms Calendar'!$AE$5:$AE$504,"&lt;&gt;Cancelled")&gt;1,"Clash",""))</f>
        <v/>
      </c>
      <c r="AN55" s="27" t="str">
        <f aca="false">IF($O55="","",IF(IF($B55="Global",COUNTIF('Rules &amp; Guardrails'!$F$9:$F$60,$O55),COUNTIFS('Rules &amp; Guardrails'!$F$9:$F$60,$O55,'Rules &amp; Guardrails'!$G$9:$G$60,$B55)+COUNTIFS('Rules &amp; Guardrails'!$F$9:$F$60,$O55,'Rules &amp; Guardrails'!$G$9:$G$60,"Global"))&gt;0,"Blackout",""))</f>
        <v/>
      </c>
      <c r="AO55" s="6"/>
      <c r="AP55" s="25"/>
      <c r="AQ55" s="23"/>
      <c r="AR55" s="31" t="str">
        <f aca="false">IF($D55="","",IFERROR(VLOOKUP($D55,'Rules &amp; Guardrails'!$A$9:$D$24,2,0),"Other"))</f>
        <v/>
      </c>
      <c r="AS55" s="31" t="str">
        <f aca="false">IF($O55="","",$O55&amp;"|"&amp;$B55)</f>
        <v/>
      </c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  <c r="G56" s="6"/>
      <c r="H56" s="6"/>
      <c r="I56" s="23"/>
      <c r="J56" s="23"/>
      <c r="K56" s="23"/>
      <c r="L56" s="6"/>
      <c r="M56" s="6"/>
      <c r="N56" s="24"/>
      <c r="O56" s="25"/>
      <c r="P56" s="23"/>
      <c r="Q56" s="23"/>
      <c r="R56" s="23"/>
      <c r="S56" s="23"/>
      <c r="T56" s="26" t="str">
        <f aca="false">IF(OR($O56="",$D56=""),"",WORKDAY($O56,-IFERROR(VLOOKUP($D56,'Rules &amp; Guardrails'!$A$9:$D$24,3,0),10)))</f>
        <v/>
      </c>
      <c r="U56" s="23"/>
      <c r="V56" s="23"/>
      <c r="W56" s="23"/>
      <c r="X56" s="6"/>
      <c r="Y56" s="23"/>
      <c r="Z56" s="23"/>
      <c r="AA56" s="23"/>
      <c r="AB56" s="23"/>
      <c r="AC56" s="23"/>
      <c r="AD56" s="23"/>
      <c r="AE56" s="23"/>
      <c r="AF56" s="27" t="str">
        <f aca="true">IF($O56="","",IF(OR($AE56="Cancelled",$AE56="On hold",$AE56="Launched"),$AE56,IF(AND($Y56="Approved",OR($Z56="Yes",$Z56="N/A"),OR($AA56="Yes",$AA56="N/A"),OR($AB56="No",$AB56="N/A",AND($AB56="Yes",$AD56="Yes"))),"Ready",IF($O56&lt;TODAY(),"Overdue",IF($O56-TODAY()&lt;='Rules &amp; Guardrails'!$C$5,"At Risk","In Progress")))))</f>
        <v/>
      </c>
      <c r="AG56" s="28" t="str">
        <f aca="false">IF($O56="","",IF(OR($AE56="Launched",$AE56="Cancelled"),"",MID(IF($Y56&lt;&gt;"Approved",", Content approval","")&amp;IF(NOT(OR($Z56="Yes",$Z56="N/A")),", Assets","")&amp;IF(NOT(OR($AA56="Yes",$AA56="N/A")),", List","")&amp;IF($AB56="",", Ops decision",IF(AND($AB56="Yes",$AD56&lt;&gt;"Yes"),", Ops",""))&amp;IF($U56="",", Owner","")&amp;IF($K56="",", Segment",""),3,200)))</f>
        <v/>
      </c>
      <c r="AH56" s="29" t="str">
        <f aca="true">IF($O56="","",$O56-TODAY())</f>
        <v/>
      </c>
      <c r="AI56" s="26" t="str">
        <f aca="false">IF($O56="","",$O56-WEEKDAY($O56,3))</f>
        <v/>
      </c>
      <c r="AJ56" s="30" t="str">
        <f aca="false">IF($O56="","",DATE(YEAR($O56),MONTH($O56),1))</f>
        <v/>
      </c>
      <c r="AK56" s="31" t="str">
        <f aca="false">IF(OR($O56="",$K56=""),"",COUNTIFS('Comms Calendar'!$K$5:$K$504,$K56,'Comms Calendar'!$B$5:$B$504,$B56,'Comms Calendar'!$AI$5:$AI$504,$AI56,'Comms Calendar'!$AE$5:$AE$504,"&lt;&gt;Cancelled"))</f>
        <v/>
      </c>
      <c r="AL56" s="27" t="str">
        <f aca="false">IF($AK56="","",IF($AK56&gt;'Rules &amp; Guardrails'!$C$3,"Over cap","OK"))</f>
        <v/>
      </c>
      <c r="AM56" s="27" t="str">
        <f aca="false">IF(OR($O56="",$K56=""),"",IF(COUNTIFS('Comms Calendar'!$K$5:$K$504,$K56,'Comms Calendar'!$B$5:$B$504,$B56,'Comms Calendar'!$O$5:$O$504,$O56,'Comms Calendar'!$AE$5:$AE$504,"&lt;&gt;Cancelled")&gt;1,"Clash",""))</f>
        <v/>
      </c>
      <c r="AN56" s="27" t="str">
        <f aca="false">IF($O56="","",IF(IF($B56="Global",COUNTIF('Rules &amp; Guardrails'!$F$9:$F$60,$O56),COUNTIFS('Rules &amp; Guardrails'!$F$9:$F$60,$O56,'Rules &amp; Guardrails'!$G$9:$G$60,$B56)+COUNTIFS('Rules &amp; Guardrails'!$F$9:$F$60,$O56,'Rules &amp; Guardrails'!$G$9:$G$60,"Global"))&gt;0,"Blackout",""))</f>
        <v/>
      </c>
      <c r="AO56" s="6"/>
      <c r="AP56" s="25"/>
      <c r="AQ56" s="23"/>
      <c r="AR56" s="31" t="str">
        <f aca="false">IF($D56="","",IFERROR(VLOOKUP($D56,'Rules &amp; Guardrails'!$A$9:$D$24,2,0),"Other"))</f>
        <v/>
      </c>
      <c r="AS56" s="31" t="str">
        <f aca="false">IF($O56="","",$O56&amp;"|"&amp;$B56)</f>
        <v/>
      </c>
    </row>
    <row r="57" customFormat="false" ht="15" hidden="false" customHeight="false" outlineLevel="0" collapsed="false">
      <c r="A57" s="23"/>
      <c r="B57" s="23"/>
      <c r="C57" s="23"/>
      <c r="D57" s="23"/>
      <c r="E57" s="23"/>
      <c r="F57" s="23"/>
      <c r="G57" s="6"/>
      <c r="H57" s="6"/>
      <c r="I57" s="23"/>
      <c r="J57" s="23"/>
      <c r="K57" s="23"/>
      <c r="L57" s="6"/>
      <c r="M57" s="6"/>
      <c r="N57" s="24"/>
      <c r="O57" s="25"/>
      <c r="P57" s="23"/>
      <c r="Q57" s="23"/>
      <c r="R57" s="23"/>
      <c r="S57" s="23"/>
      <c r="T57" s="26" t="str">
        <f aca="false">IF(OR($O57="",$D57=""),"",WORKDAY($O57,-IFERROR(VLOOKUP($D57,'Rules &amp; Guardrails'!$A$9:$D$24,3,0),10)))</f>
        <v/>
      </c>
      <c r="U57" s="23"/>
      <c r="V57" s="23"/>
      <c r="W57" s="23"/>
      <c r="X57" s="6"/>
      <c r="Y57" s="23"/>
      <c r="Z57" s="23"/>
      <c r="AA57" s="23"/>
      <c r="AB57" s="23"/>
      <c r="AC57" s="23"/>
      <c r="AD57" s="23"/>
      <c r="AE57" s="23"/>
      <c r="AF57" s="27" t="str">
        <f aca="true">IF($O57="","",IF(OR($AE57="Cancelled",$AE57="On hold",$AE57="Launched"),$AE57,IF(AND($Y57="Approved",OR($Z57="Yes",$Z57="N/A"),OR($AA57="Yes",$AA57="N/A"),OR($AB57="No",$AB57="N/A",AND($AB57="Yes",$AD57="Yes"))),"Ready",IF($O57&lt;TODAY(),"Overdue",IF($O57-TODAY()&lt;='Rules &amp; Guardrails'!$C$5,"At Risk","In Progress")))))</f>
        <v/>
      </c>
      <c r="AG57" s="28" t="str">
        <f aca="false">IF($O57="","",IF(OR($AE57="Launched",$AE57="Cancelled"),"",MID(IF($Y57&lt;&gt;"Approved",", Content approval","")&amp;IF(NOT(OR($Z57="Yes",$Z57="N/A")),", Assets","")&amp;IF(NOT(OR($AA57="Yes",$AA57="N/A")),", List","")&amp;IF($AB57="",", Ops decision",IF(AND($AB57="Yes",$AD57&lt;&gt;"Yes"),", Ops",""))&amp;IF($U57="",", Owner","")&amp;IF($K57="",", Segment",""),3,200)))</f>
        <v/>
      </c>
      <c r="AH57" s="29" t="str">
        <f aca="true">IF($O57="","",$O57-TODAY())</f>
        <v/>
      </c>
      <c r="AI57" s="26" t="str">
        <f aca="false">IF($O57="","",$O57-WEEKDAY($O57,3))</f>
        <v/>
      </c>
      <c r="AJ57" s="30" t="str">
        <f aca="false">IF($O57="","",DATE(YEAR($O57),MONTH($O57),1))</f>
        <v/>
      </c>
      <c r="AK57" s="31" t="str">
        <f aca="false">IF(OR($O57="",$K57=""),"",COUNTIFS('Comms Calendar'!$K$5:$K$504,$K57,'Comms Calendar'!$B$5:$B$504,$B57,'Comms Calendar'!$AI$5:$AI$504,$AI57,'Comms Calendar'!$AE$5:$AE$504,"&lt;&gt;Cancelled"))</f>
        <v/>
      </c>
      <c r="AL57" s="27" t="str">
        <f aca="false">IF($AK57="","",IF($AK57&gt;'Rules &amp; Guardrails'!$C$3,"Over cap","OK"))</f>
        <v/>
      </c>
      <c r="AM57" s="27" t="str">
        <f aca="false">IF(OR($O57="",$K57=""),"",IF(COUNTIFS('Comms Calendar'!$K$5:$K$504,$K57,'Comms Calendar'!$B$5:$B$504,$B57,'Comms Calendar'!$O$5:$O$504,$O57,'Comms Calendar'!$AE$5:$AE$504,"&lt;&gt;Cancelled")&gt;1,"Clash",""))</f>
        <v/>
      </c>
      <c r="AN57" s="27" t="str">
        <f aca="false">IF($O57="","",IF(IF($B57="Global",COUNTIF('Rules &amp; Guardrails'!$F$9:$F$60,$O57),COUNTIFS('Rules &amp; Guardrails'!$F$9:$F$60,$O57,'Rules &amp; Guardrails'!$G$9:$G$60,$B57)+COUNTIFS('Rules &amp; Guardrails'!$F$9:$F$60,$O57,'Rules &amp; Guardrails'!$G$9:$G$60,"Global"))&gt;0,"Blackout",""))</f>
        <v/>
      </c>
      <c r="AO57" s="6"/>
      <c r="AP57" s="25"/>
      <c r="AQ57" s="23"/>
      <c r="AR57" s="31" t="str">
        <f aca="false">IF($D57="","",IFERROR(VLOOKUP($D57,'Rules &amp; Guardrails'!$A$9:$D$24,2,0),"Other"))</f>
        <v/>
      </c>
      <c r="AS57" s="31" t="str">
        <f aca="false">IF($O57="","",$O57&amp;"|"&amp;$B57)</f>
        <v/>
      </c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  <c r="G58" s="6"/>
      <c r="H58" s="6"/>
      <c r="I58" s="23"/>
      <c r="J58" s="23"/>
      <c r="K58" s="23"/>
      <c r="L58" s="6"/>
      <c r="M58" s="6"/>
      <c r="N58" s="24"/>
      <c r="O58" s="25"/>
      <c r="P58" s="23"/>
      <c r="Q58" s="23"/>
      <c r="R58" s="23"/>
      <c r="S58" s="23"/>
      <c r="T58" s="26" t="str">
        <f aca="false">IF(OR($O58="",$D58=""),"",WORKDAY($O58,-IFERROR(VLOOKUP($D58,'Rules &amp; Guardrails'!$A$9:$D$24,3,0),10)))</f>
        <v/>
      </c>
      <c r="U58" s="23"/>
      <c r="V58" s="23"/>
      <c r="W58" s="23"/>
      <c r="X58" s="6"/>
      <c r="Y58" s="23"/>
      <c r="Z58" s="23"/>
      <c r="AA58" s="23"/>
      <c r="AB58" s="23"/>
      <c r="AC58" s="23"/>
      <c r="AD58" s="23"/>
      <c r="AE58" s="23"/>
      <c r="AF58" s="27" t="str">
        <f aca="true">IF($O58="","",IF(OR($AE58="Cancelled",$AE58="On hold",$AE58="Launched"),$AE58,IF(AND($Y58="Approved",OR($Z58="Yes",$Z58="N/A"),OR($AA58="Yes",$AA58="N/A"),OR($AB58="No",$AB58="N/A",AND($AB58="Yes",$AD58="Yes"))),"Ready",IF($O58&lt;TODAY(),"Overdue",IF($O58-TODAY()&lt;='Rules &amp; Guardrails'!$C$5,"At Risk","In Progress")))))</f>
        <v/>
      </c>
      <c r="AG58" s="28" t="str">
        <f aca="false">IF($O58="","",IF(OR($AE58="Launched",$AE58="Cancelled"),"",MID(IF($Y58&lt;&gt;"Approved",", Content approval","")&amp;IF(NOT(OR($Z58="Yes",$Z58="N/A")),", Assets","")&amp;IF(NOT(OR($AA58="Yes",$AA58="N/A")),", List","")&amp;IF($AB58="",", Ops decision",IF(AND($AB58="Yes",$AD58&lt;&gt;"Yes"),", Ops",""))&amp;IF($U58="",", Owner","")&amp;IF($K58="",", Segment",""),3,200)))</f>
        <v/>
      </c>
      <c r="AH58" s="29" t="str">
        <f aca="true">IF($O58="","",$O58-TODAY())</f>
        <v/>
      </c>
      <c r="AI58" s="26" t="str">
        <f aca="false">IF($O58="","",$O58-WEEKDAY($O58,3))</f>
        <v/>
      </c>
      <c r="AJ58" s="30" t="str">
        <f aca="false">IF($O58="","",DATE(YEAR($O58),MONTH($O58),1))</f>
        <v/>
      </c>
      <c r="AK58" s="31" t="str">
        <f aca="false">IF(OR($O58="",$K58=""),"",COUNTIFS('Comms Calendar'!$K$5:$K$504,$K58,'Comms Calendar'!$B$5:$B$504,$B58,'Comms Calendar'!$AI$5:$AI$504,$AI58,'Comms Calendar'!$AE$5:$AE$504,"&lt;&gt;Cancelled"))</f>
        <v/>
      </c>
      <c r="AL58" s="27" t="str">
        <f aca="false">IF($AK58="","",IF($AK58&gt;'Rules &amp; Guardrails'!$C$3,"Over cap","OK"))</f>
        <v/>
      </c>
      <c r="AM58" s="27" t="str">
        <f aca="false">IF(OR($O58="",$K58=""),"",IF(COUNTIFS('Comms Calendar'!$K$5:$K$504,$K58,'Comms Calendar'!$B$5:$B$504,$B58,'Comms Calendar'!$O$5:$O$504,$O58,'Comms Calendar'!$AE$5:$AE$504,"&lt;&gt;Cancelled")&gt;1,"Clash",""))</f>
        <v/>
      </c>
      <c r="AN58" s="27" t="str">
        <f aca="false">IF($O58="","",IF(IF($B58="Global",COUNTIF('Rules &amp; Guardrails'!$F$9:$F$60,$O58),COUNTIFS('Rules &amp; Guardrails'!$F$9:$F$60,$O58,'Rules &amp; Guardrails'!$G$9:$G$60,$B58)+COUNTIFS('Rules &amp; Guardrails'!$F$9:$F$60,$O58,'Rules &amp; Guardrails'!$G$9:$G$60,"Global"))&gt;0,"Blackout",""))</f>
        <v/>
      </c>
      <c r="AO58" s="6"/>
      <c r="AP58" s="25"/>
      <c r="AQ58" s="23"/>
      <c r="AR58" s="31" t="str">
        <f aca="false">IF($D58="","",IFERROR(VLOOKUP($D58,'Rules &amp; Guardrails'!$A$9:$D$24,2,0),"Other"))</f>
        <v/>
      </c>
      <c r="AS58" s="31" t="str">
        <f aca="false">IF($O58="","",$O58&amp;"|"&amp;$B58)</f>
        <v/>
      </c>
    </row>
    <row r="59" customFormat="false" ht="15" hidden="false" customHeight="false" outlineLevel="0" collapsed="false">
      <c r="A59" s="23"/>
      <c r="B59" s="23"/>
      <c r="C59" s="23"/>
      <c r="D59" s="23"/>
      <c r="E59" s="23"/>
      <c r="F59" s="23"/>
      <c r="G59" s="6"/>
      <c r="H59" s="6"/>
      <c r="I59" s="23"/>
      <c r="J59" s="23"/>
      <c r="K59" s="23"/>
      <c r="L59" s="6"/>
      <c r="M59" s="6"/>
      <c r="N59" s="24"/>
      <c r="O59" s="25"/>
      <c r="P59" s="23"/>
      <c r="Q59" s="23"/>
      <c r="R59" s="23"/>
      <c r="S59" s="23"/>
      <c r="T59" s="26" t="str">
        <f aca="false">IF(OR($O59="",$D59=""),"",WORKDAY($O59,-IFERROR(VLOOKUP($D59,'Rules &amp; Guardrails'!$A$9:$D$24,3,0),10)))</f>
        <v/>
      </c>
      <c r="U59" s="23"/>
      <c r="V59" s="23"/>
      <c r="W59" s="23"/>
      <c r="X59" s="6"/>
      <c r="Y59" s="23"/>
      <c r="Z59" s="23"/>
      <c r="AA59" s="23"/>
      <c r="AB59" s="23"/>
      <c r="AC59" s="23"/>
      <c r="AD59" s="23"/>
      <c r="AE59" s="23"/>
      <c r="AF59" s="27" t="str">
        <f aca="true">IF($O59="","",IF(OR($AE59="Cancelled",$AE59="On hold",$AE59="Launched"),$AE59,IF(AND($Y59="Approved",OR($Z59="Yes",$Z59="N/A"),OR($AA59="Yes",$AA59="N/A"),OR($AB59="No",$AB59="N/A",AND($AB59="Yes",$AD59="Yes"))),"Ready",IF($O59&lt;TODAY(),"Overdue",IF($O59-TODAY()&lt;='Rules &amp; Guardrails'!$C$5,"At Risk","In Progress")))))</f>
        <v/>
      </c>
      <c r="AG59" s="28" t="str">
        <f aca="false">IF($O59="","",IF(OR($AE59="Launched",$AE59="Cancelled"),"",MID(IF($Y59&lt;&gt;"Approved",", Content approval","")&amp;IF(NOT(OR($Z59="Yes",$Z59="N/A")),", Assets","")&amp;IF(NOT(OR($AA59="Yes",$AA59="N/A")),", List","")&amp;IF($AB59="",", Ops decision",IF(AND($AB59="Yes",$AD59&lt;&gt;"Yes"),", Ops",""))&amp;IF($U59="",", Owner","")&amp;IF($K59="",", Segment",""),3,200)))</f>
        <v/>
      </c>
      <c r="AH59" s="29" t="str">
        <f aca="true">IF($O59="","",$O59-TODAY())</f>
        <v/>
      </c>
      <c r="AI59" s="26" t="str">
        <f aca="false">IF($O59="","",$O59-WEEKDAY($O59,3))</f>
        <v/>
      </c>
      <c r="AJ59" s="30" t="str">
        <f aca="false">IF($O59="","",DATE(YEAR($O59),MONTH($O59),1))</f>
        <v/>
      </c>
      <c r="AK59" s="31" t="str">
        <f aca="false">IF(OR($O59="",$K59=""),"",COUNTIFS('Comms Calendar'!$K$5:$K$504,$K59,'Comms Calendar'!$B$5:$B$504,$B59,'Comms Calendar'!$AI$5:$AI$504,$AI59,'Comms Calendar'!$AE$5:$AE$504,"&lt;&gt;Cancelled"))</f>
        <v/>
      </c>
      <c r="AL59" s="27" t="str">
        <f aca="false">IF($AK59="","",IF($AK59&gt;'Rules &amp; Guardrails'!$C$3,"Over cap","OK"))</f>
        <v/>
      </c>
      <c r="AM59" s="27" t="str">
        <f aca="false">IF(OR($O59="",$K59=""),"",IF(COUNTIFS('Comms Calendar'!$K$5:$K$504,$K59,'Comms Calendar'!$B$5:$B$504,$B59,'Comms Calendar'!$O$5:$O$504,$O59,'Comms Calendar'!$AE$5:$AE$504,"&lt;&gt;Cancelled")&gt;1,"Clash",""))</f>
        <v/>
      </c>
      <c r="AN59" s="27" t="str">
        <f aca="false">IF($O59="","",IF(IF($B59="Global",COUNTIF('Rules &amp; Guardrails'!$F$9:$F$60,$O59),COUNTIFS('Rules &amp; Guardrails'!$F$9:$F$60,$O59,'Rules &amp; Guardrails'!$G$9:$G$60,$B59)+COUNTIFS('Rules &amp; Guardrails'!$F$9:$F$60,$O59,'Rules &amp; Guardrails'!$G$9:$G$60,"Global"))&gt;0,"Blackout",""))</f>
        <v/>
      </c>
      <c r="AO59" s="6"/>
      <c r="AP59" s="25"/>
      <c r="AQ59" s="23"/>
      <c r="AR59" s="31" t="str">
        <f aca="false">IF($D59="","",IFERROR(VLOOKUP($D59,'Rules &amp; Guardrails'!$A$9:$D$24,2,0),"Other"))</f>
        <v/>
      </c>
      <c r="AS59" s="31" t="str">
        <f aca="false">IF($O59="","",$O59&amp;"|"&amp;$B59)</f>
        <v/>
      </c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  <c r="G60" s="6"/>
      <c r="H60" s="6"/>
      <c r="I60" s="23"/>
      <c r="J60" s="23"/>
      <c r="K60" s="23"/>
      <c r="L60" s="6"/>
      <c r="M60" s="6"/>
      <c r="N60" s="24"/>
      <c r="O60" s="25"/>
      <c r="P60" s="23"/>
      <c r="Q60" s="23"/>
      <c r="R60" s="23"/>
      <c r="S60" s="23"/>
      <c r="T60" s="26" t="str">
        <f aca="false">IF(OR($O60="",$D60=""),"",WORKDAY($O60,-IFERROR(VLOOKUP($D60,'Rules &amp; Guardrails'!$A$9:$D$24,3,0),10)))</f>
        <v/>
      </c>
      <c r="U60" s="23"/>
      <c r="V60" s="23"/>
      <c r="W60" s="23"/>
      <c r="X60" s="6"/>
      <c r="Y60" s="23"/>
      <c r="Z60" s="23"/>
      <c r="AA60" s="23"/>
      <c r="AB60" s="23"/>
      <c r="AC60" s="23"/>
      <c r="AD60" s="23"/>
      <c r="AE60" s="23"/>
      <c r="AF60" s="27" t="str">
        <f aca="true">IF($O60="","",IF(OR($AE60="Cancelled",$AE60="On hold",$AE60="Launched"),$AE60,IF(AND($Y60="Approved",OR($Z60="Yes",$Z60="N/A"),OR($AA60="Yes",$AA60="N/A"),OR($AB60="No",$AB60="N/A",AND($AB60="Yes",$AD60="Yes"))),"Ready",IF($O60&lt;TODAY(),"Overdue",IF($O60-TODAY()&lt;='Rules &amp; Guardrails'!$C$5,"At Risk","In Progress")))))</f>
        <v/>
      </c>
      <c r="AG60" s="28" t="str">
        <f aca="false">IF($O60="","",IF(OR($AE60="Launched",$AE60="Cancelled"),"",MID(IF($Y60&lt;&gt;"Approved",", Content approval","")&amp;IF(NOT(OR($Z60="Yes",$Z60="N/A")),", Assets","")&amp;IF(NOT(OR($AA60="Yes",$AA60="N/A")),", List","")&amp;IF($AB60="",", Ops decision",IF(AND($AB60="Yes",$AD60&lt;&gt;"Yes"),", Ops",""))&amp;IF($U60="",", Owner","")&amp;IF($K60="",", Segment",""),3,200)))</f>
        <v/>
      </c>
      <c r="AH60" s="29" t="str">
        <f aca="true">IF($O60="","",$O60-TODAY())</f>
        <v/>
      </c>
      <c r="AI60" s="26" t="str">
        <f aca="false">IF($O60="","",$O60-WEEKDAY($O60,3))</f>
        <v/>
      </c>
      <c r="AJ60" s="30" t="str">
        <f aca="false">IF($O60="","",DATE(YEAR($O60),MONTH($O60),1))</f>
        <v/>
      </c>
      <c r="AK60" s="31" t="str">
        <f aca="false">IF(OR($O60="",$K60=""),"",COUNTIFS('Comms Calendar'!$K$5:$K$504,$K60,'Comms Calendar'!$B$5:$B$504,$B60,'Comms Calendar'!$AI$5:$AI$504,$AI60,'Comms Calendar'!$AE$5:$AE$504,"&lt;&gt;Cancelled"))</f>
        <v/>
      </c>
      <c r="AL60" s="27" t="str">
        <f aca="false">IF($AK60="","",IF($AK60&gt;'Rules &amp; Guardrails'!$C$3,"Over cap","OK"))</f>
        <v/>
      </c>
      <c r="AM60" s="27" t="str">
        <f aca="false">IF(OR($O60="",$K60=""),"",IF(COUNTIFS('Comms Calendar'!$K$5:$K$504,$K60,'Comms Calendar'!$B$5:$B$504,$B60,'Comms Calendar'!$O$5:$O$504,$O60,'Comms Calendar'!$AE$5:$AE$504,"&lt;&gt;Cancelled")&gt;1,"Clash",""))</f>
        <v/>
      </c>
      <c r="AN60" s="27" t="str">
        <f aca="false">IF($O60="","",IF(IF($B60="Global",COUNTIF('Rules &amp; Guardrails'!$F$9:$F$60,$O60),COUNTIFS('Rules &amp; Guardrails'!$F$9:$F$60,$O60,'Rules &amp; Guardrails'!$G$9:$G$60,$B60)+COUNTIFS('Rules &amp; Guardrails'!$F$9:$F$60,$O60,'Rules &amp; Guardrails'!$G$9:$G$60,"Global"))&gt;0,"Blackout",""))</f>
        <v/>
      </c>
      <c r="AO60" s="6"/>
      <c r="AP60" s="25"/>
      <c r="AQ60" s="23"/>
      <c r="AR60" s="31" t="str">
        <f aca="false">IF($D60="","",IFERROR(VLOOKUP($D60,'Rules &amp; Guardrails'!$A$9:$D$24,2,0),"Other"))</f>
        <v/>
      </c>
      <c r="AS60" s="31" t="str">
        <f aca="false">IF($O60="","",$O60&amp;"|"&amp;$B60)</f>
        <v/>
      </c>
    </row>
    <row r="61" customFormat="false" ht="15" hidden="false" customHeight="false" outlineLevel="0" collapsed="false">
      <c r="A61" s="23"/>
      <c r="B61" s="23"/>
      <c r="C61" s="23"/>
      <c r="D61" s="23"/>
      <c r="E61" s="23"/>
      <c r="F61" s="23"/>
      <c r="G61" s="6"/>
      <c r="H61" s="6"/>
      <c r="I61" s="23"/>
      <c r="J61" s="23"/>
      <c r="K61" s="23"/>
      <c r="L61" s="6"/>
      <c r="M61" s="6"/>
      <c r="N61" s="24"/>
      <c r="O61" s="25"/>
      <c r="P61" s="23"/>
      <c r="Q61" s="23"/>
      <c r="R61" s="23"/>
      <c r="S61" s="23"/>
      <c r="T61" s="26" t="str">
        <f aca="false">IF(OR($O61="",$D61=""),"",WORKDAY($O61,-IFERROR(VLOOKUP($D61,'Rules &amp; Guardrails'!$A$9:$D$24,3,0),10)))</f>
        <v/>
      </c>
      <c r="U61" s="23"/>
      <c r="V61" s="23"/>
      <c r="W61" s="23"/>
      <c r="X61" s="6"/>
      <c r="Y61" s="23"/>
      <c r="Z61" s="23"/>
      <c r="AA61" s="23"/>
      <c r="AB61" s="23"/>
      <c r="AC61" s="23"/>
      <c r="AD61" s="23"/>
      <c r="AE61" s="23"/>
      <c r="AF61" s="27" t="str">
        <f aca="true">IF($O61="","",IF(OR($AE61="Cancelled",$AE61="On hold",$AE61="Launched"),$AE61,IF(AND($Y61="Approved",OR($Z61="Yes",$Z61="N/A"),OR($AA61="Yes",$AA61="N/A"),OR($AB61="No",$AB61="N/A",AND($AB61="Yes",$AD61="Yes"))),"Ready",IF($O61&lt;TODAY(),"Overdue",IF($O61-TODAY()&lt;='Rules &amp; Guardrails'!$C$5,"At Risk","In Progress")))))</f>
        <v/>
      </c>
      <c r="AG61" s="28" t="str">
        <f aca="false">IF($O61="","",IF(OR($AE61="Launched",$AE61="Cancelled"),"",MID(IF($Y61&lt;&gt;"Approved",", Content approval","")&amp;IF(NOT(OR($Z61="Yes",$Z61="N/A")),", Assets","")&amp;IF(NOT(OR($AA61="Yes",$AA61="N/A")),", List","")&amp;IF($AB61="",", Ops decision",IF(AND($AB61="Yes",$AD61&lt;&gt;"Yes"),", Ops",""))&amp;IF($U61="",", Owner","")&amp;IF($K61="",", Segment",""),3,200)))</f>
        <v/>
      </c>
      <c r="AH61" s="29" t="str">
        <f aca="true">IF($O61="","",$O61-TODAY())</f>
        <v/>
      </c>
      <c r="AI61" s="26" t="str">
        <f aca="false">IF($O61="","",$O61-WEEKDAY($O61,3))</f>
        <v/>
      </c>
      <c r="AJ61" s="30" t="str">
        <f aca="false">IF($O61="","",DATE(YEAR($O61),MONTH($O61),1))</f>
        <v/>
      </c>
      <c r="AK61" s="31" t="str">
        <f aca="false">IF(OR($O61="",$K61=""),"",COUNTIFS('Comms Calendar'!$K$5:$K$504,$K61,'Comms Calendar'!$B$5:$B$504,$B61,'Comms Calendar'!$AI$5:$AI$504,$AI61,'Comms Calendar'!$AE$5:$AE$504,"&lt;&gt;Cancelled"))</f>
        <v/>
      </c>
      <c r="AL61" s="27" t="str">
        <f aca="false">IF($AK61="","",IF($AK61&gt;'Rules &amp; Guardrails'!$C$3,"Over cap","OK"))</f>
        <v/>
      </c>
      <c r="AM61" s="27" t="str">
        <f aca="false">IF(OR($O61="",$K61=""),"",IF(COUNTIFS('Comms Calendar'!$K$5:$K$504,$K61,'Comms Calendar'!$B$5:$B$504,$B61,'Comms Calendar'!$O$5:$O$504,$O61,'Comms Calendar'!$AE$5:$AE$504,"&lt;&gt;Cancelled")&gt;1,"Clash",""))</f>
        <v/>
      </c>
      <c r="AN61" s="27" t="str">
        <f aca="false">IF($O61="","",IF(IF($B61="Global",COUNTIF('Rules &amp; Guardrails'!$F$9:$F$60,$O61),COUNTIFS('Rules &amp; Guardrails'!$F$9:$F$60,$O61,'Rules &amp; Guardrails'!$G$9:$G$60,$B61)+COUNTIFS('Rules &amp; Guardrails'!$F$9:$F$60,$O61,'Rules &amp; Guardrails'!$G$9:$G$60,"Global"))&gt;0,"Blackout",""))</f>
        <v/>
      </c>
      <c r="AO61" s="6"/>
      <c r="AP61" s="25"/>
      <c r="AQ61" s="23"/>
      <c r="AR61" s="31" t="str">
        <f aca="false">IF($D61="","",IFERROR(VLOOKUP($D61,'Rules &amp; Guardrails'!$A$9:$D$24,2,0),"Other"))</f>
        <v/>
      </c>
      <c r="AS61" s="31" t="str">
        <f aca="false">IF($O61="","",$O61&amp;"|"&amp;$B61)</f>
        <v/>
      </c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  <c r="G62" s="6"/>
      <c r="H62" s="6"/>
      <c r="I62" s="23"/>
      <c r="J62" s="23"/>
      <c r="K62" s="23"/>
      <c r="L62" s="6"/>
      <c r="M62" s="6"/>
      <c r="N62" s="24"/>
      <c r="O62" s="25"/>
      <c r="P62" s="23"/>
      <c r="Q62" s="23"/>
      <c r="R62" s="23"/>
      <c r="S62" s="23"/>
      <c r="T62" s="26" t="str">
        <f aca="false">IF(OR($O62="",$D62=""),"",WORKDAY($O62,-IFERROR(VLOOKUP($D62,'Rules &amp; Guardrails'!$A$9:$D$24,3,0),10)))</f>
        <v/>
      </c>
      <c r="U62" s="23"/>
      <c r="V62" s="23"/>
      <c r="W62" s="23"/>
      <c r="X62" s="6"/>
      <c r="Y62" s="23"/>
      <c r="Z62" s="23"/>
      <c r="AA62" s="23"/>
      <c r="AB62" s="23"/>
      <c r="AC62" s="23"/>
      <c r="AD62" s="23"/>
      <c r="AE62" s="23"/>
      <c r="AF62" s="27" t="str">
        <f aca="true">IF($O62="","",IF(OR($AE62="Cancelled",$AE62="On hold",$AE62="Launched"),$AE62,IF(AND($Y62="Approved",OR($Z62="Yes",$Z62="N/A"),OR($AA62="Yes",$AA62="N/A"),OR($AB62="No",$AB62="N/A",AND($AB62="Yes",$AD62="Yes"))),"Ready",IF($O62&lt;TODAY(),"Overdue",IF($O62-TODAY()&lt;='Rules &amp; Guardrails'!$C$5,"At Risk","In Progress")))))</f>
        <v/>
      </c>
      <c r="AG62" s="28" t="str">
        <f aca="false">IF($O62="","",IF(OR($AE62="Launched",$AE62="Cancelled"),"",MID(IF($Y62&lt;&gt;"Approved",", Content approval","")&amp;IF(NOT(OR($Z62="Yes",$Z62="N/A")),", Assets","")&amp;IF(NOT(OR($AA62="Yes",$AA62="N/A")),", List","")&amp;IF($AB62="",", Ops decision",IF(AND($AB62="Yes",$AD62&lt;&gt;"Yes"),", Ops",""))&amp;IF($U62="",", Owner","")&amp;IF($K62="",", Segment",""),3,200)))</f>
        <v/>
      </c>
      <c r="AH62" s="29" t="str">
        <f aca="true">IF($O62="","",$O62-TODAY())</f>
        <v/>
      </c>
      <c r="AI62" s="26" t="str">
        <f aca="false">IF($O62="","",$O62-WEEKDAY($O62,3))</f>
        <v/>
      </c>
      <c r="AJ62" s="30" t="str">
        <f aca="false">IF($O62="","",DATE(YEAR($O62),MONTH($O62),1))</f>
        <v/>
      </c>
      <c r="AK62" s="31" t="str">
        <f aca="false">IF(OR($O62="",$K62=""),"",COUNTIFS('Comms Calendar'!$K$5:$K$504,$K62,'Comms Calendar'!$B$5:$B$504,$B62,'Comms Calendar'!$AI$5:$AI$504,$AI62,'Comms Calendar'!$AE$5:$AE$504,"&lt;&gt;Cancelled"))</f>
        <v/>
      </c>
      <c r="AL62" s="27" t="str">
        <f aca="false">IF($AK62="","",IF($AK62&gt;'Rules &amp; Guardrails'!$C$3,"Over cap","OK"))</f>
        <v/>
      </c>
      <c r="AM62" s="27" t="str">
        <f aca="false">IF(OR($O62="",$K62=""),"",IF(COUNTIFS('Comms Calendar'!$K$5:$K$504,$K62,'Comms Calendar'!$B$5:$B$504,$B62,'Comms Calendar'!$O$5:$O$504,$O62,'Comms Calendar'!$AE$5:$AE$504,"&lt;&gt;Cancelled")&gt;1,"Clash",""))</f>
        <v/>
      </c>
      <c r="AN62" s="27" t="str">
        <f aca="false">IF($O62="","",IF(IF($B62="Global",COUNTIF('Rules &amp; Guardrails'!$F$9:$F$60,$O62),COUNTIFS('Rules &amp; Guardrails'!$F$9:$F$60,$O62,'Rules &amp; Guardrails'!$G$9:$G$60,$B62)+COUNTIFS('Rules &amp; Guardrails'!$F$9:$F$60,$O62,'Rules &amp; Guardrails'!$G$9:$G$60,"Global"))&gt;0,"Blackout",""))</f>
        <v/>
      </c>
      <c r="AO62" s="6"/>
      <c r="AP62" s="25"/>
      <c r="AQ62" s="23"/>
      <c r="AR62" s="31" t="str">
        <f aca="false">IF($D62="","",IFERROR(VLOOKUP($D62,'Rules &amp; Guardrails'!$A$9:$D$24,2,0),"Other"))</f>
        <v/>
      </c>
      <c r="AS62" s="31" t="str">
        <f aca="false">IF($O62="","",$O62&amp;"|"&amp;$B62)</f>
        <v/>
      </c>
    </row>
    <row r="63" customFormat="false" ht="15" hidden="false" customHeight="false" outlineLevel="0" collapsed="false">
      <c r="A63" s="23"/>
      <c r="B63" s="23"/>
      <c r="C63" s="23"/>
      <c r="D63" s="23"/>
      <c r="E63" s="23"/>
      <c r="F63" s="23"/>
      <c r="G63" s="6"/>
      <c r="H63" s="6"/>
      <c r="I63" s="23"/>
      <c r="J63" s="23"/>
      <c r="K63" s="23"/>
      <c r="L63" s="6"/>
      <c r="M63" s="6"/>
      <c r="N63" s="24"/>
      <c r="O63" s="25"/>
      <c r="P63" s="23"/>
      <c r="Q63" s="23"/>
      <c r="R63" s="23"/>
      <c r="S63" s="23"/>
      <c r="T63" s="26" t="str">
        <f aca="false">IF(OR($O63="",$D63=""),"",WORKDAY($O63,-IFERROR(VLOOKUP($D63,'Rules &amp; Guardrails'!$A$9:$D$24,3,0),10)))</f>
        <v/>
      </c>
      <c r="U63" s="23"/>
      <c r="V63" s="23"/>
      <c r="W63" s="23"/>
      <c r="X63" s="6"/>
      <c r="Y63" s="23"/>
      <c r="Z63" s="23"/>
      <c r="AA63" s="23"/>
      <c r="AB63" s="23"/>
      <c r="AC63" s="23"/>
      <c r="AD63" s="23"/>
      <c r="AE63" s="23"/>
      <c r="AF63" s="27" t="str">
        <f aca="true">IF($O63="","",IF(OR($AE63="Cancelled",$AE63="On hold",$AE63="Launched"),$AE63,IF(AND($Y63="Approved",OR($Z63="Yes",$Z63="N/A"),OR($AA63="Yes",$AA63="N/A"),OR($AB63="No",$AB63="N/A",AND($AB63="Yes",$AD63="Yes"))),"Ready",IF($O63&lt;TODAY(),"Overdue",IF($O63-TODAY()&lt;='Rules &amp; Guardrails'!$C$5,"At Risk","In Progress")))))</f>
        <v/>
      </c>
      <c r="AG63" s="28" t="str">
        <f aca="false">IF($O63="","",IF(OR($AE63="Launched",$AE63="Cancelled"),"",MID(IF($Y63&lt;&gt;"Approved",", Content approval","")&amp;IF(NOT(OR($Z63="Yes",$Z63="N/A")),", Assets","")&amp;IF(NOT(OR($AA63="Yes",$AA63="N/A")),", List","")&amp;IF($AB63="",", Ops decision",IF(AND($AB63="Yes",$AD63&lt;&gt;"Yes"),", Ops",""))&amp;IF($U63="",", Owner","")&amp;IF($K63="",", Segment",""),3,200)))</f>
        <v/>
      </c>
      <c r="AH63" s="29" t="str">
        <f aca="true">IF($O63="","",$O63-TODAY())</f>
        <v/>
      </c>
      <c r="AI63" s="26" t="str">
        <f aca="false">IF($O63="","",$O63-WEEKDAY($O63,3))</f>
        <v/>
      </c>
      <c r="AJ63" s="30" t="str">
        <f aca="false">IF($O63="","",DATE(YEAR($O63),MONTH($O63),1))</f>
        <v/>
      </c>
      <c r="AK63" s="31" t="str">
        <f aca="false">IF(OR($O63="",$K63=""),"",COUNTIFS('Comms Calendar'!$K$5:$K$504,$K63,'Comms Calendar'!$B$5:$B$504,$B63,'Comms Calendar'!$AI$5:$AI$504,$AI63,'Comms Calendar'!$AE$5:$AE$504,"&lt;&gt;Cancelled"))</f>
        <v/>
      </c>
      <c r="AL63" s="27" t="str">
        <f aca="false">IF($AK63="","",IF($AK63&gt;'Rules &amp; Guardrails'!$C$3,"Over cap","OK"))</f>
        <v/>
      </c>
      <c r="AM63" s="27" t="str">
        <f aca="false">IF(OR($O63="",$K63=""),"",IF(COUNTIFS('Comms Calendar'!$K$5:$K$504,$K63,'Comms Calendar'!$B$5:$B$504,$B63,'Comms Calendar'!$O$5:$O$504,$O63,'Comms Calendar'!$AE$5:$AE$504,"&lt;&gt;Cancelled")&gt;1,"Clash",""))</f>
        <v/>
      </c>
      <c r="AN63" s="27" t="str">
        <f aca="false">IF($O63="","",IF(IF($B63="Global",COUNTIF('Rules &amp; Guardrails'!$F$9:$F$60,$O63),COUNTIFS('Rules &amp; Guardrails'!$F$9:$F$60,$O63,'Rules &amp; Guardrails'!$G$9:$G$60,$B63)+COUNTIFS('Rules &amp; Guardrails'!$F$9:$F$60,$O63,'Rules &amp; Guardrails'!$G$9:$G$60,"Global"))&gt;0,"Blackout",""))</f>
        <v/>
      </c>
      <c r="AO63" s="6"/>
      <c r="AP63" s="25"/>
      <c r="AQ63" s="23"/>
      <c r="AR63" s="31" t="str">
        <f aca="false">IF($D63="","",IFERROR(VLOOKUP($D63,'Rules &amp; Guardrails'!$A$9:$D$24,2,0),"Other"))</f>
        <v/>
      </c>
      <c r="AS63" s="31" t="str">
        <f aca="false">IF($O63="","",$O63&amp;"|"&amp;$B63)</f>
        <v/>
      </c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  <c r="G64" s="6"/>
      <c r="H64" s="6"/>
      <c r="I64" s="23"/>
      <c r="J64" s="23"/>
      <c r="K64" s="23"/>
      <c r="L64" s="6"/>
      <c r="M64" s="6"/>
      <c r="N64" s="24"/>
      <c r="O64" s="25"/>
      <c r="P64" s="23"/>
      <c r="Q64" s="23"/>
      <c r="R64" s="23"/>
      <c r="S64" s="23"/>
      <c r="T64" s="26" t="str">
        <f aca="false">IF(OR($O64="",$D64=""),"",WORKDAY($O64,-IFERROR(VLOOKUP($D64,'Rules &amp; Guardrails'!$A$9:$D$24,3,0),10)))</f>
        <v/>
      </c>
      <c r="U64" s="23"/>
      <c r="V64" s="23"/>
      <c r="W64" s="23"/>
      <c r="X64" s="6"/>
      <c r="Y64" s="23"/>
      <c r="Z64" s="23"/>
      <c r="AA64" s="23"/>
      <c r="AB64" s="23"/>
      <c r="AC64" s="23"/>
      <c r="AD64" s="23"/>
      <c r="AE64" s="23"/>
      <c r="AF64" s="27" t="str">
        <f aca="true">IF($O64="","",IF(OR($AE64="Cancelled",$AE64="On hold",$AE64="Launched"),$AE64,IF(AND($Y64="Approved",OR($Z64="Yes",$Z64="N/A"),OR($AA64="Yes",$AA64="N/A"),OR($AB64="No",$AB64="N/A",AND($AB64="Yes",$AD64="Yes"))),"Ready",IF($O64&lt;TODAY(),"Overdue",IF($O64-TODAY()&lt;='Rules &amp; Guardrails'!$C$5,"At Risk","In Progress")))))</f>
        <v/>
      </c>
      <c r="AG64" s="28" t="str">
        <f aca="false">IF($O64="","",IF(OR($AE64="Launched",$AE64="Cancelled"),"",MID(IF($Y64&lt;&gt;"Approved",", Content approval","")&amp;IF(NOT(OR($Z64="Yes",$Z64="N/A")),", Assets","")&amp;IF(NOT(OR($AA64="Yes",$AA64="N/A")),", List","")&amp;IF($AB64="",", Ops decision",IF(AND($AB64="Yes",$AD64&lt;&gt;"Yes"),", Ops",""))&amp;IF($U64="",", Owner","")&amp;IF($K64="",", Segment",""),3,200)))</f>
        <v/>
      </c>
      <c r="AH64" s="29" t="str">
        <f aca="true">IF($O64="","",$O64-TODAY())</f>
        <v/>
      </c>
      <c r="AI64" s="26" t="str">
        <f aca="false">IF($O64="","",$O64-WEEKDAY($O64,3))</f>
        <v/>
      </c>
      <c r="AJ64" s="30" t="str">
        <f aca="false">IF($O64="","",DATE(YEAR($O64),MONTH($O64),1))</f>
        <v/>
      </c>
      <c r="AK64" s="31" t="str">
        <f aca="false">IF(OR($O64="",$K64=""),"",COUNTIFS('Comms Calendar'!$K$5:$K$504,$K64,'Comms Calendar'!$B$5:$B$504,$B64,'Comms Calendar'!$AI$5:$AI$504,$AI64,'Comms Calendar'!$AE$5:$AE$504,"&lt;&gt;Cancelled"))</f>
        <v/>
      </c>
      <c r="AL64" s="27" t="str">
        <f aca="false">IF($AK64="","",IF($AK64&gt;'Rules &amp; Guardrails'!$C$3,"Over cap","OK"))</f>
        <v/>
      </c>
      <c r="AM64" s="27" t="str">
        <f aca="false">IF(OR($O64="",$K64=""),"",IF(COUNTIFS('Comms Calendar'!$K$5:$K$504,$K64,'Comms Calendar'!$B$5:$B$504,$B64,'Comms Calendar'!$O$5:$O$504,$O64,'Comms Calendar'!$AE$5:$AE$504,"&lt;&gt;Cancelled")&gt;1,"Clash",""))</f>
        <v/>
      </c>
      <c r="AN64" s="27" t="str">
        <f aca="false">IF($O64="","",IF(IF($B64="Global",COUNTIF('Rules &amp; Guardrails'!$F$9:$F$60,$O64),COUNTIFS('Rules &amp; Guardrails'!$F$9:$F$60,$O64,'Rules &amp; Guardrails'!$G$9:$G$60,$B64)+COUNTIFS('Rules &amp; Guardrails'!$F$9:$F$60,$O64,'Rules &amp; Guardrails'!$G$9:$G$60,"Global"))&gt;0,"Blackout",""))</f>
        <v/>
      </c>
      <c r="AO64" s="6"/>
      <c r="AP64" s="25"/>
      <c r="AQ64" s="23"/>
      <c r="AR64" s="31" t="str">
        <f aca="false">IF($D64="","",IFERROR(VLOOKUP($D64,'Rules &amp; Guardrails'!$A$9:$D$24,2,0),"Other"))</f>
        <v/>
      </c>
      <c r="AS64" s="31" t="str">
        <f aca="false">IF($O64="","",$O64&amp;"|"&amp;$B64)</f>
        <v/>
      </c>
    </row>
    <row r="65" customFormat="false" ht="15" hidden="false" customHeight="false" outlineLevel="0" collapsed="false">
      <c r="A65" s="23"/>
      <c r="B65" s="23"/>
      <c r="C65" s="23"/>
      <c r="D65" s="23"/>
      <c r="E65" s="23"/>
      <c r="F65" s="23"/>
      <c r="G65" s="6"/>
      <c r="H65" s="6"/>
      <c r="I65" s="23"/>
      <c r="J65" s="23"/>
      <c r="K65" s="23"/>
      <c r="L65" s="6"/>
      <c r="M65" s="6"/>
      <c r="N65" s="24"/>
      <c r="O65" s="25"/>
      <c r="P65" s="23"/>
      <c r="Q65" s="23"/>
      <c r="R65" s="23"/>
      <c r="S65" s="23"/>
      <c r="T65" s="26" t="str">
        <f aca="false">IF(OR($O65="",$D65=""),"",WORKDAY($O65,-IFERROR(VLOOKUP($D65,'Rules &amp; Guardrails'!$A$9:$D$24,3,0),10)))</f>
        <v/>
      </c>
      <c r="U65" s="23"/>
      <c r="V65" s="23"/>
      <c r="W65" s="23"/>
      <c r="X65" s="6"/>
      <c r="Y65" s="23"/>
      <c r="Z65" s="23"/>
      <c r="AA65" s="23"/>
      <c r="AB65" s="23"/>
      <c r="AC65" s="23"/>
      <c r="AD65" s="23"/>
      <c r="AE65" s="23"/>
      <c r="AF65" s="27" t="str">
        <f aca="true">IF($O65="","",IF(OR($AE65="Cancelled",$AE65="On hold",$AE65="Launched"),$AE65,IF(AND($Y65="Approved",OR($Z65="Yes",$Z65="N/A"),OR($AA65="Yes",$AA65="N/A"),OR($AB65="No",$AB65="N/A",AND($AB65="Yes",$AD65="Yes"))),"Ready",IF($O65&lt;TODAY(),"Overdue",IF($O65-TODAY()&lt;='Rules &amp; Guardrails'!$C$5,"At Risk","In Progress")))))</f>
        <v/>
      </c>
      <c r="AG65" s="28" t="str">
        <f aca="false">IF($O65="","",IF(OR($AE65="Launched",$AE65="Cancelled"),"",MID(IF($Y65&lt;&gt;"Approved",", Content approval","")&amp;IF(NOT(OR($Z65="Yes",$Z65="N/A")),", Assets","")&amp;IF(NOT(OR($AA65="Yes",$AA65="N/A")),", List","")&amp;IF($AB65="",", Ops decision",IF(AND($AB65="Yes",$AD65&lt;&gt;"Yes"),", Ops",""))&amp;IF($U65="",", Owner","")&amp;IF($K65="",", Segment",""),3,200)))</f>
        <v/>
      </c>
      <c r="AH65" s="29" t="str">
        <f aca="true">IF($O65="","",$O65-TODAY())</f>
        <v/>
      </c>
      <c r="AI65" s="26" t="str">
        <f aca="false">IF($O65="","",$O65-WEEKDAY($O65,3))</f>
        <v/>
      </c>
      <c r="AJ65" s="30" t="str">
        <f aca="false">IF($O65="","",DATE(YEAR($O65),MONTH($O65),1))</f>
        <v/>
      </c>
      <c r="AK65" s="31" t="str">
        <f aca="false">IF(OR($O65="",$K65=""),"",COUNTIFS('Comms Calendar'!$K$5:$K$504,$K65,'Comms Calendar'!$B$5:$B$504,$B65,'Comms Calendar'!$AI$5:$AI$504,$AI65,'Comms Calendar'!$AE$5:$AE$504,"&lt;&gt;Cancelled"))</f>
        <v/>
      </c>
      <c r="AL65" s="27" t="str">
        <f aca="false">IF($AK65="","",IF($AK65&gt;'Rules &amp; Guardrails'!$C$3,"Over cap","OK"))</f>
        <v/>
      </c>
      <c r="AM65" s="27" t="str">
        <f aca="false">IF(OR($O65="",$K65=""),"",IF(COUNTIFS('Comms Calendar'!$K$5:$K$504,$K65,'Comms Calendar'!$B$5:$B$504,$B65,'Comms Calendar'!$O$5:$O$504,$O65,'Comms Calendar'!$AE$5:$AE$504,"&lt;&gt;Cancelled")&gt;1,"Clash",""))</f>
        <v/>
      </c>
      <c r="AN65" s="27" t="str">
        <f aca="false">IF($O65="","",IF(IF($B65="Global",COUNTIF('Rules &amp; Guardrails'!$F$9:$F$60,$O65),COUNTIFS('Rules &amp; Guardrails'!$F$9:$F$60,$O65,'Rules &amp; Guardrails'!$G$9:$G$60,$B65)+COUNTIFS('Rules &amp; Guardrails'!$F$9:$F$60,$O65,'Rules &amp; Guardrails'!$G$9:$G$60,"Global"))&gt;0,"Blackout",""))</f>
        <v/>
      </c>
      <c r="AO65" s="6"/>
      <c r="AP65" s="25"/>
      <c r="AQ65" s="23"/>
      <c r="AR65" s="31" t="str">
        <f aca="false">IF($D65="","",IFERROR(VLOOKUP($D65,'Rules &amp; Guardrails'!$A$9:$D$24,2,0),"Other"))</f>
        <v/>
      </c>
      <c r="AS65" s="31" t="str">
        <f aca="false">IF($O65="","",$O65&amp;"|"&amp;$B65)</f>
        <v/>
      </c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  <c r="G66" s="6"/>
      <c r="H66" s="6"/>
      <c r="I66" s="23"/>
      <c r="J66" s="23"/>
      <c r="K66" s="23"/>
      <c r="L66" s="6"/>
      <c r="M66" s="6"/>
      <c r="N66" s="24"/>
      <c r="O66" s="25"/>
      <c r="P66" s="23"/>
      <c r="Q66" s="23"/>
      <c r="R66" s="23"/>
      <c r="S66" s="23"/>
      <c r="T66" s="26" t="str">
        <f aca="false">IF(OR($O66="",$D66=""),"",WORKDAY($O66,-IFERROR(VLOOKUP($D66,'Rules &amp; Guardrails'!$A$9:$D$24,3,0),10)))</f>
        <v/>
      </c>
      <c r="U66" s="23"/>
      <c r="V66" s="23"/>
      <c r="W66" s="23"/>
      <c r="X66" s="6"/>
      <c r="Y66" s="23"/>
      <c r="Z66" s="23"/>
      <c r="AA66" s="23"/>
      <c r="AB66" s="23"/>
      <c r="AC66" s="23"/>
      <c r="AD66" s="23"/>
      <c r="AE66" s="23"/>
      <c r="AF66" s="27" t="str">
        <f aca="true">IF($O66="","",IF(OR($AE66="Cancelled",$AE66="On hold",$AE66="Launched"),$AE66,IF(AND($Y66="Approved",OR($Z66="Yes",$Z66="N/A"),OR($AA66="Yes",$AA66="N/A"),OR($AB66="No",$AB66="N/A",AND($AB66="Yes",$AD66="Yes"))),"Ready",IF($O66&lt;TODAY(),"Overdue",IF($O66-TODAY()&lt;='Rules &amp; Guardrails'!$C$5,"At Risk","In Progress")))))</f>
        <v/>
      </c>
      <c r="AG66" s="28" t="str">
        <f aca="false">IF($O66="","",IF(OR($AE66="Launched",$AE66="Cancelled"),"",MID(IF($Y66&lt;&gt;"Approved",", Content approval","")&amp;IF(NOT(OR($Z66="Yes",$Z66="N/A")),", Assets","")&amp;IF(NOT(OR($AA66="Yes",$AA66="N/A")),", List","")&amp;IF($AB66="",", Ops decision",IF(AND($AB66="Yes",$AD66&lt;&gt;"Yes"),", Ops",""))&amp;IF($U66="",", Owner","")&amp;IF($K66="",", Segment",""),3,200)))</f>
        <v/>
      </c>
      <c r="AH66" s="29" t="str">
        <f aca="true">IF($O66="","",$O66-TODAY())</f>
        <v/>
      </c>
      <c r="AI66" s="26" t="str">
        <f aca="false">IF($O66="","",$O66-WEEKDAY($O66,3))</f>
        <v/>
      </c>
      <c r="AJ66" s="30" t="str">
        <f aca="false">IF($O66="","",DATE(YEAR($O66),MONTH($O66),1))</f>
        <v/>
      </c>
      <c r="AK66" s="31" t="str">
        <f aca="false">IF(OR($O66="",$K66=""),"",COUNTIFS('Comms Calendar'!$K$5:$K$504,$K66,'Comms Calendar'!$B$5:$B$504,$B66,'Comms Calendar'!$AI$5:$AI$504,$AI66,'Comms Calendar'!$AE$5:$AE$504,"&lt;&gt;Cancelled"))</f>
        <v/>
      </c>
      <c r="AL66" s="27" t="str">
        <f aca="false">IF($AK66="","",IF($AK66&gt;'Rules &amp; Guardrails'!$C$3,"Over cap","OK"))</f>
        <v/>
      </c>
      <c r="AM66" s="27" t="str">
        <f aca="false">IF(OR($O66="",$K66=""),"",IF(COUNTIFS('Comms Calendar'!$K$5:$K$504,$K66,'Comms Calendar'!$B$5:$B$504,$B66,'Comms Calendar'!$O$5:$O$504,$O66,'Comms Calendar'!$AE$5:$AE$504,"&lt;&gt;Cancelled")&gt;1,"Clash",""))</f>
        <v/>
      </c>
      <c r="AN66" s="27" t="str">
        <f aca="false">IF($O66="","",IF(IF($B66="Global",COUNTIF('Rules &amp; Guardrails'!$F$9:$F$60,$O66),COUNTIFS('Rules &amp; Guardrails'!$F$9:$F$60,$O66,'Rules &amp; Guardrails'!$G$9:$G$60,$B66)+COUNTIFS('Rules &amp; Guardrails'!$F$9:$F$60,$O66,'Rules &amp; Guardrails'!$G$9:$G$60,"Global"))&gt;0,"Blackout",""))</f>
        <v/>
      </c>
      <c r="AO66" s="6"/>
      <c r="AP66" s="25"/>
      <c r="AQ66" s="23"/>
      <c r="AR66" s="31" t="str">
        <f aca="false">IF($D66="","",IFERROR(VLOOKUP($D66,'Rules &amp; Guardrails'!$A$9:$D$24,2,0),"Other"))</f>
        <v/>
      </c>
      <c r="AS66" s="31" t="str">
        <f aca="false">IF($O66="","",$O66&amp;"|"&amp;$B66)</f>
        <v/>
      </c>
    </row>
    <row r="67" customFormat="false" ht="15" hidden="false" customHeight="false" outlineLevel="0" collapsed="false">
      <c r="A67" s="23"/>
      <c r="B67" s="23"/>
      <c r="C67" s="23"/>
      <c r="D67" s="23"/>
      <c r="E67" s="23"/>
      <c r="F67" s="23"/>
      <c r="G67" s="6"/>
      <c r="H67" s="6"/>
      <c r="I67" s="23"/>
      <c r="J67" s="23"/>
      <c r="K67" s="23"/>
      <c r="L67" s="6"/>
      <c r="M67" s="6"/>
      <c r="N67" s="24"/>
      <c r="O67" s="25"/>
      <c r="P67" s="23"/>
      <c r="Q67" s="23"/>
      <c r="R67" s="23"/>
      <c r="S67" s="23"/>
      <c r="T67" s="26" t="str">
        <f aca="false">IF(OR($O67="",$D67=""),"",WORKDAY($O67,-IFERROR(VLOOKUP($D67,'Rules &amp; Guardrails'!$A$9:$D$24,3,0),10)))</f>
        <v/>
      </c>
      <c r="U67" s="23"/>
      <c r="V67" s="23"/>
      <c r="W67" s="23"/>
      <c r="X67" s="6"/>
      <c r="Y67" s="23"/>
      <c r="Z67" s="23"/>
      <c r="AA67" s="23"/>
      <c r="AB67" s="23"/>
      <c r="AC67" s="23"/>
      <c r="AD67" s="23"/>
      <c r="AE67" s="23"/>
      <c r="AF67" s="27" t="str">
        <f aca="true">IF($O67="","",IF(OR($AE67="Cancelled",$AE67="On hold",$AE67="Launched"),$AE67,IF(AND($Y67="Approved",OR($Z67="Yes",$Z67="N/A"),OR($AA67="Yes",$AA67="N/A"),OR($AB67="No",$AB67="N/A",AND($AB67="Yes",$AD67="Yes"))),"Ready",IF($O67&lt;TODAY(),"Overdue",IF($O67-TODAY()&lt;='Rules &amp; Guardrails'!$C$5,"At Risk","In Progress")))))</f>
        <v/>
      </c>
      <c r="AG67" s="28" t="str">
        <f aca="false">IF($O67="","",IF(OR($AE67="Launched",$AE67="Cancelled"),"",MID(IF($Y67&lt;&gt;"Approved",", Content approval","")&amp;IF(NOT(OR($Z67="Yes",$Z67="N/A")),", Assets","")&amp;IF(NOT(OR($AA67="Yes",$AA67="N/A")),", List","")&amp;IF($AB67="",", Ops decision",IF(AND($AB67="Yes",$AD67&lt;&gt;"Yes"),", Ops",""))&amp;IF($U67="",", Owner","")&amp;IF($K67="",", Segment",""),3,200)))</f>
        <v/>
      </c>
      <c r="AH67" s="29" t="str">
        <f aca="true">IF($O67="","",$O67-TODAY())</f>
        <v/>
      </c>
      <c r="AI67" s="26" t="str">
        <f aca="false">IF($O67="","",$O67-WEEKDAY($O67,3))</f>
        <v/>
      </c>
      <c r="AJ67" s="30" t="str">
        <f aca="false">IF($O67="","",DATE(YEAR($O67),MONTH($O67),1))</f>
        <v/>
      </c>
      <c r="AK67" s="31" t="str">
        <f aca="false">IF(OR($O67="",$K67=""),"",COUNTIFS('Comms Calendar'!$K$5:$K$504,$K67,'Comms Calendar'!$B$5:$B$504,$B67,'Comms Calendar'!$AI$5:$AI$504,$AI67,'Comms Calendar'!$AE$5:$AE$504,"&lt;&gt;Cancelled"))</f>
        <v/>
      </c>
      <c r="AL67" s="27" t="str">
        <f aca="false">IF($AK67="","",IF($AK67&gt;'Rules &amp; Guardrails'!$C$3,"Over cap","OK"))</f>
        <v/>
      </c>
      <c r="AM67" s="27" t="str">
        <f aca="false">IF(OR($O67="",$K67=""),"",IF(COUNTIFS('Comms Calendar'!$K$5:$K$504,$K67,'Comms Calendar'!$B$5:$B$504,$B67,'Comms Calendar'!$O$5:$O$504,$O67,'Comms Calendar'!$AE$5:$AE$504,"&lt;&gt;Cancelled")&gt;1,"Clash",""))</f>
        <v/>
      </c>
      <c r="AN67" s="27" t="str">
        <f aca="false">IF($O67="","",IF(IF($B67="Global",COUNTIF('Rules &amp; Guardrails'!$F$9:$F$60,$O67),COUNTIFS('Rules &amp; Guardrails'!$F$9:$F$60,$O67,'Rules &amp; Guardrails'!$G$9:$G$60,$B67)+COUNTIFS('Rules &amp; Guardrails'!$F$9:$F$60,$O67,'Rules &amp; Guardrails'!$G$9:$G$60,"Global"))&gt;0,"Blackout",""))</f>
        <v/>
      </c>
      <c r="AO67" s="6"/>
      <c r="AP67" s="25"/>
      <c r="AQ67" s="23"/>
      <c r="AR67" s="31" t="str">
        <f aca="false">IF($D67="","",IFERROR(VLOOKUP($D67,'Rules &amp; Guardrails'!$A$9:$D$24,2,0),"Other"))</f>
        <v/>
      </c>
      <c r="AS67" s="31" t="str">
        <f aca="false">IF($O67="","",$O67&amp;"|"&amp;$B67)</f>
        <v/>
      </c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  <c r="G68" s="6"/>
      <c r="H68" s="6"/>
      <c r="I68" s="23"/>
      <c r="J68" s="23"/>
      <c r="K68" s="23"/>
      <c r="L68" s="6"/>
      <c r="M68" s="6"/>
      <c r="N68" s="24"/>
      <c r="O68" s="25"/>
      <c r="P68" s="23"/>
      <c r="Q68" s="23"/>
      <c r="R68" s="23"/>
      <c r="S68" s="23"/>
      <c r="T68" s="26" t="str">
        <f aca="false">IF(OR($O68="",$D68=""),"",WORKDAY($O68,-IFERROR(VLOOKUP($D68,'Rules &amp; Guardrails'!$A$9:$D$24,3,0),10)))</f>
        <v/>
      </c>
      <c r="U68" s="23"/>
      <c r="V68" s="23"/>
      <c r="W68" s="23"/>
      <c r="X68" s="6"/>
      <c r="Y68" s="23"/>
      <c r="Z68" s="23"/>
      <c r="AA68" s="23"/>
      <c r="AB68" s="23"/>
      <c r="AC68" s="23"/>
      <c r="AD68" s="23"/>
      <c r="AE68" s="23"/>
      <c r="AF68" s="27" t="str">
        <f aca="true">IF($O68="","",IF(OR($AE68="Cancelled",$AE68="On hold",$AE68="Launched"),$AE68,IF(AND($Y68="Approved",OR($Z68="Yes",$Z68="N/A"),OR($AA68="Yes",$AA68="N/A"),OR($AB68="No",$AB68="N/A",AND($AB68="Yes",$AD68="Yes"))),"Ready",IF($O68&lt;TODAY(),"Overdue",IF($O68-TODAY()&lt;='Rules &amp; Guardrails'!$C$5,"At Risk","In Progress")))))</f>
        <v/>
      </c>
      <c r="AG68" s="28" t="str">
        <f aca="false">IF($O68="","",IF(OR($AE68="Launched",$AE68="Cancelled"),"",MID(IF($Y68&lt;&gt;"Approved",", Content approval","")&amp;IF(NOT(OR($Z68="Yes",$Z68="N/A")),", Assets","")&amp;IF(NOT(OR($AA68="Yes",$AA68="N/A")),", List","")&amp;IF($AB68="",", Ops decision",IF(AND($AB68="Yes",$AD68&lt;&gt;"Yes"),", Ops",""))&amp;IF($U68="",", Owner","")&amp;IF($K68="",", Segment",""),3,200)))</f>
        <v/>
      </c>
      <c r="AH68" s="29" t="str">
        <f aca="true">IF($O68="","",$O68-TODAY())</f>
        <v/>
      </c>
      <c r="AI68" s="26" t="str">
        <f aca="false">IF($O68="","",$O68-WEEKDAY($O68,3))</f>
        <v/>
      </c>
      <c r="AJ68" s="30" t="str">
        <f aca="false">IF($O68="","",DATE(YEAR($O68),MONTH($O68),1))</f>
        <v/>
      </c>
      <c r="AK68" s="31" t="str">
        <f aca="false">IF(OR($O68="",$K68=""),"",COUNTIFS('Comms Calendar'!$K$5:$K$504,$K68,'Comms Calendar'!$B$5:$B$504,$B68,'Comms Calendar'!$AI$5:$AI$504,$AI68,'Comms Calendar'!$AE$5:$AE$504,"&lt;&gt;Cancelled"))</f>
        <v/>
      </c>
      <c r="AL68" s="27" t="str">
        <f aca="false">IF($AK68="","",IF($AK68&gt;'Rules &amp; Guardrails'!$C$3,"Over cap","OK"))</f>
        <v/>
      </c>
      <c r="AM68" s="27" t="str">
        <f aca="false">IF(OR($O68="",$K68=""),"",IF(COUNTIFS('Comms Calendar'!$K$5:$K$504,$K68,'Comms Calendar'!$B$5:$B$504,$B68,'Comms Calendar'!$O$5:$O$504,$O68,'Comms Calendar'!$AE$5:$AE$504,"&lt;&gt;Cancelled")&gt;1,"Clash",""))</f>
        <v/>
      </c>
      <c r="AN68" s="27" t="str">
        <f aca="false">IF($O68="","",IF(IF($B68="Global",COUNTIF('Rules &amp; Guardrails'!$F$9:$F$60,$O68),COUNTIFS('Rules &amp; Guardrails'!$F$9:$F$60,$O68,'Rules &amp; Guardrails'!$G$9:$G$60,$B68)+COUNTIFS('Rules &amp; Guardrails'!$F$9:$F$60,$O68,'Rules &amp; Guardrails'!$G$9:$G$60,"Global"))&gt;0,"Blackout",""))</f>
        <v/>
      </c>
      <c r="AO68" s="6"/>
      <c r="AP68" s="25"/>
      <c r="AQ68" s="23"/>
      <c r="AR68" s="31" t="str">
        <f aca="false">IF($D68="","",IFERROR(VLOOKUP($D68,'Rules &amp; Guardrails'!$A$9:$D$24,2,0),"Other"))</f>
        <v/>
      </c>
      <c r="AS68" s="31" t="str">
        <f aca="false">IF($O68="","",$O68&amp;"|"&amp;$B68)</f>
        <v/>
      </c>
    </row>
    <row r="69" customFormat="false" ht="15" hidden="false" customHeight="false" outlineLevel="0" collapsed="false">
      <c r="A69" s="23"/>
      <c r="B69" s="23"/>
      <c r="C69" s="23"/>
      <c r="D69" s="23"/>
      <c r="E69" s="23"/>
      <c r="F69" s="23"/>
      <c r="G69" s="6"/>
      <c r="H69" s="6"/>
      <c r="I69" s="23"/>
      <c r="J69" s="23"/>
      <c r="K69" s="23"/>
      <c r="L69" s="6"/>
      <c r="M69" s="6"/>
      <c r="N69" s="24"/>
      <c r="O69" s="25"/>
      <c r="P69" s="23"/>
      <c r="Q69" s="23"/>
      <c r="R69" s="23"/>
      <c r="S69" s="23"/>
      <c r="T69" s="26" t="str">
        <f aca="false">IF(OR($O69="",$D69=""),"",WORKDAY($O69,-IFERROR(VLOOKUP($D69,'Rules &amp; Guardrails'!$A$9:$D$24,3,0),10)))</f>
        <v/>
      </c>
      <c r="U69" s="23"/>
      <c r="V69" s="23"/>
      <c r="W69" s="23"/>
      <c r="X69" s="6"/>
      <c r="Y69" s="23"/>
      <c r="Z69" s="23"/>
      <c r="AA69" s="23"/>
      <c r="AB69" s="23"/>
      <c r="AC69" s="23"/>
      <c r="AD69" s="23"/>
      <c r="AE69" s="23"/>
      <c r="AF69" s="27" t="str">
        <f aca="true">IF($O69="","",IF(OR($AE69="Cancelled",$AE69="On hold",$AE69="Launched"),$AE69,IF(AND($Y69="Approved",OR($Z69="Yes",$Z69="N/A"),OR($AA69="Yes",$AA69="N/A"),OR($AB69="No",$AB69="N/A",AND($AB69="Yes",$AD69="Yes"))),"Ready",IF($O69&lt;TODAY(),"Overdue",IF($O69-TODAY()&lt;='Rules &amp; Guardrails'!$C$5,"At Risk","In Progress")))))</f>
        <v/>
      </c>
      <c r="AG69" s="28" t="str">
        <f aca="false">IF($O69="","",IF(OR($AE69="Launched",$AE69="Cancelled"),"",MID(IF($Y69&lt;&gt;"Approved",", Content approval","")&amp;IF(NOT(OR($Z69="Yes",$Z69="N/A")),", Assets","")&amp;IF(NOT(OR($AA69="Yes",$AA69="N/A")),", List","")&amp;IF($AB69="",", Ops decision",IF(AND($AB69="Yes",$AD69&lt;&gt;"Yes"),", Ops",""))&amp;IF($U69="",", Owner","")&amp;IF($K69="",", Segment",""),3,200)))</f>
        <v/>
      </c>
      <c r="AH69" s="29" t="str">
        <f aca="true">IF($O69="","",$O69-TODAY())</f>
        <v/>
      </c>
      <c r="AI69" s="26" t="str">
        <f aca="false">IF($O69="","",$O69-WEEKDAY($O69,3))</f>
        <v/>
      </c>
      <c r="AJ69" s="30" t="str">
        <f aca="false">IF($O69="","",DATE(YEAR($O69),MONTH($O69),1))</f>
        <v/>
      </c>
      <c r="AK69" s="31" t="str">
        <f aca="false">IF(OR($O69="",$K69=""),"",COUNTIFS('Comms Calendar'!$K$5:$K$504,$K69,'Comms Calendar'!$B$5:$B$504,$B69,'Comms Calendar'!$AI$5:$AI$504,$AI69,'Comms Calendar'!$AE$5:$AE$504,"&lt;&gt;Cancelled"))</f>
        <v/>
      </c>
      <c r="AL69" s="27" t="str">
        <f aca="false">IF($AK69="","",IF($AK69&gt;'Rules &amp; Guardrails'!$C$3,"Over cap","OK"))</f>
        <v/>
      </c>
      <c r="AM69" s="27" t="str">
        <f aca="false">IF(OR($O69="",$K69=""),"",IF(COUNTIFS('Comms Calendar'!$K$5:$K$504,$K69,'Comms Calendar'!$B$5:$B$504,$B69,'Comms Calendar'!$O$5:$O$504,$O69,'Comms Calendar'!$AE$5:$AE$504,"&lt;&gt;Cancelled")&gt;1,"Clash",""))</f>
        <v/>
      </c>
      <c r="AN69" s="27" t="str">
        <f aca="false">IF($O69="","",IF(IF($B69="Global",COUNTIF('Rules &amp; Guardrails'!$F$9:$F$60,$O69),COUNTIFS('Rules &amp; Guardrails'!$F$9:$F$60,$O69,'Rules &amp; Guardrails'!$G$9:$G$60,$B69)+COUNTIFS('Rules &amp; Guardrails'!$F$9:$F$60,$O69,'Rules &amp; Guardrails'!$G$9:$G$60,"Global"))&gt;0,"Blackout",""))</f>
        <v/>
      </c>
      <c r="AO69" s="6"/>
      <c r="AP69" s="25"/>
      <c r="AQ69" s="23"/>
      <c r="AR69" s="31" t="str">
        <f aca="false">IF($D69="","",IFERROR(VLOOKUP($D69,'Rules &amp; Guardrails'!$A$9:$D$24,2,0),"Other"))</f>
        <v/>
      </c>
      <c r="AS69" s="31" t="str">
        <f aca="false">IF($O69="","",$O69&amp;"|"&amp;$B69)</f>
        <v/>
      </c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  <c r="G70" s="6"/>
      <c r="H70" s="6"/>
      <c r="I70" s="23"/>
      <c r="J70" s="23"/>
      <c r="K70" s="23"/>
      <c r="L70" s="6"/>
      <c r="M70" s="6"/>
      <c r="N70" s="24"/>
      <c r="O70" s="25"/>
      <c r="P70" s="23"/>
      <c r="Q70" s="23"/>
      <c r="R70" s="23"/>
      <c r="S70" s="23"/>
      <c r="T70" s="26" t="str">
        <f aca="false">IF(OR($O70="",$D70=""),"",WORKDAY($O70,-IFERROR(VLOOKUP($D70,'Rules &amp; Guardrails'!$A$9:$D$24,3,0),10)))</f>
        <v/>
      </c>
      <c r="U70" s="23"/>
      <c r="V70" s="23"/>
      <c r="W70" s="23"/>
      <c r="X70" s="6"/>
      <c r="Y70" s="23"/>
      <c r="Z70" s="23"/>
      <c r="AA70" s="23"/>
      <c r="AB70" s="23"/>
      <c r="AC70" s="23"/>
      <c r="AD70" s="23"/>
      <c r="AE70" s="23"/>
      <c r="AF70" s="27" t="str">
        <f aca="true">IF($O70="","",IF(OR($AE70="Cancelled",$AE70="On hold",$AE70="Launched"),$AE70,IF(AND($Y70="Approved",OR($Z70="Yes",$Z70="N/A"),OR($AA70="Yes",$AA70="N/A"),OR($AB70="No",$AB70="N/A",AND($AB70="Yes",$AD70="Yes"))),"Ready",IF($O70&lt;TODAY(),"Overdue",IF($O70-TODAY()&lt;='Rules &amp; Guardrails'!$C$5,"At Risk","In Progress")))))</f>
        <v/>
      </c>
      <c r="AG70" s="28" t="str">
        <f aca="false">IF($O70="","",IF(OR($AE70="Launched",$AE70="Cancelled"),"",MID(IF($Y70&lt;&gt;"Approved",", Content approval","")&amp;IF(NOT(OR($Z70="Yes",$Z70="N/A")),", Assets","")&amp;IF(NOT(OR($AA70="Yes",$AA70="N/A")),", List","")&amp;IF($AB70="",", Ops decision",IF(AND($AB70="Yes",$AD70&lt;&gt;"Yes"),", Ops",""))&amp;IF($U70="",", Owner","")&amp;IF($K70="",", Segment",""),3,200)))</f>
        <v/>
      </c>
      <c r="AH70" s="29" t="str">
        <f aca="true">IF($O70="","",$O70-TODAY())</f>
        <v/>
      </c>
      <c r="AI70" s="26" t="str">
        <f aca="false">IF($O70="","",$O70-WEEKDAY($O70,3))</f>
        <v/>
      </c>
      <c r="AJ70" s="30" t="str">
        <f aca="false">IF($O70="","",DATE(YEAR($O70),MONTH($O70),1))</f>
        <v/>
      </c>
      <c r="AK70" s="31" t="str">
        <f aca="false">IF(OR($O70="",$K70=""),"",COUNTIFS('Comms Calendar'!$K$5:$K$504,$K70,'Comms Calendar'!$B$5:$B$504,$B70,'Comms Calendar'!$AI$5:$AI$504,$AI70,'Comms Calendar'!$AE$5:$AE$504,"&lt;&gt;Cancelled"))</f>
        <v/>
      </c>
      <c r="AL70" s="27" t="str">
        <f aca="false">IF($AK70="","",IF($AK70&gt;'Rules &amp; Guardrails'!$C$3,"Over cap","OK"))</f>
        <v/>
      </c>
      <c r="AM70" s="27" t="str">
        <f aca="false">IF(OR($O70="",$K70=""),"",IF(COUNTIFS('Comms Calendar'!$K$5:$K$504,$K70,'Comms Calendar'!$B$5:$B$504,$B70,'Comms Calendar'!$O$5:$O$504,$O70,'Comms Calendar'!$AE$5:$AE$504,"&lt;&gt;Cancelled")&gt;1,"Clash",""))</f>
        <v/>
      </c>
      <c r="AN70" s="27" t="str">
        <f aca="false">IF($O70="","",IF(IF($B70="Global",COUNTIF('Rules &amp; Guardrails'!$F$9:$F$60,$O70),COUNTIFS('Rules &amp; Guardrails'!$F$9:$F$60,$O70,'Rules &amp; Guardrails'!$G$9:$G$60,$B70)+COUNTIFS('Rules &amp; Guardrails'!$F$9:$F$60,$O70,'Rules &amp; Guardrails'!$G$9:$G$60,"Global"))&gt;0,"Blackout",""))</f>
        <v/>
      </c>
      <c r="AO70" s="6"/>
      <c r="AP70" s="25"/>
      <c r="AQ70" s="23"/>
      <c r="AR70" s="31" t="str">
        <f aca="false">IF($D70="","",IFERROR(VLOOKUP($D70,'Rules &amp; Guardrails'!$A$9:$D$24,2,0),"Other"))</f>
        <v/>
      </c>
      <c r="AS70" s="31" t="str">
        <f aca="false">IF($O70="","",$O70&amp;"|"&amp;$B70)</f>
        <v/>
      </c>
    </row>
    <row r="71" customFormat="false" ht="15" hidden="false" customHeight="false" outlineLevel="0" collapsed="false">
      <c r="A71" s="23"/>
      <c r="B71" s="23"/>
      <c r="C71" s="23"/>
      <c r="D71" s="23"/>
      <c r="E71" s="23"/>
      <c r="F71" s="23"/>
      <c r="G71" s="6"/>
      <c r="H71" s="6"/>
      <c r="I71" s="23"/>
      <c r="J71" s="23"/>
      <c r="K71" s="23"/>
      <c r="L71" s="6"/>
      <c r="M71" s="6"/>
      <c r="N71" s="24"/>
      <c r="O71" s="25"/>
      <c r="P71" s="23"/>
      <c r="Q71" s="23"/>
      <c r="R71" s="23"/>
      <c r="S71" s="23"/>
      <c r="T71" s="26" t="str">
        <f aca="false">IF(OR($O71="",$D71=""),"",WORKDAY($O71,-IFERROR(VLOOKUP($D71,'Rules &amp; Guardrails'!$A$9:$D$24,3,0),10)))</f>
        <v/>
      </c>
      <c r="U71" s="23"/>
      <c r="V71" s="23"/>
      <c r="W71" s="23"/>
      <c r="X71" s="6"/>
      <c r="Y71" s="23"/>
      <c r="Z71" s="23"/>
      <c r="AA71" s="23"/>
      <c r="AB71" s="23"/>
      <c r="AC71" s="23"/>
      <c r="AD71" s="23"/>
      <c r="AE71" s="23"/>
      <c r="AF71" s="27" t="str">
        <f aca="true">IF($O71="","",IF(OR($AE71="Cancelled",$AE71="On hold",$AE71="Launched"),$AE71,IF(AND($Y71="Approved",OR($Z71="Yes",$Z71="N/A"),OR($AA71="Yes",$AA71="N/A"),OR($AB71="No",$AB71="N/A",AND($AB71="Yes",$AD71="Yes"))),"Ready",IF($O71&lt;TODAY(),"Overdue",IF($O71-TODAY()&lt;='Rules &amp; Guardrails'!$C$5,"At Risk","In Progress")))))</f>
        <v/>
      </c>
      <c r="AG71" s="28" t="str">
        <f aca="false">IF($O71="","",IF(OR($AE71="Launched",$AE71="Cancelled"),"",MID(IF($Y71&lt;&gt;"Approved",", Content approval","")&amp;IF(NOT(OR($Z71="Yes",$Z71="N/A")),", Assets","")&amp;IF(NOT(OR($AA71="Yes",$AA71="N/A")),", List","")&amp;IF($AB71="",", Ops decision",IF(AND($AB71="Yes",$AD71&lt;&gt;"Yes"),", Ops",""))&amp;IF($U71="",", Owner","")&amp;IF($K71="",", Segment",""),3,200)))</f>
        <v/>
      </c>
      <c r="AH71" s="29" t="str">
        <f aca="true">IF($O71="","",$O71-TODAY())</f>
        <v/>
      </c>
      <c r="AI71" s="26" t="str">
        <f aca="false">IF($O71="","",$O71-WEEKDAY($O71,3))</f>
        <v/>
      </c>
      <c r="AJ71" s="30" t="str">
        <f aca="false">IF($O71="","",DATE(YEAR($O71),MONTH($O71),1))</f>
        <v/>
      </c>
      <c r="AK71" s="31" t="str">
        <f aca="false">IF(OR($O71="",$K71=""),"",COUNTIFS('Comms Calendar'!$K$5:$K$504,$K71,'Comms Calendar'!$B$5:$B$504,$B71,'Comms Calendar'!$AI$5:$AI$504,$AI71,'Comms Calendar'!$AE$5:$AE$504,"&lt;&gt;Cancelled"))</f>
        <v/>
      </c>
      <c r="AL71" s="27" t="str">
        <f aca="false">IF($AK71="","",IF($AK71&gt;'Rules &amp; Guardrails'!$C$3,"Over cap","OK"))</f>
        <v/>
      </c>
      <c r="AM71" s="27" t="str">
        <f aca="false">IF(OR($O71="",$K71=""),"",IF(COUNTIFS('Comms Calendar'!$K$5:$K$504,$K71,'Comms Calendar'!$B$5:$B$504,$B71,'Comms Calendar'!$O$5:$O$504,$O71,'Comms Calendar'!$AE$5:$AE$504,"&lt;&gt;Cancelled")&gt;1,"Clash",""))</f>
        <v/>
      </c>
      <c r="AN71" s="27" t="str">
        <f aca="false">IF($O71="","",IF(IF($B71="Global",COUNTIF('Rules &amp; Guardrails'!$F$9:$F$60,$O71),COUNTIFS('Rules &amp; Guardrails'!$F$9:$F$60,$O71,'Rules &amp; Guardrails'!$G$9:$G$60,$B71)+COUNTIFS('Rules &amp; Guardrails'!$F$9:$F$60,$O71,'Rules &amp; Guardrails'!$G$9:$G$60,"Global"))&gt;0,"Blackout",""))</f>
        <v/>
      </c>
      <c r="AO71" s="6"/>
      <c r="AP71" s="25"/>
      <c r="AQ71" s="23"/>
      <c r="AR71" s="31" t="str">
        <f aca="false">IF($D71="","",IFERROR(VLOOKUP($D71,'Rules &amp; Guardrails'!$A$9:$D$24,2,0),"Other"))</f>
        <v/>
      </c>
      <c r="AS71" s="31" t="str">
        <f aca="false">IF($O71="","",$O71&amp;"|"&amp;$B71)</f>
        <v/>
      </c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  <c r="G72" s="6"/>
      <c r="H72" s="6"/>
      <c r="I72" s="23"/>
      <c r="J72" s="23"/>
      <c r="K72" s="23"/>
      <c r="L72" s="6"/>
      <c r="M72" s="6"/>
      <c r="N72" s="24"/>
      <c r="O72" s="25"/>
      <c r="P72" s="23"/>
      <c r="Q72" s="23"/>
      <c r="R72" s="23"/>
      <c r="S72" s="23"/>
      <c r="T72" s="26" t="str">
        <f aca="false">IF(OR($O72="",$D72=""),"",WORKDAY($O72,-IFERROR(VLOOKUP($D72,'Rules &amp; Guardrails'!$A$9:$D$24,3,0),10)))</f>
        <v/>
      </c>
      <c r="U72" s="23"/>
      <c r="V72" s="23"/>
      <c r="W72" s="23"/>
      <c r="X72" s="6"/>
      <c r="Y72" s="23"/>
      <c r="Z72" s="23"/>
      <c r="AA72" s="23"/>
      <c r="AB72" s="23"/>
      <c r="AC72" s="23"/>
      <c r="AD72" s="23"/>
      <c r="AE72" s="23"/>
      <c r="AF72" s="27" t="str">
        <f aca="true">IF($O72="","",IF(OR($AE72="Cancelled",$AE72="On hold",$AE72="Launched"),$AE72,IF(AND($Y72="Approved",OR($Z72="Yes",$Z72="N/A"),OR($AA72="Yes",$AA72="N/A"),OR($AB72="No",$AB72="N/A",AND($AB72="Yes",$AD72="Yes"))),"Ready",IF($O72&lt;TODAY(),"Overdue",IF($O72-TODAY()&lt;='Rules &amp; Guardrails'!$C$5,"At Risk","In Progress")))))</f>
        <v/>
      </c>
      <c r="AG72" s="28" t="str">
        <f aca="false">IF($O72="","",IF(OR($AE72="Launched",$AE72="Cancelled"),"",MID(IF($Y72&lt;&gt;"Approved",", Content approval","")&amp;IF(NOT(OR($Z72="Yes",$Z72="N/A")),", Assets","")&amp;IF(NOT(OR($AA72="Yes",$AA72="N/A")),", List","")&amp;IF($AB72="",", Ops decision",IF(AND($AB72="Yes",$AD72&lt;&gt;"Yes"),", Ops",""))&amp;IF($U72="",", Owner","")&amp;IF($K72="",", Segment",""),3,200)))</f>
        <v/>
      </c>
      <c r="AH72" s="29" t="str">
        <f aca="true">IF($O72="","",$O72-TODAY())</f>
        <v/>
      </c>
      <c r="AI72" s="26" t="str">
        <f aca="false">IF($O72="","",$O72-WEEKDAY($O72,3))</f>
        <v/>
      </c>
      <c r="AJ72" s="30" t="str">
        <f aca="false">IF($O72="","",DATE(YEAR($O72),MONTH($O72),1))</f>
        <v/>
      </c>
      <c r="AK72" s="31" t="str">
        <f aca="false">IF(OR($O72="",$K72=""),"",COUNTIFS('Comms Calendar'!$K$5:$K$504,$K72,'Comms Calendar'!$B$5:$B$504,$B72,'Comms Calendar'!$AI$5:$AI$504,$AI72,'Comms Calendar'!$AE$5:$AE$504,"&lt;&gt;Cancelled"))</f>
        <v/>
      </c>
      <c r="AL72" s="27" t="str">
        <f aca="false">IF($AK72="","",IF($AK72&gt;'Rules &amp; Guardrails'!$C$3,"Over cap","OK"))</f>
        <v/>
      </c>
      <c r="AM72" s="27" t="str">
        <f aca="false">IF(OR($O72="",$K72=""),"",IF(COUNTIFS('Comms Calendar'!$K$5:$K$504,$K72,'Comms Calendar'!$B$5:$B$504,$B72,'Comms Calendar'!$O$5:$O$504,$O72,'Comms Calendar'!$AE$5:$AE$504,"&lt;&gt;Cancelled")&gt;1,"Clash",""))</f>
        <v/>
      </c>
      <c r="AN72" s="27" t="str">
        <f aca="false">IF($O72="","",IF(IF($B72="Global",COUNTIF('Rules &amp; Guardrails'!$F$9:$F$60,$O72),COUNTIFS('Rules &amp; Guardrails'!$F$9:$F$60,$O72,'Rules &amp; Guardrails'!$G$9:$G$60,$B72)+COUNTIFS('Rules &amp; Guardrails'!$F$9:$F$60,$O72,'Rules &amp; Guardrails'!$G$9:$G$60,"Global"))&gt;0,"Blackout",""))</f>
        <v/>
      </c>
      <c r="AO72" s="6"/>
      <c r="AP72" s="25"/>
      <c r="AQ72" s="23"/>
      <c r="AR72" s="31" t="str">
        <f aca="false">IF($D72="","",IFERROR(VLOOKUP($D72,'Rules &amp; Guardrails'!$A$9:$D$24,2,0),"Other"))</f>
        <v/>
      </c>
      <c r="AS72" s="31" t="str">
        <f aca="false">IF($O72="","",$O72&amp;"|"&amp;$B72)</f>
        <v/>
      </c>
    </row>
    <row r="73" customFormat="false" ht="15" hidden="false" customHeight="false" outlineLevel="0" collapsed="false">
      <c r="A73" s="23"/>
      <c r="B73" s="23"/>
      <c r="C73" s="23"/>
      <c r="D73" s="23"/>
      <c r="E73" s="23"/>
      <c r="F73" s="23"/>
      <c r="G73" s="6"/>
      <c r="H73" s="6"/>
      <c r="I73" s="23"/>
      <c r="J73" s="23"/>
      <c r="K73" s="23"/>
      <c r="L73" s="6"/>
      <c r="M73" s="6"/>
      <c r="N73" s="24"/>
      <c r="O73" s="25"/>
      <c r="P73" s="23"/>
      <c r="Q73" s="23"/>
      <c r="R73" s="23"/>
      <c r="S73" s="23"/>
      <c r="T73" s="26" t="str">
        <f aca="false">IF(OR($O73="",$D73=""),"",WORKDAY($O73,-IFERROR(VLOOKUP($D73,'Rules &amp; Guardrails'!$A$9:$D$24,3,0),10)))</f>
        <v/>
      </c>
      <c r="U73" s="23"/>
      <c r="V73" s="23"/>
      <c r="W73" s="23"/>
      <c r="X73" s="6"/>
      <c r="Y73" s="23"/>
      <c r="Z73" s="23"/>
      <c r="AA73" s="23"/>
      <c r="AB73" s="23"/>
      <c r="AC73" s="23"/>
      <c r="AD73" s="23"/>
      <c r="AE73" s="23"/>
      <c r="AF73" s="27" t="str">
        <f aca="true">IF($O73="","",IF(OR($AE73="Cancelled",$AE73="On hold",$AE73="Launched"),$AE73,IF(AND($Y73="Approved",OR($Z73="Yes",$Z73="N/A"),OR($AA73="Yes",$AA73="N/A"),OR($AB73="No",$AB73="N/A",AND($AB73="Yes",$AD73="Yes"))),"Ready",IF($O73&lt;TODAY(),"Overdue",IF($O73-TODAY()&lt;='Rules &amp; Guardrails'!$C$5,"At Risk","In Progress")))))</f>
        <v/>
      </c>
      <c r="AG73" s="28" t="str">
        <f aca="false">IF($O73="","",IF(OR($AE73="Launched",$AE73="Cancelled"),"",MID(IF($Y73&lt;&gt;"Approved",", Content approval","")&amp;IF(NOT(OR($Z73="Yes",$Z73="N/A")),", Assets","")&amp;IF(NOT(OR($AA73="Yes",$AA73="N/A")),", List","")&amp;IF($AB73="",", Ops decision",IF(AND($AB73="Yes",$AD73&lt;&gt;"Yes"),", Ops",""))&amp;IF($U73="",", Owner","")&amp;IF($K73="",", Segment",""),3,200)))</f>
        <v/>
      </c>
      <c r="AH73" s="29" t="str">
        <f aca="true">IF($O73="","",$O73-TODAY())</f>
        <v/>
      </c>
      <c r="AI73" s="26" t="str">
        <f aca="false">IF($O73="","",$O73-WEEKDAY($O73,3))</f>
        <v/>
      </c>
      <c r="AJ73" s="30" t="str">
        <f aca="false">IF($O73="","",DATE(YEAR($O73),MONTH($O73),1))</f>
        <v/>
      </c>
      <c r="AK73" s="31" t="str">
        <f aca="false">IF(OR($O73="",$K73=""),"",COUNTIFS('Comms Calendar'!$K$5:$K$504,$K73,'Comms Calendar'!$B$5:$B$504,$B73,'Comms Calendar'!$AI$5:$AI$504,$AI73,'Comms Calendar'!$AE$5:$AE$504,"&lt;&gt;Cancelled"))</f>
        <v/>
      </c>
      <c r="AL73" s="27" t="str">
        <f aca="false">IF($AK73="","",IF($AK73&gt;'Rules &amp; Guardrails'!$C$3,"Over cap","OK"))</f>
        <v/>
      </c>
      <c r="AM73" s="27" t="str">
        <f aca="false">IF(OR($O73="",$K73=""),"",IF(COUNTIFS('Comms Calendar'!$K$5:$K$504,$K73,'Comms Calendar'!$B$5:$B$504,$B73,'Comms Calendar'!$O$5:$O$504,$O73,'Comms Calendar'!$AE$5:$AE$504,"&lt;&gt;Cancelled")&gt;1,"Clash",""))</f>
        <v/>
      </c>
      <c r="AN73" s="27" t="str">
        <f aca="false">IF($O73="","",IF(IF($B73="Global",COUNTIF('Rules &amp; Guardrails'!$F$9:$F$60,$O73),COUNTIFS('Rules &amp; Guardrails'!$F$9:$F$60,$O73,'Rules &amp; Guardrails'!$G$9:$G$60,$B73)+COUNTIFS('Rules &amp; Guardrails'!$F$9:$F$60,$O73,'Rules &amp; Guardrails'!$G$9:$G$60,"Global"))&gt;0,"Blackout",""))</f>
        <v/>
      </c>
      <c r="AO73" s="6"/>
      <c r="AP73" s="25"/>
      <c r="AQ73" s="23"/>
      <c r="AR73" s="31" t="str">
        <f aca="false">IF($D73="","",IFERROR(VLOOKUP($D73,'Rules &amp; Guardrails'!$A$9:$D$24,2,0),"Other"))</f>
        <v/>
      </c>
      <c r="AS73" s="31" t="str">
        <f aca="false">IF($O73="","",$O73&amp;"|"&amp;$B73)</f>
        <v/>
      </c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  <c r="G74" s="6"/>
      <c r="H74" s="6"/>
      <c r="I74" s="23"/>
      <c r="J74" s="23"/>
      <c r="K74" s="23"/>
      <c r="L74" s="6"/>
      <c r="M74" s="6"/>
      <c r="N74" s="24"/>
      <c r="O74" s="25"/>
      <c r="P74" s="23"/>
      <c r="Q74" s="23"/>
      <c r="R74" s="23"/>
      <c r="S74" s="23"/>
      <c r="T74" s="26" t="str">
        <f aca="false">IF(OR($O74="",$D74=""),"",WORKDAY($O74,-IFERROR(VLOOKUP($D74,'Rules &amp; Guardrails'!$A$9:$D$24,3,0),10)))</f>
        <v/>
      </c>
      <c r="U74" s="23"/>
      <c r="V74" s="23"/>
      <c r="W74" s="23"/>
      <c r="X74" s="6"/>
      <c r="Y74" s="23"/>
      <c r="Z74" s="23"/>
      <c r="AA74" s="23"/>
      <c r="AB74" s="23"/>
      <c r="AC74" s="23"/>
      <c r="AD74" s="23"/>
      <c r="AE74" s="23"/>
      <c r="AF74" s="27" t="str">
        <f aca="true">IF($O74="","",IF(OR($AE74="Cancelled",$AE74="On hold",$AE74="Launched"),$AE74,IF(AND($Y74="Approved",OR($Z74="Yes",$Z74="N/A"),OR($AA74="Yes",$AA74="N/A"),OR($AB74="No",$AB74="N/A",AND($AB74="Yes",$AD74="Yes"))),"Ready",IF($O74&lt;TODAY(),"Overdue",IF($O74-TODAY()&lt;='Rules &amp; Guardrails'!$C$5,"At Risk","In Progress")))))</f>
        <v/>
      </c>
      <c r="AG74" s="28" t="str">
        <f aca="false">IF($O74="","",IF(OR($AE74="Launched",$AE74="Cancelled"),"",MID(IF($Y74&lt;&gt;"Approved",", Content approval","")&amp;IF(NOT(OR($Z74="Yes",$Z74="N/A")),", Assets","")&amp;IF(NOT(OR($AA74="Yes",$AA74="N/A")),", List","")&amp;IF($AB74="",", Ops decision",IF(AND($AB74="Yes",$AD74&lt;&gt;"Yes"),", Ops",""))&amp;IF($U74="",", Owner","")&amp;IF($K74="",", Segment",""),3,200)))</f>
        <v/>
      </c>
      <c r="AH74" s="29" t="str">
        <f aca="true">IF($O74="","",$O74-TODAY())</f>
        <v/>
      </c>
      <c r="AI74" s="26" t="str">
        <f aca="false">IF($O74="","",$O74-WEEKDAY($O74,3))</f>
        <v/>
      </c>
      <c r="AJ74" s="30" t="str">
        <f aca="false">IF($O74="","",DATE(YEAR($O74),MONTH($O74),1))</f>
        <v/>
      </c>
      <c r="AK74" s="31" t="str">
        <f aca="false">IF(OR($O74="",$K74=""),"",COUNTIFS('Comms Calendar'!$K$5:$K$504,$K74,'Comms Calendar'!$B$5:$B$504,$B74,'Comms Calendar'!$AI$5:$AI$504,$AI74,'Comms Calendar'!$AE$5:$AE$504,"&lt;&gt;Cancelled"))</f>
        <v/>
      </c>
      <c r="AL74" s="27" t="str">
        <f aca="false">IF($AK74="","",IF($AK74&gt;'Rules &amp; Guardrails'!$C$3,"Over cap","OK"))</f>
        <v/>
      </c>
      <c r="AM74" s="27" t="str">
        <f aca="false">IF(OR($O74="",$K74=""),"",IF(COUNTIFS('Comms Calendar'!$K$5:$K$504,$K74,'Comms Calendar'!$B$5:$B$504,$B74,'Comms Calendar'!$O$5:$O$504,$O74,'Comms Calendar'!$AE$5:$AE$504,"&lt;&gt;Cancelled")&gt;1,"Clash",""))</f>
        <v/>
      </c>
      <c r="AN74" s="27" t="str">
        <f aca="false">IF($O74="","",IF(IF($B74="Global",COUNTIF('Rules &amp; Guardrails'!$F$9:$F$60,$O74),COUNTIFS('Rules &amp; Guardrails'!$F$9:$F$60,$O74,'Rules &amp; Guardrails'!$G$9:$G$60,$B74)+COUNTIFS('Rules &amp; Guardrails'!$F$9:$F$60,$O74,'Rules &amp; Guardrails'!$G$9:$G$60,"Global"))&gt;0,"Blackout",""))</f>
        <v/>
      </c>
      <c r="AO74" s="6"/>
      <c r="AP74" s="25"/>
      <c r="AQ74" s="23"/>
      <c r="AR74" s="31" t="str">
        <f aca="false">IF($D74="","",IFERROR(VLOOKUP($D74,'Rules &amp; Guardrails'!$A$9:$D$24,2,0),"Other"))</f>
        <v/>
      </c>
      <c r="AS74" s="31" t="str">
        <f aca="false">IF($O74="","",$O74&amp;"|"&amp;$B74)</f>
        <v/>
      </c>
    </row>
    <row r="75" customFormat="false" ht="15" hidden="false" customHeight="false" outlineLevel="0" collapsed="false">
      <c r="A75" s="23"/>
      <c r="B75" s="23"/>
      <c r="C75" s="23"/>
      <c r="D75" s="23"/>
      <c r="E75" s="23"/>
      <c r="F75" s="23"/>
      <c r="G75" s="6"/>
      <c r="H75" s="6"/>
      <c r="I75" s="23"/>
      <c r="J75" s="23"/>
      <c r="K75" s="23"/>
      <c r="L75" s="6"/>
      <c r="M75" s="6"/>
      <c r="N75" s="24"/>
      <c r="O75" s="25"/>
      <c r="P75" s="23"/>
      <c r="Q75" s="23"/>
      <c r="R75" s="23"/>
      <c r="S75" s="23"/>
      <c r="T75" s="26" t="str">
        <f aca="false">IF(OR($O75="",$D75=""),"",WORKDAY($O75,-IFERROR(VLOOKUP($D75,'Rules &amp; Guardrails'!$A$9:$D$24,3,0),10)))</f>
        <v/>
      </c>
      <c r="U75" s="23"/>
      <c r="V75" s="23"/>
      <c r="W75" s="23"/>
      <c r="X75" s="6"/>
      <c r="Y75" s="23"/>
      <c r="Z75" s="23"/>
      <c r="AA75" s="23"/>
      <c r="AB75" s="23"/>
      <c r="AC75" s="23"/>
      <c r="AD75" s="23"/>
      <c r="AE75" s="23"/>
      <c r="AF75" s="27" t="str">
        <f aca="true">IF($O75="","",IF(OR($AE75="Cancelled",$AE75="On hold",$AE75="Launched"),$AE75,IF(AND($Y75="Approved",OR($Z75="Yes",$Z75="N/A"),OR($AA75="Yes",$AA75="N/A"),OR($AB75="No",$AB75="N/A",AND($AB75="Yes",$AD75="Yes"))),"Ready",IF($O75&lt;TODAY(),"Overdue",IF($O75-TODAY()&lt;='Rules &amp; Guardrails'!$C$5,"At Risk","In Progress")))))</f>
        <v/>
      </c>
      <c r="AG75" s="28" t="str">
        <f aca="false">IF($O75="","",IF(OR($AE75="Launched",$AE75="Cancelled"),"",MID(IF($Y75&lt;&gt;"Approved",", Content approval","")&amp;IF(NOT(OR($Z75="Yes",$Z75="N/A")),", Assets","")&amp;IF(NOT(OR($AA75="Yes",$AA75="N/A")),", List","")&amp;IF($AB75="",", Ops decision",IF(AND($AB75="Yes",$AD75&lt;&gt;"Yes"),", Ops",""))&amp;IF($U75="",", Owner","")&amp;IF($K75="",", Segment",""),3,200)))</f>
        <v/>
      </c>
      <c r="AH75" s="29" t="str">
        <f aca="true">IF($O75="","",$O75-TODAY())</f>
        <v/>
      </c>
      <c r="AI75" s="26" t="str">
        <f aca="false">IF($O75="","",$O75-WEEKDAY($O75,3))</f>
        <v/>
      </c>
      <c r="AJ75" s="30" t="str">
        <f aca="false">IF($O75="","",DATE(YEAR($O75),MONTH($O75),1))</f>
        <v/>
      </c>
      <c r="AK75" s="31" t="str">
        <f aca="false">IF(OR($O75="",$K75=""),"",COUNTIFS('Comms Calendar'!$K$5:$K$504,$K75,'Comms Calendar'!$B$5:$B$504,$B75,'Comms Calendar'!$AI$5:$AI$504,$AI75,'Comms Calendar'!$AE$5:$AE$504,"&lt;&gt;Cancelled"))</f>
        <v/>
      </c>
      <c r="AL75" s="27" t="str">
        <f aca="false">IF($AK75="","",IF($AK75&gt;'Rules &amp; Guardrails'!$C$3,"Over cap","OK"))</f>
        <v/>
      </c>
      <c r="AM75" s="27" t="str">
        <f aca="false">IF(OR($O75="",$K75=""),"",IF(COUNTIFS('Comms Calendar'!$K$5:$K$504,$K75,'Comms Calendar'!$B$5:$B$504,$B75,'Comms Calendar'!$O$5:$O$504,$O75,'Comms Calendar'!$AE$5:$AE$504,"&lt;&gt;Cancelled")&gt;1,"Clash",""))</f>
        <v/>
      </c>
      <c r="AN75" s="27" t="str">
        <f aca="false">IF($O75="","",IF(IF($B75="Global",COUNTIF('Rules &amp; Guardrails'!$F$9:$F$60,$O75),COUNTIFS('Rules &amp; Guardrails'!$F$9:$F$60,$O75,'Rules &amp; Guardrails'!$G$9:$G$60,$B75)+COUNTIFS('Rules &amp; Guardrails'!$F$9:$F$60,$O75,'Rules &amp; Guardrails'!$G$9:$G$60,"Global"))&gt;0,"Blackout",""))</f>
        <v/>
      </c>
      <c r="AO75" s="6"/>
      <c r="AP75" s="25"/>
      <c r="AQ75" s="23"/>
      <c r="AR75" s="31" t="str">
        <f aca="false">IF($D75="","",IFERROR(VLOOKUP($D75,'Rules &amp; Guardrails'!$A$9:$D$24,2,0),"Other"))</f>
        <v/>
      </c>
      <c r="AS75" s="31" t="str">
        <f aca="false">IF($O75="","",$O75&amp;"|"&amp;$B75)</f>
        <v/>
      </c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  <c r="G76" s="6"/>
      <c r="H76" s="6"/>
      <c r="I76" s="23"/>
      <c r="J76" s="23"/>
      <c r="K76" s="23"/>
      <c r="L76" s="6"/>
      <c r="M76" s="6"/>
      <c r="N76" s="24"/>
      <c r="O76" s="25"/>
      <c r="P76" s="23"/>
      <c r="Q76" s="23"/>
      <c r="R76" s="23"/>
      <c r="S76" s="23"/>
      <c r="T76" s="26" t="str">
        <f aca="false">IF(OR($O76="",$D76=""),"",WORKDAY($O76,-IFERROR(VLOOKUP($D76,'Rules &amp; Guardrails'!$A$9:$D$24,3,0),10)))</f>
        <v/>
      </c>
      <c r="U76" s="23"/>
      <c r="V76" s="23"/>
      <c r="W76" s="23"/>
      <c r="X76" s="6"/>
      <c r="Y76" s="23"/>
      <c r="Z76" s="23"/>
      <c r="AA76" s="23"/>
      <c r="AB76" s="23"/>
      <c r="AC76" s="23"/>
      <c r="AD76" s="23"/>
      <c r="AE76" s="23"/>
      <c r="AF76" s="27" t="str">
        <f aca="true">IF($O76="","",IF(OR($AE76="Cancelled",$AE76="On hold",$AE76="Launched"),$AE76,IF(AND($Y76="Approved",OR($Z76="Yes",$Z76="N/A"),OR($AA76="Yes",$AA76="N/A"),OR($AB76="No",$AB76="N/A",AND($AB76="Yes",$AD76="Yes"))),"Ready",IF($O76&lt;TODAY(),"Overdue",IF($O76-TODAY()&lt;='Rules &amp; Guardrails'!$C$5,"At Risk","In Progress")))))</f>
        <v/>
      </c>
      <c r="AG76" s="28" t="str">
        <f aca="false">IF($O76="","",IF(OR($AE76="Launched",$AE76="Cancelled"),"",MID(IF($Y76&lt;&gt;"Approved",", Content approval","")&amp;IF(NOT(OR($Z76="Yes",$Z76="N/A")),", Assets","")&amp;IF(NOT(OR($AA76="Yes",$AA76="N/A")),", List","")&amp;IF($AB76="",", Ops decision",IF(AND($AB76="Yes",$AD76&lt;&gt;"Yes"),", Ops",""))&amp;IF($U76="",", Owner","")&amp;IF($K76="",", Segment",""),3,200)))</f>
        <v/>
      </c>
      <c r="AH76" s="29" t="str">
        <f aca="true">IF($O76="","",$O76-TODAY())</f>
        <v/>
      </c>
      <c r="AI76" s="26" t="str">
        <f aca="false">IF($O76="","",$O76-WEEKDAY($O76,3))</f>
        <v/>
      </c>
      <c r="AJ76" s="30" t="str">
        <f aca="false">IF($O76="","",DATE(YEAR($O76),MONTH($O76),1))</f>
        <v/>
      </c>
      <c r="AK76" s="31" t="str">
        <f aca="false">IF(OR($O76="",$K76=""),"",COUNTIFS('Comms Calendar'!$K$5:$K$504,$K76,'Comms Calendar'!$B$5:$B$504,$B76,'Comms Calendar'!$AI$5:$AI$504,$AI76,'Comms Calendar'!$AE$5:$AE$504,"&lt;&gt;Cancelled"))</f>
        <v/>
      </c>
      <c r="AL76" s="27" t="str">
        <f aca="false">IF($AK76="","",IF($AK76&gt;'Rules &amp; Guardrails'!$C$3,"Over cap","OK"))</f>
        <v/>
      </c>
      <c r="AM76" s="27" t="str">
        <f aca="false">IF(OR($O76="",$K76=""),"",IF(COUNTIFS('Comms Calendar'!$K$5:$K$504,$K76,'Comms Calendar'!$B$5:$B$504,$B76,'Comms Calendar'!$O$5:$O$504,$O76,'Comms Calendar'!$AE$5:$AE$504,"&lt;&gt;Cancelled")&gt;1,"Clash",""))</f>
        <v/>
      </c>
      <c r="AN76" s="27" t="str">
        <f aca="false">IF($O76="","",IF(IF($B76="Global",COUNTIF('Rules &amp; Guardrails'!$F$9:$F$60,$O76),COUNTIFS('Rules &amp; Guardrails'!$F$9:$F$60,$O76,'Rules &amp; Guardrails'!$G$9:$G$60,$B76)+COUNTIFS('Rules &amp; Guardrails'!$F$9:$F$60,$O76,'Rules &amp; Guardrails'!$G$9:$G$60,"Global"))&gt;0,"Blackout",""))</f>
        <v/>
      </c>
      <c r="AO76" s="6"/>
      <c r="AP76" s="25"/>
      <c r="AQ76" s="23"/>
      <c r="AR76" s="31" t="str">
        <f aca="false">IF($D76="","",IFERROR(VLOOKUP($D76,'Rules &amp; Guardrails'!$A$9:$D$24,2,0),"Other"))</f>
        <v/>
      </c>
      <c r="AS76" s="31" t="str">
        <f aca="false">IF($O76="","",$O76&amp;"|"&amp;$B76)</f>
        <v/>
      </c>
    </row>
    <row r="77" customFormat="false" ht="15" hidden="false" customHeight="false" outlineLevel="0" collapsed="false">
      <c r="A77" s="23"/>
      <c r="B77" s="23"/>
      <c r="C77" s="23"/>
      <c r="D77" s="23"/>
      <c r="E77" s="23"/>
      <c r="F77" s="23"/>
      <c r="G77" s="6"/>
      <c r="H77" s="6"/>
      <c r="I77" s="23"/>
      <c r="J77" s="23"/>
      <c r="K77" s="23"/>
      <c r="L77" s="6"/>
      <c r="M77" s="6"/>
      <c r="N77" s="24"/>
      <c r="O77" s="25"/>
      <c r="P77" s="23"/>
      <c r="Q77" s="23"/>
      <c r="R77" s="23"/>
      <c r="S77" s="23"/>
      <c r="T77" s="26" t="str">
        <f aca="false">IF(OR($O77="",$D77=""),"",WORKDAY($O77,-IFERROR(VLOOKUP($D77,'Rules &amp; Guardrails'!$A$9:$D$24,3,0),10)))</f>
        <v/>
      </c>
      <c r="U77" s="23"/>
      <c r="V77" s="23"/>
      <c r="W77" s="23"/>
      <c r="X77" s="6"/>
      <c r="Y77" s="23"/>
      <c r="Z77" s="23"/>
      <c r="AA77" s="23"/>
      <c r="AB77" s="23"/>
      <c r="AC77" s="23"/>
      <c r="AD77" s="23"/>
      <c r="AE77" s="23"/>
      <c r="AF77" s="27" t="str">
        <f aca="true">IF($O77="","",IF(OR($AE77="Cancelled",$AE77="On hold",$AE77="Launched"),$AE77,IF(AND($Y77="Approved",OR($Z77="Yes",$Z77="N/A"),OR($AA77="Yes",$AA77="N/A"),OR($AB77="No",$AB77="N/A",AND($AB77="Yes",$AD77="Yes"))),"Ready",IF($O77&lt;TODAY(),"Overdue",IF($O77-TODAY()&lt;='Rules &amp; Guardrails'!$C$5,"At Risk","In Progress")))))</f>
        <v/>
      </c>
      <c r="AG77" s="28" t="str">
        <f aca="false">IF($O77="","",IF(OR($AE77="Launched",$AE77="Cancelled"),"",MID(IF($Y77&lt;&gt;"Approved",", Content approval","")&amp;IF(NOT(OR($Z77="Yes",$Z77="N/A")),", Assets","")&amp;IF(NOT(OR($AA77="Yes",$AA77="N/A")),", List","")&amp;IF($AB77="",", Ops decision",IF(AND($AB77="Yes",$AD77&lt;&gt;"Yes"),", Ops",""))&amp;IF($U77="",", Owner","")&amp;IF($K77="",", Segment",""),3,200)))</f>
        <v/>
      </c>
      <c r="AH77" s="29" t="str">
        <f aca="true">IF($O77="","",$O77-TODAY())</f>
        <v/>
      </c>
      <c r="AI77" s="26" t="str">
        <f aca="false">IF($O77="","",$O77-WEEKDAY($O77,3))</f>
        <v/>
      </c>
      <c r="AJ77" s="30" t="str">
        <f aca="false">IF($O77="","",DATE(YEAR($O77),MONTH($O77),1))</f>
        <v/>
      </c>
      <c r="AK77" s="31" t="str">
        <f aca="false">IF(OR($O77="",$K77=""),"",COUNTIFS('Comms Calendar'!$K$5:$K$504,$K77,'Comms Calendar'!$B$5:$B$504,$B77,'Comms Calendar'!$AI$5:$AI$504,$AI77,'Comms Calendar'!$AE$5:$AE$504,"&lt;&gt;Cancelled"))</f>
        <v/>
      </c>
      <c r="AL77" s="27" t="str">
        <f aca="false">IF($AK77="","",IF($AK77&gt;'Rules &amp; Guardrails'!$C$3,"Over cap","OK"))</f>
        <v/>
      </c>
      <c r="AM77" s="27" t="str">
        <f aca="false">IF(OR($O77="",$K77=""),"",IF(COUNTIFS('Comms Calendar'!$K$5:$K$504,$K77,'Comms Calendar'!$B$5:$B$504,$B77,'Comms Calendar'!$O$5:$O$504,$O77,'Comms Calendar'!$AE$5:$AE$504,"&lt;&gt;Cancelled")&gt;1,"Clash",""))</f>
        <v/>
      </c>
      <c r="AN77" s="27" t="str">
        <f aca="false">IF($O77="","",IF(IF($B77="Global",COUNTIF('Rules &amp; Guardrails'!$F$9:$F$60,$O77),COUNTIFS('Rules &amp; Guardrails'!$F$9:$F$60,$O77,'Rules &amp; Guardrails'!$G$9:$G$60,$B77)+COUNTIFS('Rules &amp; Guardrails'!$F$9:$F$60,$O77,'Rules &amp; Guardrails'!$G$9:$G$60,"Global"))&gt;0,"Blackout",""))</f>
        <v/>
      </c>
      <c r="AO77" s="6"/>
      <c r="AP77" s="25"/>
      <c r="AQ77" s="23"/>
      <c r="AR77" s="31" t="str">
        <f aca="false">IF($D77="","",IFERROR(VLOOKUP($D77,'Rules &amp; Guardrails'!$A$9:$D$24,2,0),"Other"))</f>
        <v/>
      </c>
      <c r="AS77" s="31" t="str">
        <f aca="false">IF($O77="","",$O77&amp;"|"&amp;$B77)</f>
        <v/>
      </c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  <c r="G78" s="6"/>
      <c r="H78" s="6"/>
      <c r="I78" s="23"/>
      <c r="J78" s="23"/>
      <c r="K78" s="23"/>
      <c r="L78" s="6"/>
      <c r="M78" s="6"/>
      <c r="N78" s="24"/>
      <c r="O78" s="25"/>
      <c r="P78" s="23"/>
      <c r="Q78" s="23"/>
      <c r="R78" s="23"/>
      <c r="S78" s="23"/>
      <c r="T78" s="26" t="str">
        <f aca="false">IF(OR($O78="",$D78=""),"",WORKDAY($O78,-IFERROR(VLOOKUP($D78,'Rules &amp; Guardrails'!$A$9:$D$24,3,0),10)))</f>
        <v/>
      </c>
      <c r="U78" s="23"/>
      <c r="V78" s="23"/>
      <c r="W78" s="23"/>
      <c r="X78" s="6"/>
      <c r="Y78" s="23"/>
      <c r="Z78" s="23"/>
      <c r="AA78" s="23"/>
      <c r="AB78" s="23"/>
      <c r="AC78" s="23"/>
      <c r="AD78" s="23"/>
      <c r="AE78" s="23"/>
      <c r="AF78" s="27" t="str">
        <f aca="true">IF($O78="","",IF(OR($AE78="Cancelled",$AE78="On hold",$AE78="Launched"),$AE78,IF(AND($Y78="Approved",OR($Z78="Yes",$Z78="N/A"),OR($AA78="Yes",$AA78="N/A"),OR($AB78="No",$AB78="N/A",AND($AB78="Yes",$AD78="Yes"))),"Ready",IF($O78&lt;TODAY(),"Overdue",IF($O78-TODAY()&lt;='Rules &amp; Guardrails'!$C$5,"At Risk","In Progress")))))</f>
        <v/>
      </c>
      <c r="AG78" s="28" t="str">
        <f aca="false">IF($O78="","",IF(OR($AE78="Launched",$AE78="Cancelled"),"",MID(IF($Y78&lt;&gt;"Approved",", Content approval","")&amp;IF(NOT(OR($Z78="Yes",$Z78="N/A")),", Assets","")&amp;IF(NOT(OR($AA78="Yes",$AA78="N/A")),", List","")&amp;IF($AB78="",", Ops decision",IF(AND($AB78="Yes",$AD78&lt;&gt;"Yes"),", Ops",""))&amp;IF($U78="",", Owner","")&amp;IF($K78="",", Segment",""),3,200)))</f>
        <v/>
      </c>
      <c r="AH78" s="29" t="str">
        <f aca="true">IF($O78="","",$O78-TODAY())</f>
        <v/>
      </c>
      <c r="AI78" s="26" t="str">
        <f aca="false">IF($O78="","",$O78-WEEKDAY($O78,3))</f>
        <v/>
      </c>
      <c r="AJ78" s="30" t="str">
        <f aca="false">IF($O78="","",DATE(YEAR($O78),MONTH($O78),1))</f>
        <v/>
      </c>
      <c r="AK78" s="31" t="str">
        <f aca="false">IF(OR($O78="",$K78=""),"",COUNTIFS('Comms Calendar'!$K$5:$K$504,$K78,'Comms Calendar'!$B$5:$B$504,$B78,'Comms Calendar'!$AI$5:$AI$504,$AI78,'Comms Calendar'!$AE$5:$AE$504,"&lt;&gt;Cancelled"))</f>
        <v/>
      </c>
      <c r="AL78" s="27" t="str">
        <f aca="false">IF($AK78="","",IF($AK78&gt;'Rules &amp; Guardrails'!$C$3,"Over cap","OK"))</f>
        <v/>
      </c>
      <c r="AM78" s="27" t="str">
        <f aca="false">IF(OR($O78="",$K78=""),"",IF(COUNTIFS('Comms Calendar'!$K$5:$K$504,$K78,'Comms Calendar'!$B$5:$B$504,$B78,'Comms Calendar'!$O$5:$O$504,$O78,'Comms Calendar'!$AE$5:$AE$504,"&lt;&gt;Cancelled")&gt;1,"Clash",""))</f>
        <v/>
      </c>
      <c r="AN78" s="27" t="str">
        <f aca="false">IF($O78="","",IF(IF($B78="Global",COUNTIF('Rules &amp; Guardrails'!$F$9:$F$60,$O78),COUNTIFS('Rules &amp; Guardrails'!$F$9:$F$60,$O78,'Rules &amp; Guardrails'!$G$9:$G$60,$B78)+COUNTIFS('Rules &amp; Guardrails'!$F$9:$F$60,$O78,'Rules &amp; Guardrails'!$G$9:$G$60,"Global"))&gt;0,"Blackout",""))</f>
        <v/>
      </c>
      <c r="AO78" s="6"/>
      <c r="AP78" s="25"/>
      <c r="AQ78" s="23"/>
      <c r="AR78" s="31" t="str">
        <f aca="false">IF($D78="","",IFERROR(VLOOKUP($D78,'Rules &amp; Guardrails'!$A$9:$D$24,2,0),"Other"))</f>
        <v/>
      </c>
      <c r="AS78" s="31" t="str">
        <f aca="false">IF($O78="","",$O78&amp;"|"&amp;$B78)</f>
        <v/>
      </c>
    </row>
    <row r="79" customFormat="false" ht="15" hidden="false" customHeight="false" outlineLevel="0" collapsed="false">
      <c r="A79" s="23"/>
      <c r="B79" s="23"/>
      <c r="C79" s="23"/>
      <c r="D79" s="23"/>
      <c r="E79" s="23"/>
      <c r="F79" s="23"/>
      <c r="G79" s="6"/>
      <c r="H79" s="6"/>
      <c r="I79" s="23"/>
      <c r="J79" s="23"/>
      <c r="K79" s="23"/>
      <c r="L79" s="6"/>
      <c r="M79" s="6"/>
      <c r="N79" s="24"/>
      <c r="O79" s="25"/>
      <c r="P79" s="23"/>
      <c r="Q79" s="23"/>
      <c r="R79" s="23"/>
      <c r="S79" s="23"/>
      <c r="T79" s="26" t="str">
        <f aca="false">IF(OR($O79="",$D79=""),"",WORKDAY($O79,-IFERROR(VLOOKUP($D79,'Rules &amp; Guardrails'!$A$9:$D$24,3,0),10)))</f>
        <v/>
      </c>
      <c r="U79" s="23"/>
      <c r="V79" s="23"/>
      <c r="W79" s="23"/>
      <c r="X79" s="6"/>
      <c r="Y79" s="23"/>
      <c r="Z79" s="23"/>
      <c r="AA79" s="23"/>
      <c r="AB79" s="23"/>
      <c r="AC79" s="23"/>
      <c r="AD79" s="23"/>
      <c r="AE79" s="23"/>
      <c r="AF79" s="27" t="str">
        <f aca="true">IF($O79="","",IF(OR($AE79="Cancelled",$AE79="On hold",$AE79="Launched"),$AE79,IF(AND($Y79="Approved",OR($Z79="Yes",$Z79="N/A"),OR($AA79="Yes",$AA79="N/A"),OR($AB79="No",$AB79="N/A",AND($AB79="Yes",$AD79="Yes"))),"Ready",IF($O79&lt;TODAY(),"Overdue",IF($O79-TODAY()&lt;='Rules &amp; Guardrails'!$C$5,"At Risk","In Progress")))))</f>
        <v/>
      </c>
      <c r="AG79" s="28" t="str">
        <f aca="false">IF($O79="","",IF(OR($AE79="Launched",$AE79="Cancelled"),"",MID(IF($Y79&lt;&gt;"Approved",", Content approval","")&amp;IF(NOT(OR($Z79="Yes",$Z79="N/A")),", Assets","")&amp;IF(NOT(OR($AA79="Yes",$AA79="N/A")),", List","")&amp;IF($AB79="",", Ops decision",IF(AND($AB79="Yes",$AD79&lt;&gt;"Yes"),", Ops",""))&amp;IF($U79="",", Owner","")&amp;IF($K79="",", Segment",""),3,200)))</f>
        <v/>
      </c>
      <c r="AH79" s="29" t="str">
        <f aca="true">IF($O79="","",$O79-TODAY())</f>
        <v/>
      </c>
      <c r="AI79" s="26" t="str">
        <f aca="false">IF($O79="","",$O79-WEEKDAY($O79,3))</f>
        <v/>
      </c>
      <c r="AJ79" s="30" t="str">
        <f aca="false">IF($O79="","",DATE(YEAR($O79),MONTH($O79),1))</f>
        <v/>
      </c>
      <c r="AK79" s="31" t="str">
        <f aca="false">IF(OR($O79="",$K79=""),"",COUNTIFS('Comms Calendar'!$K$5:$K$504,$K79,'Comms Calendar'!$B$5:$B$504,$B79,'Comms Calendar'!$AI$5:$AI$504,$AI79,'Comms Calendar'!$AE$5:$AE$504,"&lt;&gt;Cancelled"))</f>
        <v/>
      </c>
      <c r="AL79" s="27" t="str">
        <f aca="false">IF($AK79="","",IF($AK79&gt;'Rules &amp; Guardrails'!$C$3,"Over cap","OK"))</f>
        <v/>
      </c>
      <c r="AM79" s="27" t="str">
        <f aca="false">IF(OR($O79="",$K79=""),"",IF(COUNTIFS('Comms Calendar'!$K$5:$K$504,$K79,'Comms Calendar'!$B$5:$B$504,$B79,'Comms Calendar'!$O$5:$O$504,$O79,'Comms Calendar'!$AE$5:$AE$504,"&lt;&gt;Cancelled")&gt;1,"Clash",""))</f>
        <v/>
      </c>
      <c r="AN79" s="27" t="str">
        <f aca="false">IF($O79="","",IF(IF($B79="Global",COUNTIF('Rules &amp; Guardrails'!$F$9:$F$60,$O79),COUNTIFS('Rules &amp; Guardrails'!$F$9:$F$60,$O79,'Rules &amp; Guardrails'!$G$9:$G$60,$B79)+COUNTIFS('Rules &amp; Guardrails'!$F$9:$F$60,$O79,'Rules &amp; Guardrails'!$G$9:$G$60,"Global"))&gt;0,"Blackout",""))</f>
        <v/>
      </c>
      <c r="AO79" s="6"/>
      <c r="AP79" s="25"/>
      <c r="AQ79" s="23"/>
      <c r="AR79" s="31" t="str">
        <f aca="false">IF($D79="","",IFERROR(VLOOKUP($D79,'Rules &amp; Guardrails'!$A$9:$D$24,2,0),"Other"))</f>
        <v/>
      </c>
      <c r="AS79" s="31" t="str">
        <f aca="false">IF($O79="","",$O79&amp;"|"&amp;$B79)</f>
        <v/>
      </c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  <c r="G80" s="6"/>
      <c r="H80" s="6"/>
      <c r="I80" s="23"/>
      <c r="J80" s="23"/>
      <c r="K80" s="23"/>
      <c r="L80" s="6"/>
      <c r="M80" s="6"/>
      <c r="N80" s="24"/>
      <c r="O80" s="25"/>
      <c r="P80" s="23"/>
      <c r="Q80" s="23"/>
      <c r="R80" s="23"/>
      <c r="S80" s="23"/>
      <c r="T80" s="26" t="str">
        <f aca="false">IF(OR($O80="",$D80=""),"",WORKDAY($O80,-IFERROR(VLOOKUP($D80,'Rules &amp; Guardrails'!$A$9:$D$24,3,0),10)))</f>
        <v/>
      </c>
      <c r="U80" s="23"/>
      <c r="V80" s="23"/>
      <c r="W80" s="23"/>
      <c r="X80" s="6"/>
      <c r="Y80" s="23"/>
      <c r="Z80" s="23"/>
      <c r="AA80" s="23"/>
      <c r="AB80" s="23"/>
      <c r="AC80" s="23"/>
      <c r="AD80" s="23"/>
      <c r="AE80" s="23"/>
      <c r="AF80" s="27" t="str">
        <f aca="true">IF($O80="","",IF(OR($AE80="Cancelled",$AE80="On hold",$AE80="Launched"),$AE80,IF(AND($Y80="Approved",OR($Z80="Yes",$Z80="N/A"),OR($AA80="Yes",$AA80="N/A"),OR($AB80="No",$AB80="N/A",AND($AB80="Yes",$AD80="Yes"))),"Ready",IF($O80&lt;TODAY(),"Overdue",IF($O80-TODAY()&lt;='Rules &amp; Guardrails'!$C$5,"At Risk","In Progress")))))</f>
        <v/>
      </c>
      <c r="AG80" s="28" t="str">
        <f aca="false">IF($O80="","",IF(OR($AE80="Launched",$AE80="Cancelled"),"",MID(IF($Y80&lt;&gt;"Approved",", Content approval","")&amp;IF(NOT(OR($Z80="Yes",$Z80="N/A")),", Assets","")&amp;IF(NOT(OR($AA80="Yes",$AA80="N/A")),", List","")&amp;IF($AB80="",", Ops decision",IF(AND($AB80="Yes",$AD80&lt;&gt;"Yes"),", Ops",""))&amp;IF($U80="",", Owner","")&amp;IF($K80="",", Segment",""),3,200)))</f>
        <v/>
      </c>
      <c r="AH80" s="29" t="str">
        <f aca="true">IF($O80="","",$O80-TODAY())</f>
        <v/>
      </c>
      <c r="AI80" s="26" t="str">
        <f aca="false">IF($O80="","",$O80-WEEKDAY($O80,3))</f>
        <v/>
      </c>
      <c r="AJ80" s="30" t="str">
        <f aca="false">IF($O80="","",DATE(YEAR($O80),MONTH($O80),1))</f>
        <v/>
      </c>
      <c r="AK80" s="31" t="str">
        <f aca="false">IF(OR($O80="",$K80=""),"",COUNTIFS('Comms Calendar'!$K$5:$K$504,$K80,'Comms Calendar'!$B$5:$B$504,$B80,'Comms Calendar'!$AI$5:$AI$504,$AI80,'Comms Calendar'!$AE$5:$AE$504,"&lt;&gt;Cancelled"))</f>
        <v/>
      </c>
      <c r="AL80" s="27" t="str">
        <f aca="false">IF($AK80="","",IF($AK80&gt;'Rules &amp; Guardrails'!$C$3,"Over cap","OK"))</f>
        <v/>
      </c>
      <c r="AM80" s="27" t="str">
        <f aca="false">IF(OR($O80="",$K80=""),"",IF(COUNTIFS('Comms Calendar'!$K$5:$K$504,$K80,'Comms Calendar'!$B$5:$B$504,$B80,'Comms Calendar'!$O$5:$O$504,$O80,'Comms Calendar'!$AE$5:$AE$504,"&lt;&gt;Cancelled")&gt;1,"Clash",""))</f>
        <v/>
      </c>
      <c r="AN80" s="27" t="str">
        <f aca="false">IF($O80="","",IF(IF($B80="Global",COUNTIF('Rules &amp; Guardrails'!$F$9:$F$60,$O80),COUNTIFS('Rules &amp; Guardrails'!$F$9:$F$60,$O80,'Rules &amp; Guardrails'!$G$9:$G$60,$B80)+COUNTIFS('Rules &amp; Guardrails'!$F$9:$F$60,$O80,'Rules &amp; Guardrails'!$G$9:$G$60,"Global"))&gt;0,"Blackout",""))</f>
        <v/>
      </c>
      <c r="AO80" s="6"/>
      <c r="AP80" s="25"/>
      <c r="AQ80" s="23"/>
      <c r="AR80" s="31" t="str">
        <f aca="false">IF($D80="","",IFERROR(VLOOKUP($D80,'Rules &amp; Guardrails'!$A$9:$D$24,2,0),"Other"))</f>
        <v/>
      </c>
      <c r="AS80" s="31" t="str">
        <f aca="false">IF($O80="","",$O80&amp;"|"&amp;$B80)</f>
        <v/>
      </c>
    </row>
    <row r="81" customFormat="false" ht="15" hidden="false" customHeight="false" outlineLevel="0" collapsed="false">
      <c r="A81" s="23"/>
      <c r="B81" s="23"/>
      <c r="C81" s="23"/>
      <c r="D81" s="23"/>
      <c r="E81" s="23"/>
      <c r="F81" s="23"/>
      <c r="G81" s="6"/>
      <c r="H81" s="6"/>
      <c r="I81" s="23"/>
      <c r="J81" s="23"/>
      <c r="K81" s="23"/>
      <c r="L81" s="6"/>
      <c r="M81" s="6"/>
      <c r="N81" s="24"/>
      <c r="O81" s="25"/>
      <c r="P81" s="23"/>
      <c r="Q81" s="23"/>
      <c r="R81" s="23"/>
      <c r="S81" s="23"/>
      <c r="T81" s="26" t="str">
        <f aca="false">IF(OR($O81="",$D81=""),"",WORKDAY($O81,-IFERROR(VLOOKUP($D81,'Rules &amp; Guardrails'!$A$9:$D$24,3,0),10)))</f>
        <v/>
      </c>
      <c r="U81" s="23"/>
      <c r="V81" s="23"/>
      <c r="W81" s="23"/>
      <c r="X81" s="6"/>
      <c r="Y81" s="23"/>
      <c r="Z81" s="23"/>
      <c r="AA81" s="23"/>
      <c r="AB81" s="23"/>
      <c r="AC81" s="23"/>
      <c r="AD81" s="23"/>
      <c r="AE81" s="23"/>
      <c r="AF81" s="27" t="str">
        <f aca="true">IF($O81="","",IF(OR($AE81="Cancelled",$AE81="On hold",$AE81="Launched"),$AE81,IF(AND($Y81="Approved",OR($Z81="Yes",$Z81="N/A"),OR($AA81="Yes",$AA81="N/A"),OR($AB81="No",$AB81="N/A",AND($AB81="Yes",$AD81="Yes"))),"Ready",IF($O81&lt;TODAY(),"Overdue",IF($O81-TODAY()&lt;='Rules &amp; Guardrails'!$C$5,"At Risk","In Progress")))))</f>
        <v/>
      </c>
      <c r="AG81" s="28" t="str">
        <f aca="false">IF($O81="","",IF(OR($AE81="Launched",$AE81="Cancelled"),"",MID(IF($Y81&lt;&gt;"Approved",", Content approval","")&amp;IF(NOT(OR($Z81="Yes",$Z81="N/A")),", Assets","")&amp;IF(NOT(OR($AA81="Yes",$AA81="N/A")),", List","")&amp;IF($AB81="",", Ops decision",IF(AND($AB81="Yes",$AD81&lt;&gt;"Yes"),", Ops",""))&amp;IF($U81="",", Owner","")&amp;IF($K81="",", Segment",""),3,200)))</f>
        <v/>
      </c>
      <c r="AH81" s="29" t="str">
        <f aca="true">IF($O81="","",$O81-TODAY())</f>
        <v/>
      </c>
      <c r="AI81" s="26" t="str">
        <f aca="false">IF($O81="","",$O81-WEEKDAY($O81,3))</f>
        <v/>
      </c>
      <c r="AJ81" s="30" t="str">
        <f aca="false">IF($O81="","",DATE(YEAR($O81),MONTH($O81),1))</f>
        <v/>
      </c>
      <c r="AK81" s="31" t="str">
        <f aca="false">IF(OR($O81="",$K81=""),"",COUNTIFS('Comms Calendar'!$K$5:$K$504,$K81,'Comms Calendar'!$B$5:$B$504,$B81,'Comms Calendar'!$AI$5:$AI$504,$AI81,'Comms Calendar'!$AE$5:$AE$504,"&lt;&gt;Cancelled"))</f>
        <v/>
      </c>
      <c r="AL81" s="27" t="str">
        <f aca="false">IF($AK81="","",IF($AK81&gt;'Rules &amp; Guardrails'!$C$3,"Over cap","OK"))</f>
        <v/>
      </c>
      <c r="AM81" s="27" t="str">
        <f aca="false">IF(OR($O81="",$K81=""),"",IF(COUNTIFS('Comms Calendar'!$K$5:$K$504,$K81,'Comms Calendar'!$B$5:$B$504,$B81,'Comms Calendar'!$O$5:$O$504,$O81,'Comms Calendar'!$AE$5:$AE$504,"&lt;&gt;Cancelled")&gt;1,"Clash",""))</f>
        <v/>
      </c>
      <c r="AN81" s="27" t="str">
        <f aca="false">IF($O81="","",IF(IF($B81="Global",COUNTIF('Rules &amp; Guardrails'!$F$9:$F$60,$O81),COUNTIFS('Rules &amp; Guardrails'!$F$9:$F$60,$O81,'Rules &amp; Guardrails'!$G$9:$G$60,$B81)+COUNTIFS('Rules &amp; Guardrails'!$F$9:$F$60,$O81,'Rules &amp; Guardrails'!$G$9:$G$60,"Global"))&gt;0,"Blackout",""))</f>
        <v/>
      </c>
      <c r="AO81" s="6"/>
      <c r="AP81" s="25"/>
      <c r="AQ81" s="23"/>
      <c r="AR81" s="31" t="str">
        <f aca="false">IF($D81="","",IFERROR(VLOOKUP($D81,'Rules &amp; Guardrails'!$A$9:$D$24,2,0),"Other"))</f>
        <v/>
      </c>
      <c r="AS81" s="31" t="str">
        <f aca="false">IF($O81="","",$O81&amp;"|"&amp;$B81)</f>
        <v/>
      </c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  <c r="G82" s="6"/>
      <c r="H82" s="6"/>
      <c r="I82" s="23"/>
      <c r="J82" s="23"/>
      <c r="K82" s="23"/>
      <c r="L82" s="6"/>
      <c r="M82" s="6"/>
      <c r="N82" s="24"/>
      <c r="O82" s="25"/>
      <c r="P82" s="23"/>
      <c r="Q82" s="23"/>
      <c r="R82" s="23"/>
      <c r="S82" s="23"/>
      <c r="T82" s="26" t="str">
        <f aca="false">IF(OR($O82="",$D82=""),"",WORKDAY($O82,-IFERROR(VLOOKUP($D82,'Rules &amp; Guardrails'!$A$9:$D$24,3,0),10)))</f>
        <v/>
      </c>
      <c r="U82" s="23"/>
      <c r="V82" s="23"/>
      <c r="W82" s="23"/>
      <c r="X82" s="6"/>
      <c r="Y82" s="23"/>
      <c r="Z82" s="23"/>
      <c r="AA82" s="23"/>
      <c r="AB82" s="23"/>
      <c r="AC82" s="23"/>
      <c r="AD82" s="23"/>
      <c r="AE82" s="23"/>
      <c r="AF82" s="27" t="str">
        <f aca="true">IF($O82="","",IF(OR($AE82="Cancelled",$AE82="On hold",$AE82="Launched"),$AE82,IF(AND($Y82="Approved",OR($Z82="Yes",$Z82="N/A"),OR($AA82="Yes",$AA82="N/A"),OR($AB82="No",$AB82="N/A",AND($AB82="Yes",$AD82="Yes"))),"Ready",IF($O82&lt;TODAY(),"Overdue",IF($O82-TODAY()&lt;='Rules &amp; Guardrails'!$C$5,"At Risk","In Progress")))))</f>
        <v/>
      </c>
      <c r="AG82" s="28" t="str">
        <f aca="false">IF($O82="","",IF(OR($AE82="Launched",$AE82="Cancelled"),"",MID(IF($Y82&lt;&gt;"Approved",", Content approval","")&amp;IF(NOT(OR($Z82="Yes",$Z82="N/A")),", Assets","")&amp;IF(NOT(OR($AA82="Yes",$AA82="N/A")),", List","")&amp;IF($AB82="",", Ops decision",IF(AND($AB82="Yes",$AD82&lt;&gt;"Yes"),", Ops",""))&amp;IF($U82="",", Owner","")&amp;IF($K82="",", Segment",""),3,200)))</f>
        <v/>
      </c>
      <c r="AH82" s="29" t="str">
        <f aca="true">IF($O82="","",$O82-TODAY())</f>
        <v/>
      </c>
      <c r="AI82" s="26" t="str">
        <f aca="false">IF($O82="","",$O82-WEEKDAY($O82,3))</f>
        <v/>
      </c>
      <c r="AJ82" s="30" t="str">
        <f aca="false">IF($O82="","",DATE(YEAR($O82),MONTH($O82),1))</f>
        <v/>
      </c>
      <c r="AK82" s="31" t="str">
        <f aca="false">IF(OR($O82="",$K82=""),"",COUNTIFS('Comms Calendar'!$K$5:$K$504,$K82,'Comms Calendar'!$B$5:$B$504,$B82,'Comms Calendar'!$AI$5:$AI$504,$AI82,'Comms Calendar'!$AE$5:$AE$504,"&lt;&gt;Cancelled"))</f>
        <v/>
      </c>
      <c r="AL82" s="27" t="str">
        <f aca="false">IF($AK82="","",IF($AK82&gt;'Rules &amp; Guardrails'!$C$3,"Over cap","OK"))</f>
        <v/>
      </c>
      <c r="AM82" s="27" t="str">
        <f aca="false">IF(OR($O82="",$K82=""),"",IF(COUNTIFS('Comms Calendar'!$K$5:$K$504,$K82,'Comms Calendar'!$B$5:$B$504,$B82,'Comms Calendar'!$O$5:$O$504,$O82,'Comms Calendar'!$AE$5:$AE$504,"&lt;&gt;Cancelled")&gt;1,"Clash",""))</f>
        <v/>
      </c>
      <c r="AN82" s="27" t="str">
        <f aca="false">IF($O82="","",IF(IF($B82="Global",COUNTIF('Rules &amp; Guardrails'!$F$9:$F$60,$O82),COUNTIFS('Rules &amp; Guardrails'!$F$9:$F$60,$O82,'Rules &amp; Guardrails'!$G$9:$G$60,$B82)+COUNTIFS('Rules &amp; Guardrails'!$F$9:$F$60,$O82,'Rules &amp; Guardrails'!$G$9:$G$60,"Global"))&gt;0,"Blackout",""))</f>
        <v/>
      </c>
      <c r="AO82" s="6"/>
      <c r="AP82" s="25"/>
      <c r="AQ82" s="23"/>
      <c r="AR82" s="31" t="str">
        <f aca="false">IF($D82="","",IFERROR(VLOOKUP($D82,'Rules &amp; Guardrails'!$A$9:$D$24,2,0),"Other"))</f>
        <v/>
      </c>
      <c r="AS82" s="31" t="str">
        <f aca="false">IF($O82="","",$O82&amp;"|"&amp;$B82)</f>
        <v/>
      </c>
    </row>
    <row r="83" customFormat="false" ht="15" hidden="false" customHeight="false" outlineLevel="0" collapsed="false">
      <c r="A83" s="23"/>
      <c r="B83" s="23"/>
      <c r="C83" s="23"/>
      <c r="D83" s="23"/>
      <c r="E83" s="23"/>
      <c r="F83" s="23"/>
      <c r="G83" s="6"/>
      <c r="H83" s="6"/>
      <c r="I83" s="23"/>
      <c r="J83" s="23"/>
      <c r="K83" s="23"/>
      <c r="L83" s="6"/>
      <c r="M83" s="6"/>
      <c r="N83" s="24"/>
      <c r="O83" s="25"/>
      <c r="P83" s="23"/>
      <c r="Q83" s="23"/>
      <c r="R83" s="23"/>
      <c r="S83" s="23"/>
      <c r="T83" s="26" t="str">
        <f aca="false">IF(OR($O83="",$D83=""),"",WORKDAY($O83,-IFERROR(VLOOKUP($D83,'Rules &amp; Guardrails'!$A$9:$D$24,3,0),10)))</f>
        <v/>
      </c>
      <c r="U83" s="23"/>
      <c r="V83" s="23"/>
      <c r="W83" s="23"/>
      <c r="X83" s="6"/>
      <c r="Y83" s="23"/>
      <c r="Z83" s="23"/>
      <c r="AA83" s="23"/>
      <c r="AB83" s="23"/>
      <c r="AC83" s="23"/>
      <c r="AD83" s="23"/>
      <c r="AE83" s="23"/>
      <c r="AF83" s="27" t="str">
        <f aca="true">IF($O83="","",IF(OR($AE83="Cancelled",$AE83="On hold",$AE83="Launched"),$AE83,IF(AND($Y83="Approved",OR($Z83="Yes",$Z83="N/A"),OR($AA83="Yes",$AA83="N/A"),OR($AB83="No",$AB83="N/A",AND($AB83="Yes",$AD83="Yes"))),"Ready",IF($O83&lt;TODAY(),"Overdue",IF($O83-TODAY()&lt;='Rules &amp; Guardrails'!$C$5,"At Risk","In Progress")))))</f>
        <v/>
      </c>
      <c r="AG83" s="28" t="str">
        <f aca="false">IF($O83="","",IF(OR($AE83="Launched",$AE83="Cancelled"),"",MID(IF($Y83&lt;&gt;"Approved",", Content approval","")&amp;IF(NOT(OR($Z83="Yes",$Z83="N/A")),", Assets","")&amp;IF(NOT(OR($AA83="Yes",$AA83="N/A")),", List","")&amp;IF($AB83="",", Ops decision",IF(AND($AB83="Yes",$AD83&lt;&gt;"Yes"),", Ops",""))&amp;IF($U83="",", Owner","")&amp;IF($K83="",", Segment",""),3,200)))</f>
        <v/>
      </c>
      <c r="AH83" s="29" t="str">
        <f aca="true">IF($O83="","",$O83-TODAY())</f>
        <v/>
      </c>
      <c r="AI83" s="26" t="str">
        <f aca="false">IF($O83="","",$O83-WEEKDAY($O83,3))</f>
        <v/>
      </c>
      <c r="AJ83" s="30" t="str">
        <f aca="false">IF($O83="","",DATE(YEAR($O83),MONTH($O83),1))</f>
        <v/>
      </c>
      <c r="AK83" s="31" t="str">
        <f aca="false">IF(OR($O83="",$K83=""),"",COUNTIFS('Comms Calendar'!$K$5:$K$504,$K83,'Comms Calendar'!$B$5:$B$504,$B83,'Comms Calendar'!$AI$5:$AI$504,$AI83,'Comms Calendar'!$AE$5:$AE$504,"&lt;&gt;Cancelled"))</f>
        <v/>
      </c>
      <c r="AL83" s="27" t="str">
        <f aca="false">IF($AK83="","",IF($AK83&gt;'Rules &amp; Guardrails'!$C$3,"Over cap","OK"))</f>
        <v/>
      </c>
      <c r="AM83" s="27" t="str">
        <f aca="false">IF(OR($O83="",$K83=""),"",IF(COUNTIFS('Comms Calendar'!$K$5:$K$504,$K83,'Comms Calendar'!$B$5:$B$504,$B83,'Comms Calendar'!$O$5:$O$504,$O83,'Comms Calendar'!$AE$5:$AE$504,"&lt;&gt;Cancelled")&gt;1,"Clash",""))</f>
        <v/>
      </c>
      <c r="AN83" s="27" t="str">
        <f aca="false">IF($O83="","",IF(IF($B83="Global",COUNTIF('Rules &amp; Guardrails'!$F$9:$F$60,$O83),COUNTIFS('Rules &amp; Guardrails'!$F$9:$F$60,$O83,'Rules &amp; Guardrails'!$G$9:$G$60,$B83)+COUNTIFS('Rules &amp; Guardrails'!$F$9:$F$60,$O83,'Rules &amp; Guardrails'!$G$9:$G$60,"Global"))&gt;0,"Blackout",""))</f>
        <v/>
      </c>
      <c r="AO83" s="6"/>
      <c r="AP83" s="25"/>
      <c r="AQ83" s="23"/>
      <c r="AR83" s="31" t="str">
        <f aca="false">IF($D83="","",IFERROR(VLOOKUP($D83,'Rules &amp; Guardrails'!$A$9:$D$24,2,0),"Other"))</f>
        <v/>
      </c>
      <c r="AS83" s="31" t="str">
        <f aca="false">IF($O83="","",$O83&amp;"|"&amp;$B83)</f>
        <v/>
      </c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  <c r="G84" s="6"/>
      <c r="H84" s="6"/>
      <c r="I84" s="23"/>
      <c r="J84" s="23"/>
      <c r="K84" s="23"/>
      <c r="L84" s="6"/>
      <c r="M84" s="6"/>
      <c r="N84" s="24"/>
      <c r="O84" s="25"/>
      <c r="P84" s="23"/>
      <c r="Q84" s="23"/>
      <c r="R84" s="23"/>
      <c r="S84" s="23"/>
      <c r="T84" s="26" t="str">
        <f aca="false">IF(OR($O84="",$D84=""),"",WORKDAY($O84,-IFERROR(VLOOKUP($D84,'Rules &amp; Guardrails'!$A$9:$D$24,3,0),10)))</f>
        <v/>
      </c>
      <c r="U84" s="23"/>
      <c r="V84" s="23"/>
      <c r="W84" s="23"/>
      <c r="X84" s="6"/>
      <c r="Y84" s="23"/>
      <c r="Z84" s="23"/>
      <c r="AA84" s="23"/>
      <c r="AB84" s="23"/>
      <c r="AC84" s="23"/>
      <c r="AD84" s="23"/>
      <c r="AE84" s="23"/>
      <c r="AF84" s="27" t="str">
        <f aca="true">IF($O84="","",IF(OR($AE84="Cancelled",$AE84="On hold",$AE84="Launched"),$AE84,IF(AND($Y84="Approved",OR($Z84="Yes",$Z84="N/A"),OR($AA84="Yes",$AA84="N/A"),OR($AB84="No",$AB84="N/A",AND($AB84="Yes",$AD84="Yes"))),"Ready",IF($O84&lt;TODAY(),"Overdue",IF($O84-TODAY()&lt;='Rules &amp; Guardrails'!$C$5,"At Risk","In Progress")))))</f>
        <v/>
      </c>
      <c r="AG84" s="28" t="str">
        <f aca="false">IF($O84="","",IF(OR($AE84="Launched",$AE84="Cancelled"),"",MID(IF($Y84&lt;&gt;"Approved",", Content approval","")&amp;IF(NOT(OR($Z84="Yes",$Z84="N/A")),", Assets","")&amp;IF(NOT(OR($AA84="Yes",$AA84="N/A")),", List","")&amp;IF($AB84="",", Ops decision",IF(AND($AB84="Yes",$AD84&lt;&gt;"Yes"),", Ops",""))&amp;IF($U84="",", Owner","")&amp;IF($K84="",", Segment",""),3,200)))</f>
        <v/>
      </c>
      <c r="AH84" s="29" t="str">
        <f aca="true">IF($O84="","",$O84-TODAY())</f>
        <v/>
      </c>
      <c r="AI84" s="26" t="str">
        <f aca="false">IF($O84="","",$O84-WEEKDAY($O84,3))</f>
        <v/>
      </c>
      <c r="AJ84" s="30" t="str">
        <f aca="false">IF($O84="","",DATE(YEAR($O84),MONTH($O84),1))</f>
        <v/>
      </c>
      <c r="AK84" s="31" t="str">
        <f aca="false">IF(OR($O84="",$K84=""),"",COUNTIFS('Comms Calendar'!$K$5:$K$504,$K84,'Comms Calendar'!$B$5:$B$504,$B84,'Comms Calendar'!$AI$5:$AI$504,$AI84,'Comms Calendar'!$AE$5:$AE$504,"&lt;&gt;Cancelled"))</f>
        <v/>
      </c>
      <c r="AL84" s="27" t="str">
        <f aca="false">IF($AK84="","",IF($AK84&gt;'Rules &amp; Guardrails'!$C$3,"Over cap","OK"))</f>
        <v/>
      </c>
      <c r="AM84" s="27" t="str">
        <f aca="false">IF(OR($O84="",$K84=""),"",IF(COUNTIFS('Comms Calendar'!$K$5:$K$504,$K84,'Comms Calendar'!$B$5:$B$504,$B84,'Comms Calendar'!$O$5:$O$504,$O84,'Comms Calendar'!$AE$5:$AE$504,"&lt;&gt;Cancelled")&gt;1,"Clash",""))</f>
        <v/>
      </c>
      <c r="AN84" s="27" t="str">
        <f aca="false">IF($O84="","",IF(IF($B84="Global",COUNTIF('Rules &amp; Guardrails'!$F$9:$F$60,$O84),COUNTIFS('Rules &amp; Guardrails'!$F$9:$F$60,$O84,'Rules &amp; Guardrails'!$G$9:$G$60,$B84)+COUNTIFS('Rules &amp; Guardrails'!$F$9:$F$60,$O84,'Rules &amp; Guardrails'!$G$9:$G$60,"Global"))&gt;0,"Blackout",""))</f>
        <v/>
      </c>
      <c r="AO84" s="6"/>
      <c r="AP84" s="25"/>
      <c r="AQ84" s="23"/>
      <c r="AR84" s="31" t="str">
        <f aca="false">IF($D84="","",IFERROR(VLOOKUP($D84,'Rules &amp; Guardrails'!$A$9:$D$24,2,0),"Other"))</f>
        <v/>
      </c>
      <c r="AS84" s="31" t="str">
        <f aca="false">IF($O84="","",$O84&amp;"|"&amp;$B84)</f>
        <v/>
      </c>
    </row>
    <row r="85" customFormat="false" ht="15" hidden="false" customHeight="false" outlineLevel="0" collapsed="false">
      <c r="A85" s="23"/>
      <c r="B85" s="23"/>
      <c r="C85" s="23"/>
      <c r="D85" s="23"/>
      <c r="E85" s="23"/>
      <c r="F85" s="23"/>
      <c r="G85" s="6"/>
      <c r="H85" s="6"/>
      <c r="I85" s="23"/>
      <c r="J85" s="23"/>
      <c r="K85" s="23"/>
      <c r="L85" s="6"/>
      <c r="M85" s="6"/>
      <c r="N85" s="24"/>
      <c r="O85" s="25"/>
      <c r="P85" s="23"/>
      <c r="Q85" s="23"/>
      <c r="R85" s="23"/>
      <c r="S85" s="23"/>
      <c r="T85" s="26" t="str">
        <f aca="false">IF(OR($O85="",$D85=""),"",WORKDAY($O85,-IFERROR(VLOOKUP($D85,'Rules &amp; Guardrails'!$A$9:$D$24,3,0),10)))</f>
        <v/>
      </c>
      <c r="U85" s="23"/>
      <c r="V85" s="23"/>
      <c r="W85" s="23"/>
      <c r="X85" s="6"/>
      <c r="Y85" s="23"/>
      <c r="Z85" s="23"/>
      <c r="AA85" s="23"/>
      <c r="AB85" s="23"/>
      <c r="AC85" s="23"/>
      <c r="AD85" s="23"/>
      <c r="AE85" s="23"/>
      <c r="AF85" s="27" t="str">
        <f aca="true">IF($O85="","",IF(OR($AE85="Cancelled",$AE85="On hold",$AE85="Launched"),$AE85,IF(AND($Y85="Approved",OR($Z85="Yes",$Z85="N/A"),OR($AA85="Yes",$AA85="N/A"),OR($AB85="No",$AB85="N/A",AND($AB85="Yes",$AD85="Yes"))),"Ready",IF($O85&lt;TODAY(),"Overdue",IF($O85-TODAY()&lt;='Rules &amp; Guardrails'!$C$5,"At Risk","In Progress")))))</f>
        <v/>
      </c>
      <c r="AG85" s="28" t="str">
        <f aca="false">IF($O85="","",IF(OR($AE85="Launched",$AE85="Cancelled"),"",MID(IF($Y85&lt;&gt;"Approved",", Content approval","")&amp;IF(NOT(OR($Z85="Yes",$Z85="N/A")),", Assets","")&amp;IF(NOT(OR($AA85="Yes",$AA85="N/A")),", List","")&amp;IF($AB85="",", Ops decision",IF(AND($AB85="Yes",$AD85&lt;&gt;"Yes"),", Ops",""))&amp;IF($U85="",", Owner","")&amp;IF($K85="",", Segment",""),3,200)))</f>
        <v/>
      </c>
      <c r="AH85" s="29" t="str">
        <f aca="true">IF($O85="","",$O85-TODAY())</f>
        <v/>
      </c>
      <c r="AI85" s="26" t="str">
        <f aca="false">IF($O85="","",$O85-WEEKDAY($O85,3))</f>
        <v/>
      </c>
      <c r="AJ85" s="30" t="str">
        <f aca="false">IF($O85="","",DATE(YEAR($O85),MONTH($O85),1))</f>
        <v/>
      </c>
      <c r="AK85" s="31" t="str">
        <f aca="false">IF(OR($O85="",$K85=""),"",COUNTIFS('Comms Calendar'!$K$5:$K$504,$K85,'Comms Calendar'!$B$5:$B$504,$B85,'Comms Calendar'!$AI$5:$AI$504,$AI85,'Comms Calendar'!$AE$5:$AE$504,"&lt;&gt;Cancelled"))</f>
        <v/>
      </c>
      <c r="AL85" s="27" t="str">
        <f aca="false">IF($AK85="","",IF($AK85&gt;'Rules &amp; Guardrails'!$C$3,"Over cap","OK"))</f>
        <v/>
      </c>
      <c r="AM85" s="27" t="str">
        <f aca="false">IF(OR($O85="",$K85=""),"",IF(COUNTIFS('Comms Calendar'!$K$5:$K$504,$K85,'Comms Calendar'!$B$5:$B$504,$B85,'Comms Calendar'!$O$5:$O$504,$O85,'Comms Calendar'!$AE$5:$AE$504,"&lt;&gt;Cancelled")&gt;1,"Clash",""))</f>
        <v/>
      </c>
      <c r="AN85" s="27" t="str">
        <f aca="false">IF($O85="","",IF(IF($B85="Global",COUNTIF('Rules &amp; Guardrails'!$F$9:$F$60,$O85),COUNTIFS('Rules &amp; Guardrails'!$F$9:$F$60,$O85,'Rules &amp; Guardrails'!$G$9:$G$60,$B85)+COUNTIFS('Rules &amp; Guardrails'!$F$9:$F$60,$O85,'Rules &amp; Guardrails'!$G$9:$G$60,"Global"))&gt;0,"Blackout",""))</f>
        <v/>
      </c>
      <c r="AO85" s="6"/>
      <c r="AP85" s="25"/>
      <c r="AQ85" s="23"/>
      <c r="AR85" s="31" t="str">
        <f aca="false">IF($D85="","",IFERROR(VLOOKUP($D85,'Rules &amp; Guardrails'!$A$9:$D$24,2,0),"Other"))</f>
        <v/>
      </c>
      <c r="AS85" s="31" t="str">
        <f aca="false">IF($O85="","",$O85&amp;"|"&amp;$B85)</f>
        <v/>
      </c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  <c r="G86" s="6"/>
      <c r="H86" s="6"/>
      <c r="I86" s="23"/>
      <c r="J86" s="23"/>
      <c r="K86" s="23"/>
      <c r="L86" s="6"/>
      <c r="M86" s="6"/>
      <c r="N86" s="24"/>
      <c r="O86" s="25"/>
      <c r="P86" s="23"/>
      <c r="Q86" s="23"/>
      <c r="R86" s="23"/>
      <c r="S86" s="23"/>
      <c r="T86" s="26" t="str">
        <f aca="false">IF(OR($O86="",$D86=""),"",WORKDAY($O86,-IFERROR(VLOOKUP($D86,'Rules &amp; Guardrails'!$A$9:$D$24,3,0),10)))</f>
        <v/>
      </c>
      <c r="U86" s="23"/>
      <c r="V86" s="23"/>
      <c r="W86" s="23"/>
      <c r="X86" s="6"/>
      <c r="Y86" s="23"/>
      <c r="Z86" s="23"/>
      <c r="AA86" s="23"/>
      <c r="AB86" s="23"/>
      <c r="AC86" s="23"/>
      <c r="AD86" s="23"/>
      <c r="AE86" s="23"/>
      <c r="AF86" s="27" t="str">
        <f aca="true">IF($O86="","",IF(OR($AE86="Cancelled",$AE86="On hold",$AE86="Launched"),$AE86,IF(AND($Y86="Approved",OR($Z86="Yes",$Z86="N/A"),OR($AA86="Yes",$AA86="N/A"),OR($AB86="No",$AB86="N/A",AND($AB86="Yes",$AD86="Yes"))),"Ready",IF($O86&lt;TODAY(),"Overdue",IF($O86-TODAY()&lt;='Rules &amp; Guardrails'!$C$5,"At Risk","In Progress")))))</f>
        <v/>
      </c>
      <c r="AG86" s="28" t="str">
        <f aca="false">IF($O86="","",IF(OR($AE86="Launched",$AE86="Cancelled"),"",MID(IF($Y86&lt;&gt;"Approved",", Content approval","")&amp;IF(NOT(OR($Z86="Yes",$Z86="N/A")),", Assets","")&amp;IF(NOT(OR($AA86="Yes",$AA86="N/A")),", List","")&amp;IF($AB86="",", Ops decision",IF(AND($AB86="Yes",$AD86&lt;&gt;"Yes"),", Ops",""))&amp;IF($U86="",", Owner","")&amp;IF($K86="",", Segment",""),3,200)))</f>
        <v/>
      </c>
      <c r="AH86" s="29" t="str">
        <f aca="true">IF($O86="","",$O86-TODAY())</f>
        <v/>
      </c>
      <c r="AI86" s="26" t="str">
        <f aca="false">IF($O86="","",$O86-WEEKDAY($O86,3))</f>
        <v/>
      </c>
      <c r="AJ86" s="30" t="str">
        <f aca="false">IF($O86="","",DATE(YEAR($O86),MONTH($O86),1))</f>
        <v/>
      </c>
      <c r="AK86" s="31" t="str">
        <f aca="false">IF(OR($O86="",$K86=""),"",COUNTIFS('Comms Calendar'!$K$5:$K$504,$K86,'Comms Calendar'!$B$5:$B$504,$B86,'Comms Calendar'!$AI$5:$AI$504,$AI86,'Comms Calendar'!$AE$5:$AE$504,"&lt;&gt;Cancelled"))</f>
        <v/>
      </c>
      <c r="AL86" s="27" t="str">
        <f aca="false">IF($AK86="","",IF($AK86&gt;'Rules &amp; Guardrails'!$C$3,"Over cap","OK"))</f>
        <v/>
      </c>
      <c r="AM86" s="27" t="str">
        <f aca="false">IF(OR($O86="",$K86=""),"",IF(COUNTIFS('Comms Calendar'!$K$5:$K$504,$K86,'Comms Calendar'!$B$5:$B$504,$B86,'Comms Calendar'!$O$5:$O$504,$O86,'Comms Calendar'!$AE$5:$AE$504,"&lt;&gt;Cancelled")&gt;1,"Clash",""))</f>
        <v/>
      </c>
      <c r="AN86" s="27" t="str">
        <f aca="false">IF($O86="","",IF(IF($B86="Global",COUNTIF('Rules &amp; Guardrails'!$F$9:$F$60,$O86),COUNTIFS('Rules &amp; Guardrails'!$F$9:$F$60,$O86,'Rules &amp; Guardrails'!$G$9:$G$60,$B86)+COUNTIFS('Rules &amp; Guardrails'!$F$9:$F$60,$O86,'Rules &amp; Guardrails'!$G$9:$G$60,"Global"))&gt;0,"Blackout",""))</f>
        <v/>
      </c>
      <c r="AO86" s="6"/>
      <c r="AP86" s="25"/>
      <c r="AQ86" s="23"/>
      <c r="AR86" s="31" t="str">
        <f aca="false">IF($D86="","",IFERROR(VLOOKUP($D86,'Rules &amp; Guardrails'!$A$9:$D$24,2,0),"Other"))</f>
        <v/>
      </c>
      <c r="AS86" s="31" t="str">
        <f aca="false">IF($O86="","",$O86&amp;"|"&amp;$B86)</f>
        <v/>
      </c>
    </row>
    <row r="87" customFormat="false" ht="15" hidden="false" customHeight="false" outlineLevel="0" collapsed="false">
      <c r="A87" s="23"/>
      <c r="B87" s="23"/>
      <c r="C87" s="23"/>
      <c r="D87" s="23"/>
      <c r="E87" s="23"/>
      <c r="F87" s="23"/>
      <c r="G87" s="6"/>
      <c r="H87" s="6"/>
      <c r="I87" s="23"/>
      <c r="J87" s="23"/>
      <c r="K87" s="23"/>
      <c r="L87" s="6"/>
      <c r="M87" s="6"/>
      <c r="N87" s="24"/>
      <c r="O87" s="25"/>
      <c r="P87" s="23"/>
      <c r="Q87" s="23"/>
      <c r="R87" s="23"/>
      <c r="S87" s="23"/>
      <c r="T87" s="26" t="str">
        <f aca="false">IF(OR($O87="",$D87=""),"",WORKDAY($O87,-IFERROR(VLOOKUP($D87,'Rules &amp; Guardrails'!$A$9:$D$24,3,0),10)))</f>
        <v/>
      </c>
      <c r="U87" s="23"/>
      <c r="V87" s="23"/>
      <c r="W87" s="23"/>
      <c r="X87" s="6"/>
      <c r="Y87" s="23"/>
      <c r="Z87" s="23"/>
      <c r="AA87" s="23"/>
      <c r="AB87" s="23"/>
      <c r="AC87" s="23"/>
      <c r="AD87" s="23"/>
      <c r="AE87" s="23"/>
      <c r="AF87" s="27" t="str">
        <f aca="true">IF($O87="","",IF(OR($AE87="Cancelled",$AE87="On hold",$AE87="Launched"),$AE87,IF(AND($Y87="Approved",OR($Z87="Yes",$Z87="N/A"),OR($AA87="Yes",$AA87="N/A"),OR($AB87="No",$AB87="N/A",AND($AB87="Yes",$AD87="Yes"))),"Ready",IF($O87&lt;TODAY(),"Overdue",IF($O87-TODAY()&lt;='Rules &amp; Guardrails'!$C$5,"At Risk","In Progress")))))</f>
        <v/>
      </c>
      <c r="AG87" s="28" t="str">
        <f aca="false">IF($O87="","",IF(OR($AE87="Launched",$AE87="Cancelled"),"",MID(IF($Y87&lt;&gt;"Approved",", Content approval","")&amp;IF(NOT(OR($Z87="Yes",$Z87="N/A")),", Assets","")&amp;IF(NOT(OR($AA87="Yes",$AA87="N/A")),", List","")&amp;IF($AB87="",", Ops decision",IF(AND($AB87="Yes",$AD87&lt;&gt;"Yes"),", Ops",""))&amp;IF($U87="",", Owner","")&amp;IF($K87="",", Segment",""),3,200)))</f>
        <v/>
      </c>
      <c r="AH87" s="29" t="str">
        <f aca="true">IF($O87="","",$O87-TODAY())</f>
        <v/>
      </c>
      <c r="AI87" s="26" t="str">
        <f aca="false">IF($O87="","",$O87-WEEKDAY($O87,3))</f>
        <v/>
      </c>
      <c r="AJ87" s="30" t="str">
        <f aca="false">IF($O87="","",DATE(YEAR($O87),MONTH($O87),1))</f>
        <v/>
      </c>
      <c r="AK87" s="31" t="str">
        <f aca="false">IF(OR($O87="",$K87=""),"",COUNTIFS('Comms Calendar'!$K$5:$K$504,$K87,'Comms Calendar'!$B$5:$B$504,$B87,'Comms Calendar'!$AI$5:$AI$504,$AI87,'Comms Calendar'!$AE$5:$AE$504,"&lt;&gt;Cancelled"))</f>
        <v/>
      </c>
      <c r="AL87" s="27" t="str">
        <f aca="false">IF($AK87="","",IF($AK87&gt;'Rules &amp; Guardrails'!$C$3,"Over cap","OK"))</f>
        <v/>
      </c>
      <c r="AM87" s="27" t="str">
        <f aca="false">IF(OR($O87="",$K87=""),"",IF(COUNTIFS('Comms Calendar'!$K$5:$K$504,$K87,'Comms Calendar'!$B$5:$B$504,$B87,'Comms Calendar'!$O$5:$O$504,$O87,'Comms Calendar'!$AE$5:$AE$504,"&lt;&gt;Cancelled")&gt;1,"Clash",""))</f>
        <v/>
      </c>
      <c r="AN87" s="27" t="str">
        <f aca="false">IF($O87="","",IF(IF($B87="Global",COUNTIF('Rules &amp; Guardrails'!$F$9:$F$60,$O87),COUNTIFS('Rules &amp; Guardrails'!$F$9:$F$60,$O87,'Rules &amp; Guardrails'!$G$9:$G$60,$B87)+COUNTIFS('Rules &amp; Guardrails'!$F$9:$F$60,$O87,'Rules &amp; Guardrails'!$G$9:$G$60,"Global"))&gt;0,"Blackout",""))</f>
        <v/>
      </c>
      <c r="AO87" s="6"/>
      <c r="AP87" s="25"/>
      <c r="AQ87" s="23"/>
      <c r="AR87" s="31" t="str">
        <f aca="false">IF($D87="","",IFERROR(VLOOKUP($D87,'Rules &amp; Guardrails'!$A$9:$D$24,2,0),"Other"))</f>
        <v/>
      </c>
      <c r="AS87" s="31" t="str">
        <f aca="false">IF($O87="","",$O87&amp;"|"&amp;$B87)</f>
        <v/>
      </c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  <c r="G88" s="6"/>
      <c r="H88" s="6"/>
      <c r="I88" s="23"/>
      <c r="J88" s="23"/>
      <c r="K88" s="23"/>
      <c r="L88" s="6"/>
      <c r="M88" s="6"/>
      <c r="N88" s="24"/>
      <c r="O88" s="25"/>
      <c r="P88" s="23"/>
      <c r="Q88" s="23"/>
      <c r="R88" s="23"/>
      <c r="S88" s="23"/>
      <c r="T88" s="26" t="str">
        <f aca="false">IF(OR($O88="",$D88=""),"",WORKDAY($O88,-IFERROR(VLOOKUP($D88,'Rules &amp; Guardrails'!$A$9:$D$24,3,0),10)))</f>
        <v/>
      </c>
      <c r="U88" s="23"/>
      <c r="V88" s="23"/>
      <c r="W88" s="23"/>
      <c r="X88" s="6"/>
      <c r="Y88" s="23"/>
      <c r="Z88" s="23"/>
      <c r="AA88" s="23"/>
      <c r="AB88" s="23"/>
      <c r="AC88" s="23"/>
      <c r="AD88" s="23"/>
      <c r="AE88" s="23"/>
      <c r="AF88" s="27" t="str">
        <f aca="true">IF($O88="","",IF(OR($AE88="Cancelled",$AE88="On hold",$AE88="Launched"),$AE88,IF(AND($Y88="Approved",OR($Z88="Yes",$Z88="N/A"),OR($AA88="Yes",$AA88="N/A"),OR($AB88="No",$AB88="N/A",AND($AB88="Yes",$AD88="Yes"))),"Ready",IF($O88&lt;TODAY(),"Overdue",IF($O88-TODAY()&lt;='Rules &amp; Guardrails'!$C$5,"At Risk","In Progress")))))</f>
        <v/>
      </c>
      <c r="AG88" s="28" t="str">
        <f aca="false">IF($O88="","",IF(OR($AE88="Launched",$AE88="Cancelled"),"",MID(IF($Y88&lt;&gt;"Approved",", Content approval","")&amp;IF(NOT(OR($Z88="Yes",$Z88="N/A")),", Assets","")&amp;IF(NOT(OR($AA88="Yes",$AA88="N/A")),", List","")&amp;IF($AB88="",", Ops decision",IF(AND($AB88="Yes",$AD88&lt;&gt;"Yes"),", Ops",""))&amp;IF($U88="",", Owner","")&amp;IF($K88="",", Segment",""),3,200)))</f>
        <v/>
      </c>
      <c r="AH88" s="29" t="str">
        <f aca="true">IF($O88="","",$O88-TODAY())</f>
        <v/>
      </c>
      <c r="AI88" s="26" t="str">
        <f aca="false">IF($O88="","",$O88-WEEKDAY($O88,3))</f>
        <v/>
      </c>
      <c r="AJ88" s="30" t="str">
        <f aca="false">IF($O88="","",DATE(YEAR($O88),MONTH($O88),1))</f>
        <v/>
      </c>
      <c r="AK88" s="31" t="str">
        <f aca="false">IF(OR($O88="",$K88=""),"",COUNTIFS('Comms Calendar'!$K$5:$K$504,$K88,'Comms Calendar'!$B$5:$B$504,$B88,'Comms Calendar'!$AI$5:$AI$504,$AI88,'Comms Calendar'!$AE$5:$AE$504,"&lt;&gt;Cancelled"))</f>
        <v/>
      </c>
      <c r="AL88" s="27" t="str">
        <f aca="false">IF($AK88="","",IF($AK88&gt;'Rules &amp; Guardrails'!$C$3,"Over cap","OK"))</f>
        <v/>
      </c>
      <c r="AM88" s="27" t="str">
        <f aca="false">IF(OR($O88="",$K88=""),"",IF(COUNTIFS('Comms Calendar'!$K$5:$K$504,$K88,'Comms Calendar'!$B$5:$B$504,$B88,'Comms Calendar'!$O$5:$O$504,$O88,'Comms Calendar'!$AE$5:$AE$504,"&lt;&gt;Cancelled")&gt;1,"Clash",""))</f>
        <v/>
      </c>
      <c r="AN88" s="27" t="str">
        <f aca="false">IF($O88="","",IF(IF($B88="Global",COUNTIF('Rules &amp; Guardrails'!$F$9:$F$60,$O88),COUNTIFS('Rules &amp; Guardrails'!$F$9:$F$60,$O88,'Rules &amp; Guardrails'!$G$9:$G$60,$B88)+COUNTIFS('Rules &amp; Guardrails'!$F$9:$F$60,$O88,'Rules &amp; Guardrails'!$G$9:$G$60,"Global"))&gt;0,"Blackout",""))</f>
        <v/>
      </c>
      <c r="AO88" s="6"/>
      <c r="AP88" s="25"/>
      <c r="AQ88" s="23"/>
      <c r="AR88" s="31" t="str">
        <f aca="false">IF($D88="","",IFERROR(VLOOKUP($D88,'Rules &amp; Guardrails'!$A$9:$D$24,2,0),"Other"))</f>
        <v/>
      </c>
      <c r="AS88" s="31" t="str">
        <f aca="false">IF($O88="","",$O88&amp;"|"&amp;$B88)</f>
        <v/>
      </c>
    </row>
    <row r="89" customFormat="false" ht="15" hidden="false" customHeight="false" outlineLevel="0" collapsed="false">
      <c r="A89" s="23"/>
      <c r="B89" s="23"/>
      <c r="C89" s="23"/>
      <c r="D89" s="23"/>
      <c r="E89" s="23"/>
      <c r="F89" s="23"/>
      <c r="G89" s="6"/>
      <c r="H89" s="6"/>
      <c r="I89" s="23"/>
      <c r="J89" s="23"/>
      <c r="K89" s="23"/>
      <c r="L89" s="6"/>
      <c r="M89" s="6"/>
      <c r="N89" s="24"/>
      <c r="O89" s="25"/>
      <c r="P89" s="23"/>
      <c r="Q89" s="23"/>
      <c r="R89" s="23"/>
      <c r="S89" s="23"/>
      <c r="T89" s="26" t="str">
        <f aca="false">IF(OR($O89="",$D89=""),"",WORKDAY($O89,-IFERROR(VLOOKUP($D89,'Rules &amp; Guardrails'!$A$9:$D$24,3,0),10)))</f>
        <v/>
      </c>
      <c r="U89" s="23"/>
      <c r="V89" s="23"/>
      <c r="W89" s="23"/>
      <c r="X89" s="6"/>
      <c r="Y89" s="23"/>
      <c r="Z89" s="23"/>
      <c r="AA89" s="23"/>
      <c r="AB89" s="23"/>
      <c r="AC89" s="23"/>
      <c r="AD89" s="23"/>
      <c r="AE89" s="23"/>
      <c r="AF89" s="27" t="str">
        <f aca="true">IF($O89="","",IF(OR($AE89="Cancelled",$AE89="On hold",$AE89="Launched"),$AE89,IF(AND($Y89="Approved",OR($Z89="Yes",$Z89="N/A"),OR($AA89="Yes",$AA89="N/A"),OR($AB89="No",$AB89="N/A",AND($AB89="Yes",$AD89="Yes"))),"Ready",IF($O89&lt;TODAY(),"Overdue",IF($O89-TODAY()&lt;='Rules &amp; Guardrails'!$C$5,"At Risk","In Progress")))))</f>
        <v/>
      </c>
      <c r="AG89" s="28" t="str">
        <f aca="false">IF($O89="","",IF(OR($AE89="Launched",$AE89="Cancelled"),"",MID(IF($Y89&lt;&gt;"Approved",", Content approval","")&amp;IF(NOT(OR($Z89="Yes",$Z89="N/A")),", Assets","")&amp;IF(NOT(OR($AA89="Yes",$AA89="N/A")),", List","")&amp;IF($AB89="",", Ops decision",IF(AND($AB89="Yes",$AD89&lt;&gt;"Yes"),", Ops",""))&amp;IF($U89="",", Owner","")&amp;IF($K89="",", Segment",""),3,200)))</f>
        <v/>
      </c>
      <c r="AH89" s="29" t="str">
        <f aca="true">IF($O89="","",$O89-TODAY())</f>
        <v/>
      </c>
      <c r="AI89" s="26" t="str">
        <f aca="false">IF($O89="","",$O89-WEEKDAY($O89,3))</f>
        <v/>
      </c>
      <c r="AJ89" s="30" t="str">
        <f aca="false">IF($O89="","",DATE(YEAR($O89),MONTH($O89),1))</f>
        <v/>
      </c>
      <c r="AK89" s="31" t="str">
        <f aca="false">IF(OR($O89="",$K89=""),"",COUNTIFS('Comms Calendar'!$K$5:$K$504,$K89,'Comms Calendar'!$B$5:$B$504,$B89,'Comms Calendar'!$AI$5:$AI$504,$AI89,'Comms Calendar'!$AE$5:$AE$504,"&lt;&gt;Cancelled"))</f>
        <v/>
      </c>
      <c r="AL89" s="27" t="str">
        <f aca="false">IF($AK89="","",IF($AK89&gt;'Rules &amp; Guardrails'!$C$3,"Over cap","OK"))</f>
        <v/>
      </c>
      <c r="AM89" s="27" t="str">
        <f aca="false">IF(OR($O89="",$K89=""),"",IF(COUNTIFS('Comms Calendar'!$K$5:$K$504,$K89,'Comms Calendar'!$B$5:$B$504,$B89,'Comms Calendar'!$O$5:$O$504,$O89,'Comms Calendar'!$AE$5:$AE$504,"&lt;&gt;Cancelled")&gt;1,"Clash",""))</f>
        <v/>
      </c>
      <c r="AN89" s="27" t="str">
        <f aca="false">IF($O89="","",IF(IF($B89="Global",COUNTIF('Rules &amp; Guardrails'!$F$9:$F$60,$O89),COUNTIFS('Rules &amp; Guardrails'!$F$9:$F$60,$O89,'Rules &amp; Guardrails'!$G$9:$G$60,$B89)+COUNTIFS('Rules &amp; Guardrails'!$F$9:$F$60,$O89,'Rules &amp; Guardrails'!$G$9:$G$60,"Global"))&gt;0,"Blackout",""))</f>
        <v/>
      </c>
      <c r="AO89" s="6"/>
      <c r="AP89" s="25"/>
      <c r="AQ89" s="23"/>
      <c r="AR89" s="31" t="str">
        <f aca="false">IF($D89="","",IFERROR(VLOOKUP($D89,'Rules &amp; Guardrails'!$A$9:$D$24,2,0),"Other"))</f>
        <v/>
      </c>
      <c r="AS89" s="31" t="str">
        <f aca="false">IF($O89="","",$O89&amp;"|"&amp;$B89)</f>
        <v/>
      </c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  <c r="G90" s="6"/>
      <c r="H90" s="6"/>
      <c r="I90" s="23"/>
      <c r="J90" s="23"/>
      <c r="K90" s="23"/>
      <c r="L90" s="6"/>
      <c r="M90" s="6"/>
      <c r="N90" s="24"/>
      <c r="O90" s="25"/>
      <c r="P90" s="23"/>
      <c r="Q90" s="23"/>
      <c r="R90" s="23"/>
      <c r="S90" s="23"/>
      <c r="T90" s="26" t="str">
        <f aca="false">IF(OR($O90="",$D90=""),"",WORKDAY($O90,-IFERROR(VLOOKUP($D90,'Rules &amp; Guardrails'!$A$9:$D$24,3,0),10)))</f>
        <v/>
      </c>
      <c r="U90" s="23"/>
      <c r="V90" s="23"/>
      <c r="W90" s="23"/>
      <c r="X90" s="6"/>
      <c r="Y90" s="23"/>
      <c r="Z90" s="23"/>
      <c r="AA90" s="23"/>
      <c r="AB90" s="23"/>
      <c r="AC90" s="23"/>
      <c r="AD90" s="23"/>
      <c r="AE90" s="23"/>
      <c r="AF90" s="27" t="str">
        <f aca="true">IF($O90="","",IF(OR($AE90="Cancelled",$AE90="On hold",$AE90="Launched"),$AE90,IF(AND($Y90="Approved",OR($Z90="Yes",$Z90="N/A"),OR($AA90="Yes",$AA90="N/A"),OR($AB90="No",$AB90="N/A",AND($AB90="Yes",$AD90="Yes"))),"Ready",IF($O90&lt;TODAY(),"Overdue",IF($O90-TODAY()&lt;='Rules &amp; Guardrails'!$C$5,"At Risk","In Progress")))))</f>
        <v/>
      </c>
      <c r="AG90" s="28" t="str">
        <f aca="false">IF($O90="","",IF(OR($AE90="Launched",$AE90="Cancelled"),"",MID(IF($Y90&lt;&gt;"Approved",", Content approval","")&amp;IF(NOT(OR($Z90="Yes",$Z90="N/A")),", Assets","")&amp;IF(NOT(OR($AA90="Yes",$AA90="N/A")),", List","")&amp;IF($AB90="",", Ops decision",IF(AND($AB90="Yes",$AD90&lt;&gt;"Yes"),", Ops",""))&amp;IF($U90="",", Owner","")&amp;IF($K90="",", Segment",""),3,200)))</f>
        <v/>
      </c>
      <c r="AH90" s="29" t="str">
        <f aca="true">IF($O90="","",$O90-TODAY())</f>
        <v/>
      </c>
      <c r="AI90" s="26" t="str">
        <f aca="false">IF($O90="","",$O90-WEEKDAY($O90,3))</f>
        <v/>
      </c>
      <c r="AJ90" s="30" t="str">
        <f aca="false">IF($O90="","",DATE(YEAR($O90),MONTH($O90),1))</f>
        <v/>
      </c>
      <c r="AK90" s="31" t="str">
        <f aca="false">IF(OR($O90="",$K90=""),"",COUNTIFS('Comms Calendar'!$K$5:$K$504,$K90,'Comms Calendar'!$B$5:$B$504,$B90,'Comms Calendar'!$AI$5:$AI$504,$AI90,'Comms Calendar'!$AE$5:$AE$504,"&lt;&gt;Cancelled"))</f>
        <v/>
      </c>
      <c r="AL90" s="27" t="str">
        <f aca="false">IF($AK90="","",IF($AK90&gt;'Rules &amp; Guardrails'!$C$3,"Over cap","OK"))</f>
        <v/>
      </c>
      <c r="AM90" s="27" t="str">
        <f aca="false">IF(OR($O90="",$K90=""),"",IF(COUNTIFS('Comms Calendar'!$K$5:$K$504,$K90,'Comms Calendar'!$B$5:$B$504,$B90,'Comms Calendar'!$O$5:$O$504,$O90,'Comms Calendar'!$AE$5:$AE$504,"&lt;&gt;Cancelled")&gt;1,"Clash",""))</f>
        <v/>
      </c>
      <c r="AN90" s="27" t="str">
        <f aca="false">IF($O90="","",IF(IF($B90="Global",COUNTIF('Rules &amp; Guardrails'!$F$9:$F$60,$O90),COUNTIFS('Rules &amp; Guardrails'!$F$9:$F$60,$O90,'Rules &amp; Guardrails'!$G$9:$G$60,$B90)+COUNTIFS('Rules &amp; Guardrails'!$F$9:$F$60,$O90,'Rules &amp; Guardrails'!$G$9:$G$60,"Global"))&gt;0,"Blackout",""))</f>
        <v/>
      </c>
      <c r="AO90" s="6"/>
      <c r="AP90" s="25"/>
      <c r="AQ90" s="23"/>
      <c r="AR90" s="31" t="str">
        <f aca="false">IF($D90="","",IFERROR(VLOOKUP($D90,'Rules &amp; Guardrails'!$A$9:$D$24,2,0),"Other"))</f>
        <v/>
      </c>
      <c r="AS90" s="31" t="str">
        <f aca="false">IF($O90="","",$O90&amp;"|"&amp;$B90)</f>
        <v/>
      </c>
    </row>
    <row r="91" customFormat="false" ht="15" hidden="false" customHeight="false" outlineLevel="0" collapsed="false">
      <c r="A91" s="23"/>
      <c r="B91" s="23"/>
      <c r="C91" s="23"/>
      <c r="D91" s="23"/>
      <c r="E91" s="23"/>
      <c r="F91" s="23"/>
      <c r="G91" s="6"/>
      <c r="H91" s="6"/>
      <c r="I91" s="23"/>
      <c r="J91" s="23"/>
      <c r="K91" s="23"/>
      <c r="L91" s="6"/>
      <c r="M91" s="6"/>
      <c r="N91" s="24"/>
      <c r="O91" s="25"/>
      <c r="P91" s="23"/>
      <c r="Q91" s="23"/>
      <c r="R91" s="23"/>
      <c r="S91" s="23"/>
      <c r="T91" s="26" t="str">
        <f aca="false">IF(OR($O91="",$D91=""),"",WORKDAY($O91,-IFERROR(VLOOKUP($D91,'Rules &amp; Guardrails'!$A$9:$D$24,3,0),10)))</f>
        <v/>
      </c>
      <c r="U91" s="23"/>
      <c r="V91" s="23"/>
      <c r="W91" s="23"/>
      <c r="X91" s="6"/>
      <c r="Y91" s="23"/>
      <c r="Z91" s="23"/>
      <c r="AA91" s="23"/>
      <c r="AB91" s="23"/>
      <c r="AC91" s="23"/>
      <c r="AD91" s="23"/>
      <c r="AE91" s="23"/>
      <c r="AF91" s="27" t="str">
        <f aca="true">IF($O91="","",IF(OR($AE91="Cancelled",$AE91="On hold",$AE91="Launched"),$AE91,IF(AND($Y91="Approved",OR($Z91="Yes",$Z91="N/A"),OR($AA91="Yes",$AA91="N/A"),OR($AB91="No",$AB91="N/A",AND($AB91="Yes",$AD91="Yes"))),"Ready",IF($O91&lt;TODAY(),"Overdue",IF($O91-TODAY()&lt;='Rules &amp; Guardrails'!$C$5,"At Risk","In Progress")))))</f>
        <v/>
      </c>
      <c r="AG91" s="28" t="str">
        <f aca="false">IF($O91="","",IF(OR($AE91="Launched",$AE91="Cancelled"),"",MID(IF($Y91&lt;&gt;"Approved",", Content approval","")&amp;IF(NOT(OR($Z91="Yes",$Z91="N/A")),", Assets","")&amp;IF(NOT(OR($AA91="Yes",$AA91="N/A")),", List","")&amp;IF($AB91="",", Ops decision",IF(AND($AB91="Yes",$AD91&lt;&gt;"Yes"),", Ops",""))&amp;IF($U91="",", Owner","")&amp;IF($K91="",", Segment",""),3,200)))</f>
        <v/>
      </c>
      <c r="AH91" s="29" t="str">
        <f aca="true">IF($O91="","",$O91-TODAY())</f>
        <v/>
      </c>
      <c r="AI91" s="26" t="str">
        <f aca="false">IF($O91="","",$O91-WEEKDAY($O91,3))</f>
        <v/>
      </c>
      <c r="AJ91" s="30" t="str">
        <f aca="false">IF($O91="","",DATE(YEAR($O91),MONTH($O91),1))</f>
        <v/>
      </c>
      <c r="AK91" s="31" t="str">
        <f aca="false">IF(OR($O91="",$K91=""),"",COUNTIFS('Comms Calendar'!$K$5:$K$504,$K91,'Comms Calendar'!$B$5:$B$504,$B91,'Comms Calendar'!$AI$5:$AI$504,$AI91,'Comms Calendar'!$AE$5:$AE$504,"&lt;&gt;Cancelled"))</f>
        <v/>
      </c>
      <c r="AL91" s="27" t="str">
        <f aca="false">IF($AK91="","",IF($AK91&gt;'Rules &amp; Guardrails'!$C$3,"Over cap","OK"))</f>
        <v/>
      </c>
      <c r="AM91" s="27" t="str">
        <f aca="false">IF(OR($O91="",$K91=""),"",IF(COUNTIFS('Comms Calendar'!$K$5:$K$504,$K91,'Comms Calendar'!$B$5:$B$504,$B91,'Comms Calendar'!$O$5:$O$504,$O91,'Comms Calendar'!$AE$5:$AE$504,"&lt;&gt;Cancelled")&gt;1,"Clash",""))</f>
        <v/>
      </c>
      <c r="AN91" s="27" t="str">
        <f aca="false">IF($O91="","",IF(IF($B91="Global",COUNTIF('Rules &amp; Guardrails'!$F$9:$F$60,$O91),COUNTIFS('Rules &amp; Guardrails'!$F$9:$F$60,$O91,'Rules &amp; Guardrails'!$G$9:$G$60,$B91)+COUNTIFS('Rules &amp; Guardrails'!$F$9:$F$60,$O91,'Rules &amp; Guardrails'!$G$9:$G$60,"Global"))&gt;0,"Blackout",""))</f>
        <v/>
      </c>
      <c r="AO91" s="6"/>
      <c r="AP91" s="25"/>
      <c r="AQ91" s="23"/>
      <c r="AR91" s="31" t="str">
        <f aca="false">IF($D91="","",IFERROR(VLOOKUP($D91,'Rules &amp; Guardrails'!$A$9:$D$24,2,0),"Other"))</f>
        <v/>
      </c>
      <c r="AS91" s="31" t="str">
        <f aca="false">IF($O91="","",$O91&amp;"|"&amp;$B91)</f>
        <v/>
      </c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  <c r="G92" s="6"/>
      <c r="H92" s="6"/>
      <c r="I92" s="23"/>
      <c r="J92" s="23"/>
      <c r="K92" s="23"/>
      <c r="L92" s="6"/>
      <c r="M92" s="6"/>
      <c r="N92" s="24"/>
      <c r="O92" s="25"/>
      <c r="P92" s="23"/>
      <c r="Q92" s="23"/>
      <c r="R92" s="23"/>
      <c r="S92" s="23"/>
      <c r="T92" s="26" t="str">
        <f aca="false">IF(OR($O92="",$D92=""),"",WORKDAY($O92,-IFERROR(VLOOKUP($D92,'Rules &amp; Guardrails'!$A$9:$D$24,3,0),10)))</f>
        <v/>
      </c>
      <c r="U92" s="23"/>
      <c r="V92" s="23"/>
      <c r="W92" s="23"/>
      <c r="X92" s="6"/>
      <c r="Y92" s="23"/>
      <c r="Z92" s="23"/>
      <c r="AA92" s="23"/>
      <c r="AB92" s="23"/>
      <c r="AC92" s="23"/>
      <c r="AD92" s="23"/>
      <c r="AE92" s="23"/>
      <c r="AF92" s="27" t="str">
        <f aca="true">IF($O92="","",IF(OR($AE92="Cancelled",$AE92="On hold",$AE92="Launched"),$AE92,IF(AND($Y92="Approved",OR($Z92="Yes",$Z92="N/A"),OR($AA92="Yes",$AA92="N/A"),OR($AB92="No",$AB92="N/A",AND($AB92="Yes",$AD92="Yes"))),"Ready",IF($O92&lt;TODAY(),"Overdue",IF($O92-TODAY()&lt;='Rules &amp; Guardrails'!$C$5,"At Risk","In Progress")))))</f>
        <v/>
      </c>
      <c r="AG92" s="28" t="str">
        <f aca="false">IF($O92="","",IF(OR($AE92="Launched",$AE92="Cancelled"),"",MID(IF($Y92&lt;&gt;"Approved",", Content approval","")&amp;IF(NOT(OR($Z92="Yes",$Z92="N/A")),", Assets","")&amp;IF(NOT(OR($AA92="Yes",$AA92="N/A")),", List","")&amp;IF($AB92="",", Ops decision",IF(AND($AB92="Yes",$AD92&lt;&gt;"Yes"),", Ops",""))&amp;IF($U92="",", Owner","")&amp;IF($K92="",", Segment",""),3,200)))</f>
        <v/>
      </c>
      <c r="AH92" s="29" t="str">
        <f aca="true">IF($O92="","",$O92-TODAY())</f>
        <v/>
      </c>
      <c r="AI92" s="26" t="str">
        <f aca="false">IF($O92="","",$O92-WEEKDAY($O92,3))</f>
        <v/>
      </c>
      <c r="AJ92" s="30" t="str">
        <f aca="false">IF($O92="","",DATE(YEAR($O92),MONTH($O92),1))</f>
        <v/>
      </c>
      <c r="AK92" s="31" t="str">
        <f aca="false">IF(OR($O92="",$K92=""),"",COUNTIFS('Comms Calendar'!$K$5:$K$504,$K92,'Comms Calendar'!$B$5:$B$504,$B92,'Comms Calendar'!$AI$5:$AI$504,$AI92,'Comms Calendar'!$AE$5:$AE$504,"&lt;&gt;Cancelled"))</f>
        <v/>
      </c>
      <c r="AL92" s="27" t="str">
        <f aca="false">IF($AK92="","",IF($AK92&gt;'Rules &amp; Guardrails'!$C$3,"Over cap","OK"))</f>
        <v/>
      </c>
      <c r="AM92" s="27" t="str">
        <f aca="false">IF(OR($O92="",$K92=""),"",IF(COUNTIFS('Comms Calendar'!$K$5:$K$504,$K92,'Comms Calendar'!$B$5:$B$504,$B92,'Comms Calendar'!$O$5:$O$504,$O92,'Comms Calendar'!$AE$5:$AE$504,"&lt;&gt;Cancelled")&gt;1,"Clash",""))</f>
        <v/>
      </c>
      <c r="AN92" s="27" t="str">
        <f aca="false">IF($O92="","",IF(IF($B92="Global",COUNTIF('Rules &amp; Guardrails'!$F$9:$F$60,$O92),COUNTIFS('Rules &amp; Guardrails'!$F$9:$F$60,$O92,'Rules &amp; Guardrails'!$G$9:$G$60,$B92)+COUNTIFS('Rules &amp; Guardrails'!$F$9:$F$60,$O92,'Rules &amp; Guardrails'!$G$9:$G$60,"Global"))&gt;0,"Blackout",""))</f>
        <v/>
      </c>
      <c r="AO92" s="6"/>
      <c r="AP92" s="25"/>
      <c r="AQ92" s="23"/>
      <c r="AR92" s="31" t="str">
        <f aca="false">IF($D92="","",IFERROR(VLOOKUP($D92,'Rules &amp; Guardrails'!$A$9:$D$24,2,0),"Other"))</f>
        <v/>
      </c>
      <c r="AS92" s="31" t="str">
        <f aca="false">IF($O92="","",$O92&amp;"|"&amp;$B92)</f>
        <v/>
      </c>
    </row>
    <row r="93" customFormat="false" ht="15" hidden="false" customHeight="false" outlineLevel="0" collapsed="false">
      <c r="A93" s="23"/>
      <c r="B93" s="23"/>
      <c r="C93" s="23"/>
      <c r="D93" s="23"/>
      <c r="E93" s="23"/>
      <c r="F93" s="23"/>
      <c r="G93" s="6"/>
      <c r="H93" s="6"/>
      <c r="I93" s="23"/>
      <c r="J93" s="23"/>
      <c r="K93" s="23"/>
      <c r="L93" s="6"/>
      <c r="M93" s="6"/>
      <c r="N93" s="24"/>
      <c r="O93" s="25"/>
      <c r="P93" s="23"/>
      <c r="Q93" s="23"/>
      <c r="R93" s="23"/>
      <c r="S93" s="23"/>
      <c r="T93" s="26" t="str">
        <f aca="false">IF(OR($O93="",$D93=""),"",WORKDAY($O93,-IFERROR(VLOOKUP($D93,'Rules &amp; Guardrails'!$A$9:$D$24,3,0),10)))</f>
        <v/>
      </c>
      <c r="U93" s="23"/>
      <c r="V93" s="23"/>
      <c r="W93" s="23"/>
      <c r="X93" s="6"/>
      <c r="Y93" s="23"/>
      <c r="Z93" s="23"/>
      <c r="AA93" s="23"/>
      <c r="AB93" s="23"/>
      <c r="AC93" s="23"/>
      <c r="AD93" s="23"/>
      <c r="AE93" s="23"/>
      <c r="AF93" s="27" t="str">
        <f aca="true">IF($O93="","",IF(OR($AE93="Cancelled",$AE93="On hold",$AE93="Launched"),$AE93,IF(AND($Y93="Approved",OR($Z93="Yes",$Z93="N/A"),OR($AA93="Yes",$AA93="N/A"),OR($AB93="No",$AB93="N/A",AND($AB93="Yes",$AD93="Yes"))),"Ready",IF($O93&lt;TODAY(),"Overdue",IF($O93-TODAY()&lt;='Rules &amp; Guardrails'!$C$5,"At Risk","In Progress")))))</f>
        <v/>
      </c>
      <c r="AG93" s="28" t="str">
        <f aca="false">IF($O93="","",IF(OR($AE93="Launched",$AE93="Cancelled"),"",MID(IF($Y93&lt;&gt;"Approved",", Content approval","")&amp;IF(NOT(OR($Z93="Yes",$Z93="N/A")),", Assets","")&amp;IF(NOT(OR($AA93="Yes",$AA93="N/A")),", List","")&amp;IF($AB93="",", Ops decision",IF(AND($AB93="Yes",$AD93&lt;&gt;"Yes"),", Ops",""))&amp;IF($U93="",", Owner","")&amp;IF($K93="",", Segment",""),3,200)))</f>
        <v/>
      </c>
      <c r="AH93" s="29" t="str">
        <f aca="true">IF($O93="","",$O93-TODAY())</f>
        <v/>
      </c>
      <c r="AI93" s="26" t="str">
        <f aca="false">IF($O93="","",$O93-WEEKDAY($O93,3))</f>
        <v/>
      </c>
      <c r="AJ93" s="30" t="str">
        <f aca="false">IF($O93="","",DATE(YEAR($O93),MONTH($O93),1))</f>
        <v/>
      </c>
      <c r="AK93" s="31" t="str">
        <f aca="false">IF(OR($O93="",$K93=""),"",COUNTIFS('Comms Calendar'!$K$5:$K$504,$K93,'Comms Calendar'!$B$5:$B$504,$B93,'Comms Calendar'!$AI$5:$AI$504,$AI93,'Comms Calendar'!$AE$5:$AE$504,"&lt;&gt;Cancelled"))</f>
        <v/>
      </c>
      <c r="AL93" s="27" t="str">
        <f aca="false">IF($AK93="","",IF($AK93&gt;'Rules &amp; Guardrails'!$C$3,"Over cap","OK"))</f>
        <v/>
      </c>
      <c r="AM93" s="27" t="str">
        <f aca="false">IF(OR($O93="",$K93=""),"",IF(COUNTIFS('Comms Calendar'!$K$5:$K$504,$K93,'Comms Calendar'!$B$5:$B$504,$B93,'Comms Calendar'!$O$5:$O$504,$O93,'Comms Calendar'!$AE$5:$AE$504,"&lt;&gt;Cancelled")&gt;1,"Clash",""))</f>
        <v/>
      </c>
      <c r="AN93" s="27" t="str">
        <f aca="false">IF($O93="","",IF(IF($B93="Global",COUNTIF('Rules &amp; Guardrails'!$F$9:$F$60,$O93),COUNTIFS('Rules &amp; Guardrails'!$F$9:$F$60,$O93,'Rules &amp; Guardrails'!$G$9:$G$60,$B93)+COUNTIFS('Rules &amp; Guardrails'!$F$9:$F$60,$O93,'Rules &amp; Guardrails'!$G$9:$G$60,"Global"))&gt;0,"Blackout",""))</f>
        <v/>
      </c>
      <c r="AO93" s="6"/>
      <c r="AP93" s="25"/>
      <c r="AQ93" s="23"/>
      <c r="AR93" s="31" t="str">
        <f aca="false">IF($D93="","",IFERROR(VLOOKUP($D93,'Rules &amp; Guardrails'!$A$9:$D$24,2,0),"Other"))</f>
        <v/>
      </c>
      <c r="AS93" s="31" t="str">
        <f aca="false">IF($O93="","",$O93&amp;"|"&amp;$B93)</f>
        <v/>
      </c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  <c r="G94" s="6"/>
      <c r="H94" s="6"/>
      <c r="I94" s="23"/>
      <c r="J94" s="23"/>
      <c r="K94" s="23"/>
      <c r="L94" s="6"/>
      <c r="M94" s="6"/>
      <c r="N94" s="24"/>
      <c r="O94" s="25"/>
      <c r="P94" s="23"/>
      <c r="Q94" s="23"/>
      <c r="R94" s="23"/>
      <c r="S94" s="23"/>
      <c r="T94" s="26" t="str">
        <f aca="false">IF(OR($O94="",$D94=""),"",WORKDAY($O94,-IFERROR(VLOOKUP($D94,'Rules &amp; Guardrails'!$A$9:$D$24,3,0),10)))</f>
        <v/>
      </c>
      <c r="U94" s="23"/>
      <c r="V94" s="23"/>
      <c r="W94" s="23"/>
      <c r="X94" s="6"/>
      <c r="Y94" s="23"/>
      <c r="Z94" s="23"/>
      <c r="AA94" s="23"/>
      <c r="AB94" s="23"/>
      <c r="AC94" s="23"/>
      <c r="AD94" s="23"/>
      <c r="AE94" s="23"/>
      <c r="AF94" s="27" t="str">
        <f aca="true">IF($O94="","",IF(OR($AE94="Cancelled",$AE94="On hold",$AE94="Launched"),$AE94,IF(AND($Y94="Approved",OR($Z94="Yes",$Z94="N/A"),OR($AA94="Yes",$AA94="N/A"),OR($AB94="No",$AB94="N/A",AND($AB94="Yes",$AD94="Yes"))),"Ready",IF($O94&lt;TODAY(),"Overdue",IF($O94-TODAY()&lt;='Rules &amp; Guardrails'!$C$5,"At Risk","In Progress")))))</f>
        <v/>
      </c>
      <c r="AG94" s="28" t="str">
        <f aca="false">IF($O94="","",IF(OR($AE94="Launched",$AE94="Cancelled"),"",MID(IF($Y94&lt;&gt;"Approved",", Content approval","")&amp;IF(NOT(OR($Z94="Yes",$Z94="N/A")),", Assets","")&amp;IF(NOT(OR($AA94="Yes",$AA94="N/A")),", List","")&amp;IF($AB94="",", Ops decision",IF(AND($AB94="Yes",$AD94&lt;&gt;"Yes"),", Ops",""))&amp;IF($U94="",", Owner","")&amp;IF($K94="",", Segment",""),3,200)))</f>
        <v/>
      </c>
      <c r="AH94" s="29" t="str">
        <f aca="true">IF($O94="","",$O94-TODAY())</f>
        <v/>
      </c>
      <c r="AI94" s="26" t="str">
        <f aca="false">IF($O94="","",$O94-WEEKDAY($O94,3))</f>
        <v/>
      </c>
      <c r="AJ94" s="30" t="str">
        <f aca="false">IF($O94="","",DATE(YEAR($O94),MONTH($O94),1))</f>
        <v/>
      </c>
      <c r="AK94" s="31" t="str">
        <f aca="false">IF(OR($O94="",$K94=""),"",COUNTIFS('Comms Calendar'!$K$5:$K$504,$K94,'Comms Calendar'!$B$5:$B$504,$B94,'Comms Calendar'!$AI$5:$AI$504,$AI94,'Comms Calendar'!$AE$5:$AE$504,"&lt;&gt;Cancelled"))</f>
        <v/>
      </c>
      <c r="AL94" s="27" t="str">
        <f aca="false">IF($AK94="","",IF($AK94&gt;'Rules &amp; Guardrails'!$C$3,"Over cap","OK"))</f>
        <v/>
      </c>
      <c r="AM94" s="27" t="str">
        <f aca="false">IF(OR($O94="",$K94=""),"",IF(COUNTIFS('Comms Calendar'!$K$5:$K$504,$K94,'Comms Calendar'!$B$5:$B$504,$B94,'Comms Calendar'!$O$5:$O$504,$O94,'Comms Calendar'!$AE$5:$AE$504,"&lt;&gt;Cancelled")&gt;1,"Clash",""))</f>
        <v/>
      </c>
      <c r="AN94" s="27" t="str">
        <f aca="false">IF($O94="","",IF(IF($B94="Global",COUNTIF('Rules &amp; Guardrails'!$F$9:$F$60,$O94),COUNTIFS('Rules &amp; Guardrails'!$F$9:$F$60,$O94,'Rules &amp; Guardrails'!$G$9:$G$60,$B94)+COUNTIFS('Rules &amp; Guardrails'!$F$9:$F$60,$O94,'Rules &amp; Guardrails'!$G$9:$G$60,"Global"))&gt;0,"Blackout",""))</f>
        <v/>
      </c>
      <c r="AO94" s="6"/>
      <c r="AP94" s="25"/>
      <c r="AQ94" s="23"/>
      <c r="AR94" s="31" t="str">
        <f aca="false">IF($D94="","",IFERROR(VLOOKUP($D94,'Rules &amp; Guardrails'!$A$9:$D$24,2,0),"Other"))</f>
        <v/>
      </c>
      <c r="AS94" s="31" t="str">
        <f aca="false">IF($O94="","",$O94&amp;"|"&amp;$B94)</f>
        <v/>
      </c>
    </row>
    <row r="95" customFormat="false" ht="15" hidden="false" customHeight="false" outlineLevel="0" collapsed="false">
      <c r="A95" s="23"/>
      <c r="B95" s="23"/>
      <c r="C95" s="23"/>
      <c r="D95" s="23"/>
      <c r="E95" s="23"/>
      <c r="F95" s="23"/>
      <c r="G95" s="6"/>
      <c r="H95" s="6"/>
      <c r="I95" s="23"/>
      <c r="J95" s="23"/>
      <c r="K95" s="23"/>
      <c r="L95" s="6"/>
      <c r="M95" s="6"/>
      <c r="N95" s="24"/>
      <c r="O95" s="25"/>
      <c r="P95" s="23"/>
      <c r="Q95" s="23"/>
      <c r="R95" s="23"/>
      <c r="S95" s="23"/>
      <c r="T95" s="26" t="str">
        <f aca="false">IF(OR($O95="",$D95=""),"",WORKDAY($O95,-IFERROR(VLOOKUP($D95,'Rules &amp; Guardrails'!$A$9:$D$24,3,0),10)))</f>
        <v/>
      </c>
      <c r="U95" s="23"/>
      <c r="V95" s="23"/>
      <c r="W95" s="23"/>
      <c r="X95" s="6"/>
      <c r="Y95" s="23"/>
      <c r="Z95" s="23"/>
      <c r="AA95" s="23"/>
      <c r="AB95" s="23"/>
      <c r="AC95" s="23"/>
      <c r="AD95" s="23"/>
      <c r="AE95" s="23"/>
      <c r="AF95" s="27" t="str">
        <f aca="true">IF($O95="","",IF(OR($AE95="Cancelled",$AE95="On hold",$AE95="Launched"),$AE95,IF(AND($Y95="Approved",OR($Z95="Yes",$Z95="N/A"),OR($AA95="Yes",$AA95="N/A"),OR($AB95="No",$AB95="N/A",AND($AB95="Yes",$AD95="Yes"))),"Ready",IF($O95&lt;TODAY(),"Overdue",IF($O95-TODAY()&lt;='Rules &amp; Guardrails'!$C$5,"At Risk","In Progress")))))</f>
        <v/>
      </c>
      <c r="AG95" s="28" t="str">
        <f aca="false">IF($O95="","",IF(OR($AE95="Launched",$AE95="Cancelled"),"",MID(IF($Y95&lt;&gt;"Approved",", Content approval","")&amp;IF(NOT(OR($Z95="Yes",$Z95="N/A")),", Assets","")&amp;IF(NOT(OR($AA95="Yes",$AA95="N/A")),", List","")&amp;IF($AB95="",", Ops decision",IF(AND($AB95="Yes",$AD95&lt;&gt;"Yes"),", Ops",""))&amp;IF($U95="",", Owner","")&amp;IF($K95="",", Segment",""),3,200)))</f>
        <v/>
      </c>
      <c r="AH95" s="29" t="str">
        <f aca="true">IF($O95="","",$O95-TODAY())</f>
        <v/>
      </c>
      <c r="AI95" s="26" t="str">
        <f aca="false">IF($O95="","",$O95-WEEKDAY($O95,3))</f>
        <v/>
      </c>
      <c r="AJ95" s="30" t="str">
        <f aca="false">IF($O95="","",DATE(YEAR($O95),MONTH($O95),1))</f>
        <v/>
      </c>
      <c r="AK95" s="31" t="str">
        <f aca="false">IF(OR($O95="",$K95=""),"",COUNTIFS('Comms Calendar'!$K$5:$K$504,$K95,'Comms Calendar'!$B$5:$B$504,$B95,'Comms Calendar'!$AI$5:$AI$504,$AI95,'Comms Calendar'!$AE$5:$AE$504,"&lt;&gt;Cancelled"))</f>
        <v/>
      </c>
      <c r="AL95" s="27" t="str">
        <f aca="false">IF($AK95="","",IF($AK95&gt;'Rules &amp; Guardrails'!$C$3,"Over cap","OK"))</f>
        <v/>
      </c>
      <c r="AM95" s="27" t="str">
        <f aca="false">IF(OR($O95="",$K95=""),"",IF(COUNTIFS('Comms Calendar'!$K$5:$K$504,$K95,'Comms Calendar'!$B$5:$B$504,$B95,'Comms Calendar'!$O$5:$O$504,$O95,'Comms Calendar'!$AE$5:$AE$504,"&lt;&gt;Cancelled")&gt;1,"Clash",""))</f>
        <v/>
      </c>
      <c r="AN95" s="27" t="str">
        <f aca="false">IF($O95="","",IF(IF($B95="Global",COUNTIF('Rules &amp; Guardrails'!$F$9:$F$60,$O95),COUNTIFS('Rules &amp; Guardrails'!$F$9:$F$60,$O95,'Rules &amp; Guardrails'!$G$9:$G$60,$B95)+COUNTIFS('Rules &amp; Guardrails'!$F$9:$F$60,$O95,'Rules &amp; Guardrails'!$G$9:$G$60,"Global"))&gt;0,"Blackout",""))</f>
        <v/>
      </c>
      <c r="AO95" s="6"/>
      <c r="AP95" s="25"/>
      <c r="AQ95" s="23"/>
      <c r="AR95" s="31" t="str">
        <f aca="false">IF($D95="","",IFERROR(VLOOKUP($D95,'Rules &amp; Guardrails'!$A$9:$D$24,2,0),"Other"))</f>
        <v/>
      </c>
      <c r="AS95" s="31" t="str">
        <f aca="false">IF($O95="","",$O95&amp;"|"&amp;$B95)</f>
        <v/>
      </c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  <c r="G96" s="6"/>
      <c r="H96" s="6"/>
      <c r="I96" s="23"/>
      <c r="J96" s="23"/>
      <c r="K96" s="23"/>
      <c r="L96" s="6"/>
      <c r="M96" s="6"/>
      <c r="N96" s="24"/>
      <c r="O96" s="25"/>
      <c r="P96" s="23"/>
      <c r="Q96" s="23"/>
      <c r="R96" s="23"/>
      <c r="S96" s="23"/>
      <c r="T96" s="26" t="str">
        <f aca="false">IF(OR($O96="",$D96=""),"",WORKDAY($O96,-IFERROR(VLOOKUP($D96,'Rules &amp; Guardrails'!$A$9:$D$24,3,0),10)))</f>
        <v/>
      </c>
      <c r="U96" s="23"/>
      <c r="V96" s="23"/>
      <c r="W96" s="23"/>
      <c r="X96" s="6"/>
      <c r="Y96" s="23"/>
      <c r="Z96" s="23"/>
      <c r="AA96" s="23"/>
      <c r="AB96" s="23"/>
      <c r="AC96" s="23"/>
      <c r="AD96" s="23"/>
      <c r="AE96" s="23"/>
      <c r="AF96" s="27" t="str">
        <f aca="true">IF($O96="","",IF(OR($AE96="Cancelled",$AE96="On hold",$AE96="Launched"),$AE96,IF(AND($Y96="Approved",OR($Z96="Yes",$Z96="N/A"),OR($AA96="Yes",$AA96="N/A"),OR($AB96="No",$AB96="N/A",AND($AB96="Yes",$AD96="Yes"))),"Ready",IF($O96&lt;TODAY(),"Overdue",IF($O96-TODAY()&lt;='Rules &amp; Guardrails'!$C$5,"At Risk","In Progress")))))</f>
        <v/>
      </c>
      <c r="AG96" s="28" t="str">
        <f aca="false">IF($O96="","",IF(OR($AE96="Launched",$AE96="Cancelled"),"",MID(IF($Y96&lt;&gt;"Approved",", Content approval","")&amp;IF(NOT(OR($Z96="Yes",$Z96="N/A")),", Assets","")&amp;IF(NOT(OR($AA96="Yes",$AA96="N/A")),", List","")&amp;IF($AB96="",", Ops decision",IF(AND($AB96="Yes",$AD96&lt;&gt;"Yes"),", Ops",""))&amp;IF($U96="",", Owner","")&amp;IF($K96="",", Segment",""),3,200)))</f>
        <v/>
      </c>
      <c r="AH96" s="29" t="str">
        <f aca="true">IF($O96="","",$O96-TODAY())</f>
        <v/>
      </c>
      <c r="AI96" s="26" t="str">
        <f aca="false">IF($O96="","",$O96-WEEKDAY($O96,3))</f>
        <v/>
      </c>
      <c r="AJ96" s="30" t="str">
        <f aca="false">IF($O96="","",DATE(YEAR($O96),MONTH($O96),1))</f>
        <v/>
      </c>
      <c r="AK96" s="31" t="str">
        <f aca="false">IF(OR($O96="",$K96=""),"",COUNTIFS('Comms Calendar'!$K$5:$K$504,$K96,'Comms Calendar'!$B$5:$B$504,$B96,'Comms Calendar'!$AI$5:$AI$504,$AI96,'Comms Calendar'!$AE$5:$AE$504,"&lt;&gt;Cancelled"))</f>
        <v/>
      </c>
      <c r="AL96" s="27" t="str">
        <f aca="false">IF($AK96="","",IF($AK96&gt;'Rules &amp; Guardrails'!$C$3,"Over cap","OK"))</f>
        <v/>
      </c>
      <c r="AM96" s="27" t="str">
        <f aca="false">IF(OR($O96="",$K96=""),"",IF(COUNTIFS('Comms Calendar'!$K$5:$K$504,$K96,'Comms Calendar'!$B$5:$B$504,$B96,'Comms Calendar'!$O$5:$O$504,$O96,'Comms Calendar'!$AE$5:$AE$504,"&lt;&gt;Cancelled")&gt;1,"Clash",""))</f>
        <v/>
      </c>
      <c r="AN96" s="27" t="str">
        <f aca="false">IF($O96="","",IF(IF($B96="Global",COUNTIF('Rules &amp; Guardrails'!$F$9:$F$60,$O96),COUNTIFS('Rules &amp; Guardrails'!$F$9:$F$60,$O96,'Rules &amp; Guardrails'!$G$9:$G$60,$B96)+COUNTIFS('Rules &amp; Guardrails'!$F$9:$F$60,$O96,'Rules &amp; Guardrails'!$G$9:$G$60,"Global"))&gt;0,"Blackout",""))</f>
        <v/>
      </c>
      <c r="AO96" s="6"/>
      <c r="AP96" s="25"/>
      <c r="AQ96" s="23"/>
      <c r="AR96" s="31" t="str">
        <f aca="false">IF($D96="","",IFERROR(VLOOKUP($D96,'Rules &amp; Guardrails'!$A$9:$D$24,2,0),"Other"))</f>
        <v/>
      </c>
      <c r="AS96" s="31" t="str">
        <f aca="false">IF($O96="","",$O96&amp;"|"&amp;$B96)</f>
        <v/>
      </c>
    </row>
    <row r="97" customFormat="false" ht="15" hidden="false" customHeight="false" outlineLevel="0" collapsed="false">
      <c r="A97" s="23"/>
      <c r="B97" s="23"/>
      <c r="C97" s="23"/>
      <c r="D97" s="23"/>
      <c r="E97" s="23"/>
      <c r="F97" s="23"/>
      <c r="G97" s="6"/>
      <c r="H97" s="6"/>
      <c r="I97" s="23"/>
      <c r="J97" s="23"/>
      <c r="K97" s="23"/>
      <c r="L97" s="6"/>
      <c r="M97" s="6"/>
      <c r="N97" s="24"/>
      <c r="O97" s="25"/>
      <c r="P97" s="23"/>
      <c r="Q97" s="23"/>
      <c r="R97" s="23"/>
      <c r="S97" s="23"/>
      <c r="T97" s="26" t="str">
        <f aca="false">IF(OR($O97="",$D97=""),"",WORKDAY($O97,-IFERROR(VLOOKUP($D97,'Rules &amp; Guardrails'!$A$9:$D$24,3,0),10)))</f>
        <v/>
      </c>
      <c r="U97" s="23"/>
      <c r="V97" s="23"/>
      <c r="W97" s="23"/>
      <c r="X97" s="6"/>
      <c r="Y97" s="23"/>
      <c r="Z97" s="23"/>
      <c r="AA97" s="23"/>
      <c r="AB97" s="23"/>
      <c r="AC97" s="23"/>
      <c r="AD97" s="23"/>
      <c r="AE97" s="23"/>
      <c r="AF97" s="27" t="str">
        <f aca="true">IF($O97="","",IF(OR($AE97="Cancelled",$AE97="On hold",$AE97="Launched"),$AE97,IF(AND($Y97="Approved",OR($Z97="Yes",$Z97="N/A"),OR($AA97="Yes",$AA97="N/A"),OR($AB97="No",$AB97="N/A",AND($AB97="Yes",$AD97="Yes"))),"Ready",IF($O97&lt;TODAY(),"Overdue",IF($O97-TODAY()&lt;='Rules &amp; Guardrails'!$C$5,"At Risk","In Progress")))))</f>
        <v/>
      </c>
      <c r="AG97" s="28" t="str">
        <f aca="false">IF($O97="","",IF(OR($AE97="Launched",$AE97="Cancelled"),"",MID(IF($Y97&lt;&gt;"Approved",", Content approval","")&amp;IF(NOT(OR($Z97="Yes",$Z97="N/A")),", Assets","")&amp;IF(NOT(OR($AA97="Yes",$AA97="N/A")),", List","")&amp;IF($AB97="",", Ops decision",IF(AND($AB97="Yes",$AD97&lt;&gt;"Yes"),", Ops",""))&amp;IF($U97="",", Owner","")&amp;IF($K97="",", Segment",""),3,200)))</f>
        <v/>
      </c>
      <c r="AH97" s="29" t="str">
        <f aca="true">IF($O97="","",$O97-TODAY())</f>
        <v/>
      </c>
      <c r="AI97" s="26" t="str">
        <f aca="false">IF($O97="","",$O97-WEEKDAY($O97,3))</f>
        <v/>
      </c>
      <c r="AJ97" s="30" t="str">
        <f aca="false">IF($O97="","",DATE(YEAR($O97),MONTH($O97),1))</f>
        <v/>
      </c>
      <c r="AK97" s="31" t="str">
        <f aca="false">IF(OR($O97="",$K97=""),"",COUNTIFS('Comms Calendar'!$K$5:$K$504,$K97,'Comms Calendar'!$B$5:$B$504,$B97,'Comms Calendar'!$AI$5:$AI$504,$AI97,'Comms Calendar'!$AE$5:$AE$504,"&lt;&gt;Cancelled"))</f>
        <v/>
      </c>
      <c r="AL97" s="27" t="str">
        <f aca="false">IF($AK97="","",IF($AK97&gt;'Rules &amp; Guardrails'!$C$3,"Over cap","OK"))</f>
        <v/>
      </c>
      <c r="AM97" s="27" t="str">
        <f aca="false">IF(OR($O97="",$K97=""),"",IF(COUNTIFS('Comms Calendar'!$K$5:$K$504,$K97,'Comms Calendar'!$B$5:$B$504,$B97,'Comms Calendar'!$O$5:$O$504,$O97,'Comms Calendar'!$AE$5:$AE$504,"&lt;&gt;Cancelled")&gt;1,"Clash",""))</f>
        <v/>
      </c>
      <c r="AN97" s="27" t="str">
        <f aca="false">IF($O97="","",IF(IF($B97="Global",COUNTIF('Rules &amp; Guardrails'!$F$9:$F$60,$O97),COUNTIFS('Rules &amp; Guardrails'!$F$9:$F$60,$O97,'Rules &amp; Guardrails'!$G$9:$G$60,$B97)+COUNTIFS('Rules &amp; Guardrails'!$F$9:$F$60,$O97,'Rules &amp; Guardrails'!$G$9:$G$60,"Global"))&gt;0,"Blackout",""))</f>
        <v/>
      </c>
      <c r="AO97" s="6"/>
      <c r="AP97" s="25"/>
      <c r="AQ97" s="23"/>
      <c r="AR97" s="31" t="str">
        <f aca="false">IF($D97="","",IFERROR(VLOOKUP($D97,'Rules &amp; Guardrails'!$A$9:$D$24,2,0),"Other"))</f>
        <v/>
      </c>
      <c r="AS97" s="31" t="str">
        <f aca="false">IF($O97="","",$O97&amp;"|"&amp;$B97)</f>
        <v/>
      </c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  <c r="G98" s="6"/>
      <c r="H98" s="6"/>
      <c r="I98" s="23"/>
      <c r="J98" s="23"/>
      <c r="K98" s="23"/>
      <c r="L98" s="6"/>
      <c r="M98" s="6"/>
      <c r="N98" s="24"/>
      <c r="O98" s="25"/>
      <c r="P98" s="23"/>
      <c r="Q98" s="23"/>
      <c r="R98" s="23"/>
      <c r="S98" s="23"/>
      <c r="T98" s="26" t="str">
        <f aca="false">IF(OR($O98="",$D98=""),"",WORKDAY($O98,-IFERROR(VLOOKUP($D98,'Rules &amp; Guardrails'!$A$9:$D$24,3,0),10)))</f>
        <v/>
      </c>
      <c r="U98" s="23"/>
      <c r="V98" s="23"/>
      <c r="W98" s="23"/>
      <c r="X98" s="6"/>
      <c r="Y98" s="23"/>
      <c r="Z98" s="23"/>
      <c r="AA98" s="23"/>
      <c r="AB98" s="23"/>
      <c r="AC98" s="23"/>
      <c r="AD98" s="23"/>
      <c r="AE98" s="23"/>
      <c r="AF98" s="27" t="str">
        <f aca="true">IF($O98="","",IF(OR($AE98="Cancelled",$AE98="On hold",$AE98="Launched"),$AE98,IF(AND($Y98="Approved",OR($Z98="Yes",$Z98="N/A"),OR($AA98="Yes",$AA98="N/A"),OR($AB98="No",$AB98="N/A",AND($AB98="Yes",$AD98="Yes"))),"Ready",IF($O98&lt;TODAY(),"Overdue",IF($O98-TODAY()&lt;='Rules &amp; Guardrails'!$C$5,"At Risk","In Progress")))))</f>
        <v/>
      </c>
      <c r="AG98" s="28" t="str">
        <f aca="false">IF($O98="","",IF(OR($AE98="Launched",$AE98="Cancelled"),"",MID(IF($Y98&lt;&gt;"Approved",", Content approval","")&amp;IF(NOT(OR($Z98="Yes",$Z98="N/A")),", Assets","")&amp;IF(NOT(OR($AA98="Yes",$AA98="N/A")),", List","")&amp;IF($AB98="",", Ops decision",IF(AND($AB98="Yes",$AD98&lt;&gt;"Yes"),", Ops",""))&amp;IF($U98="",", Owner","")&amp;IF($K98="",", Segment",""),3,200)))</f>
        <v/>
      </c>
      <c r="AH98" s="29" t="str">
        <f aca="true">IF($O98="","",$O98-TODAY())</f>
        <v/>
      </c>
      <c r="AI98" s="26" t="str">
        <f aca="false">IF($O98="","",$O98-WEEKDAY($O98,3))</f>
        <v/>
      </c>
      <c r="AJ98" s="30" t="str">
        <f aca="false">IF($O98="","",DATE(YEAR($O98),MONTH($O98),1))</f>
        <v/>
      </c>
      <c r="AK98" s="31" t="str">
        <f aca="false">IF(OR($O98="",$K98=""),"",COUNTIFS('Comms Calendar'!$K$5:$K$504,$K98,'Comms Calendar'!$B$5:$B$504,$B98,'Comms Calendar'!$AI$5:$AI$504,$AI98,'Comms Calendar'!$AE$5:$AE$504,"&lt;&gt;Cancelled"))</f>
        <v/>
      </c>
      <c r="AL98" s="27" t="str">
        <f aca="false">IF($AK98="","",IF($AK98&gt;'Rules &amp; Guardrails'!$C$3,"Over cap","OK"))</f>
        <v/>
      </c>
      <c r="AM98" s="27" t="str">
        <f aca="false">IF(OR($O98="",$K98=""),"",IF(COUNTIFS('Comms Calendar'!$K$5:$K$504,$K98,'Comms Calendar'!$B$5:$B$504,$B98,'Comms Calendar'!$O$5:$O$504,$O98,'Comms Calendar'!$AE$5:$AE$504,"&lt;&gt;Cancelled")&gt;1,"Clash",""))</f>
        <v/>
      </c>
      <c r="AN98" s="27" t="str">
        <f aca="false">IF($O98="","",IF(IF($B98="Global",COUNTIF('Rules &amp; Guardrails'!$F$9:$F$60,$O98),COUNTIFS('Rules &amp; Guardrails'!$F$9:$F$60,$O98,'Rules &amp; Guardrails'!$G$9:$G$60,$B98)+COUNTIFS('Rules &amp; Guardrails'!$F$9:$F$60,$O98,'Rules &amp; Guardrails'!$G$9:$G$60,"Global"))&gt;0,"Blackout",""))</f>
        <v/>
      </c>
      <c r="AO98" s="6"/>
      <c r="AP98" s="25"/>
      <c r="AQ98" s="23"/>
      <c r="AR98" s="31" t="str">
        <f aca="false">IF($D98="","",IFERROR(VLOOKUP($D98,'Rules &amp; Guardrails'!$A$9:$D$24,2,0),"Other"))</f>
        <v/>
      </c>
      <c r="AS98" s="31" t="str">
        <f aca="false">IF($O98="","",$O98&amp;"|"&amp;$B98)</f>
        <v/>
      </c>
    </row>
    <row r="99" customFormat="false" ht="15" hidden="false" customHeight="false" outlineLevel="0" collapsed="false">
      <c r="A99" s="23"/>
      <c r="B99" s="23"/>
      <c r="C99" s="23"/>
      <c r="D99" s="23"/>
      <c r="E99" s="23"/>
      <c r="F99" s="23"/>
      <c r="G99" s="6"/>
      <c r="H99" s="6"/>
      <c r="I99" s="23"/>
      <c r="J99" s="23"/>
      <c r="K99" s="23"/>
      <c r="L99" s="6"/>
      <c r="M99" s="6"/>
      <c r="N99" s="24"/>
      <c r="O99" s="25"/>
      <c r="P99" s="23"/>
      <c r="Q99" s="23"/>
      <c r="R99" s="23"/>
      <c r="S99" s="23"/>
      <c r="T99" s="26" t="str">
        <f aca="false">IF(OR($O99="",$D99=""),"",WORKDAY($O99,-IFERROR(VLOOKUP($D99,'Rules &amp; Guardrails'!$A$9:$D$24,3,0),10)))</f>
        <v/>
      </c>
      <c r="U99" s="23"/>
      <c r="V99" s="23"/>
      <c r="W99" s="23"/>
      <c r="X99" s="6"/>
      <c r="Y99" s="23"/>
      <c r="Z99" s="23"/>
      <c r="AA99" s="23"/>
      <c r="AB99" s="23"/>
      <c r="AC99" s="23"/>
      <c r="AD99" s="23"/>
      <c r="AE99" s="23"/>
      <c r="AF99" s="27" t="str">
        <f aca="true">IF($O99="","",IF(OR($AE99="Cancelled",$AE99="On hold",$AE99="Launched"),$AE99,IF(AND($Y99="Approved",OR($Z99="Yes",$Z99="N/A"),OR($AA99="Yes",$AA99="N/A"),OR($AB99="No",$AB99="N/A",AND($AB99="Yes",$AD99="Yes"))),"Ready",IF($O99&lt;TODAY(),"Overdue",IF($O99-TODAY()&lt;='Rules &amp; Guardrails'!$C$5,"At Risk","In Progress")))))</f>
        <v/>
      </c>
      <c r="AG99" s="28" t="str">
        <f aca="false">IF($O99="","",IF(OR($AE99="Launched",$AE99="Cancelled"),"",MID(IF($Y99&lt;&gt;"Approved",", Content approval","")&amp;IF(NOT(OR($Z99="Yes",$Z99="N/A")),", Assets","")&amp;IF(NOT(OR($AA99="Yes",$AA99="N/A")),", List","")&amp;IF($AB99="",", Ops decision",IF(AND($AB99="Yes",$AD99&lt;&gt;"Yes"),", Ops",""))&amp;IF($U99="",", Owner","")&amp;IF($K99="",", Segment",""),3,200)))</f>
        <v/>
      </c>
      <c r="AH99" s="29" t="str">
        <f aca="true">IF($O99="","",$O99-TODAY())</f>
        <v/>
      </c>
      <c r="AI99" s="26" t="str">
        <f aca="false">IF($O99="","",$O99-WEEKDAY($O99,3))</f>
        <v/>
      </c>
      <c r="AJ99" s="30" t="str">
        <f aca="false">IF($O99="","",DATE(YEAR($O99),MONTH($O99),1))</f>
        <v/>
      </c>
      <c r="AK99" s="31" t="str">
        <f aca="false">IF(OR($O99="",$K99=""),"",COUNTIFS('Comms Calendar'!$K$5:$K$504,$K99,'Comms Calendar'!$B$5:$B$504,$B99,'Comms Calendar'!$AI$5:$AI$504,$AI99,'Comms Calendar'!$AE$5:$AE$504,"&lt;&gt;Cancelled"))</f>
        <v/>
      </c>
      <c r="AL99" s="27" t="str">
        <f aca="false">IF($AK99="","",IF($AK99&gt;'Rules &amp; Guardrails'!$C$3,"Over cap","OK"))</f>
        <v/>
      </c>
      <c r="AM99" s="27" t="str">
        <f aca="false">IF(OR($O99="",$K99=""),"",IF(COUNTIFS('Comms Calendar'!$K$5:$K$504,$K99,'Comms Calendar'!$B$5:$B$504,$B99,'Comms Calendar'!$O$5:$O$504,$O99,'Comms Calendar'!$AE$5:$AE$504,"&lt;&gt;Cancelled")&gt;1,"Clash",""))</f>
        <v/>
      </c>
      <c r="AN99" s="27" t="str">
        <f aca="false">IF($O99="","",IF(IF($B99="Global",COUNTIF('Rules &amp; Guardrails'!$F$9:$F$60,$O99),COUNTIFS('Rules &amp; Guardrails'!$F$9:$F$60,$O99,'Rules &amp; Guardrails'!$G$9:$G$60,$B99)+COUNTIFS('Rules &amp; Guardrails'!$F$9:$F$60,$O99,'Rules &amp; Guardrails'!$G$9:$G$60,"Global"))&gt;0,"Blackout",""))</f>
        <v/>
      </c>
      <c r="AO99" s="6"/>
      <c r="AP99" s="25"/>
      <c r="AQ99" s="23"/>
      <c r="AR99" s="31" t="str">
        <f aca="false">IF($D99="","",IFERROR(VLOOKUP($D99,'Rules &amp; Guardrails'!$A$9:$D$24,2,0),"Other"))</f>
        <v/>
      </c>
      <c r="AS99" s="31" t="str">
        <f aca="false">IF($O99="","",$O99&amp;"|"&amp;$B99)</f>
        <v/>
      </c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  <c r="G100" s="6"/>
      <c r="H100" s="6"/>
      <c r="I100" s="23"/>
      <c r="J100" s="23"/>
      <c r="K100" s="23"/>
      <c r="L100" s="6"/>
      <c r="M100" s="6"/>
      <c r="N100" s="24"/>
      <c r="O100" s="25"/>
      <c r="P100" s="23"/>
      <c r="Q100" s="23"/>
      <c r="R100" s="23"/>
      <c r="S100" s="23"/>
      <c r="T100" s="26" t="str">
        <f aca="false">IF(OR($O100="",$D100=""),"",WORKDAY($O100,-IFERROR(VLOOKUP($D100,'Rules &amp; Guardrails'!$A$9:$D$24,3,0),10)))</f>
        <v/>
      </c>
      <c r="U100" s="23"/>
      <c r="V100" s="23"/>
      <c r="W100" s="23"/>
      <c r="X100" s="6"/>
      <c r="Y100" s="23"/>
      <c r="Z100" s="23"/>
      <c r="AA100" s="23"/>
      <c r="AB100" s="23"/>
      <c r="AC100" s="23"/>
      <c r="AD100" s="23"/>
      <c r="AE100" s="23"/>
      <c r="AF100" s="27" t="str">
        <f aca="true">IF($O100="","",IF(OR($AE100="Cancelled",$AE100="On hold",$AE100="Launched"),$AE100,IF(AND($Y100="Approved",OR($Z100="Yes",$Z100="N/A"),OR($AA100="Yes",$AA100="N/A"),OR($AB100="No",$AB100="N/A",AND($AB100="Yes",$AD100="Yes"))),"Ready",IF($O100&lt;TODAY(),"Overdue",IF($O100-TODAY()&lt;='Rules &amp; Guardrails'!$C$5,"At Risk","In Progress")))))</f>
        <v/>
      </c>
      <c r="AG100" s="28" t="str">
        <f aca="false">IF($O100="","",IF(OR($AE100="Launched",$AE100="Cancelled"),"",MID(IF($Y100&lt;&gt;"Approved",", Content approval","")&amp;IF(NOT(OR($Z100="Yes",$Z100="N/A")),", Assets","")&amp;IF(NOT(OR($AA100="Yes",$AA100="N/A")),", List","")&amp;IF($AB100="",", Ops decision",IF(AND($AB100="Yes",$AD100&lt;&gt;"Yes"),", Ops",""))&amp;IF($U100="",", Owner","")&amp;IF($K100="",", Segment",""),3,200)))</f>
        <v/>
      </c>
      <c r="AH100" s="29" t="str">
        <f aca="true">IF($O100="","",$O100-TODAY())</f>
        <v/>
      </c>
      <c r="AI100" s="26" t="str">
        <f aca="false">IF($O100="","",$O100-WEEKDAY($O100,3))</f>
        <v/>
      </c>
      <c r="AJ100" s="30" t="str">
        <f aca="false">IF($O100="","",DATE(YEAR($O100),MONTH($O100),1))</f>
        <v/>
      </c>
      <c r="AK100" s="31" t="str">
        <f aca="false">IF(OR($O100="",$K100=""),"",COUNTIFS('Comms Calendar'!$K$5:$K$504,$K100,'Comms Calendar'!$B$5:$B$504,$B100,'Comms Calendar'!$AI$5:$AI$504,$AI100,'Comms Calendar'!$AE$5:$AE$504,"&lt;&gt;Cancelled"))</f>
        <v/>
      </c>
      <c r="AL100" s="27" t="str">
        <f aca="false">IF($AK100="","",IF($AK100&gt;'Rules &amp; Guardrails'!$C$3,"Over cap","OK"))</f>
        <v/>
      </c>
      <c r="AM100" s="27" t="str">
        <f aca="false">IF(OR($O100="",$K100=""),"",IF(COUNTIFS('Comms Calendar'!$K$5:$K$504,$K100,'Comms Calendar'!$B$5:$B$504,$B100,'Comms Calendar'!$O$5:$O$504,$O100,'Comms Calendar'!$AE$5:$AE$504,"&lt;&gt;Cancelled")&gt;1,"Clash",""))</f>
        <v/>
      </c>
      <c r="AN100" s="27" t="str">
        <f aca="false">IF($O100="","",IF(IF($B100="Global",COUNTIF('Rules &amp; Guardrails'!$F$9:$F$60,$O100),COUNTIFS('Rules &amp; Guardrails'!$F$9:$F$60,$O100,'Rules &amp; Guardrails'!$G$9:$G$60,$B100)+COUNTIFS('Rules &amp; Guardrails'!$F$9:$F$60,$O100,'Rules &amp; Guardrails'!$G$9:$G$60,"Global"))&gt;0,"Blackout",""))</f>
        <v/>
      </c>
      <c r="AO100" s="6"/>
      <c r="AP100" s="25"/>
      <c r="AQ100" s="23"/>
      <c r="AR100" s="31" t="str">
        <f aca="false">IF($D100="","",IFERROR(VLOOKUP($D100,'Rules &amp; Guardrails'!$A$9:$D$24,2,0),"Other"))</f>
        <v/>
      </c>
      <c r="AS100" s="31" t="str">
        <f aca="false">IF($O100="","",$O100&amp;"|"&amp;$B100)</f>
        <v/>
      </c>
    </row>
    <row r="101" customFormat="false" ht="15" hidden="false" customHeight="false" outlineLevel="0" collapsed="false">
      <c r="A101" s="23"/>
      <c r="B101" s="23"/>
      <c r="C101" s="23"/>
      <c r="D101" s="23"/>
      <c r="E101" s="23"/>
      <c r="F101" s="23"/>
      <c r="G101" s="6"/>
      <c r="H101" s="6"/>
      <c r="I101" s="23"/>
      <c r="J101" s="23"/>
      <c r="K101" s="23"/>
      <c r="L101" s="6"/>
      <c r="M101" s="6"/>
      <c r="N101" s="24"/>
      <c r="O101" s="25"/>
      <c r="P101" s="23"/>
      <c r="Q101" s="23"/>
      <c r="R101" s="23"/>
      <c r="S101" s="23"/>
      <c r="T101" s="26" t="str">
        <f aca="false">IF(OR($O101="",$D101=""),"",WORKDAY($O101,-IFERROR(VLOOKUP($D101,'Rules &amp; Guardrails'!$A$9:$D$24,3,0),10)))</f>
        <v/>
      </c>
      <c r="U101" s="23"/>
      <c r="V101" s="23"/>
      <c r="W101" s="23"/>
      <c r="X101" s="6"/>
      <c r="Y101" s="23"/>
      <c r="Z101" s="23"/>
      <c r="AA101" s="23"/>
      <c r="AB101" s="23"/>
      <c r="AC101" s="23"/>
      <c r="AD101" s="23"/>
      <c r="AE101" s="23"/>
      <c r="AF101" s="27" t="str">
        <f aca="true">IF($O101="","",IF(OR($AE101="Cancelled",$AE101="On hold",$AE101="Launched"),$AE101,IF(AND($Y101="Approved",OR($Z101="Yes",$Z101="N/A"),OR($AA101="Yes",$AA101="N/A"),OR($AB101="No",$AB101="N/A",AND($AB101="Yes",$AD101="Yes"))),"Ready",IF($O101&lt;TODAY(),"Overdue",IF($O101-TODAY()&lt;='Rules &amp; Guardrails'!$C$5,"At Risk","In Progress")))))</f>
        <v/>
      </c>
      <c r="AG101" s="28" t="str">
        <f aca="false">IF($O101="","",IF(OR($AE101="Launched",$AE101="Cancelled"),"",MID(IF($Y101&lt;&gt;"Approved",", Content approval","")&amp;IF(NOT(OR($Z101="Yes",$Z101="N/A")),", Assets","")&amp;IF(NOT(OR($AA101="Yes",$AA101="N/A")),", List","")&amp;IF($AB101="",", Ops decision",IF(AND($AB101="Yes",$AD101&lt;&gt;"Yes"),", Ops",""))&amp;IF($U101="",", Owner","")&amp;IF($K101="",", Segment",""),3,200)))</f>
        <v/>
      </c>
      <c r="AH101" s="29" t="str">
        <f aca="true">IF($O101="","",$O101-TODAY())</f>
        <v/>
      </c>
      <c r="AI101" s="26" t="str">
        <f aca="false">IF($O101="","",$O101-WEEKDAY($O101,3))</f>
        <v/>
      </c>
      <c r="AJ101" s="30" t="str">
        <f aca="false">IF($O101="","",DATE(YEAR($O101),MONTH($O101),1))</f>
        <v/>
      </c>
      <c r="AK101" s="31" t="str">
        <f aca="false">IF(OR($O101="",$K101=""),"",COUNTIFS('Comms Calendar'!$K$5:$K$504,$K101,'Comms Calendar'!$B$5:$B$504,$B101,'Comms Calendar'!$AI$5:$AI$504,$AI101,'Comms Calendar'!$AE$5:$AE$504,"&lt;&gt;Cancelled"))</f>
        <v/>
      </c>
      <c r="AL101" s="27" t="str">
        <f aca="false">IF($AK101="","",IF($AK101&gt;'Rules &amp; Guardrails'!$C$3,"Over cap","OK"))</f>
        <v/>
      </c>
      <c r="AM101" s="27" t="str">
        <f aca="false">IF(OR($O101="",$K101=""),"",IF(COUNTIFS('Comms Calendar'!$K$5:$K$504,$K101,'Comms Calendar'!$B$5:$B$504,$B101,'Comms Calendar'!$O$5:$O$504,$O101,'Comms Calendar'!$AE$5:$AE$504,"&lt;&gt;Cancelled")&gt;1,"Clash",""))</f>
        <v/>
      </c>
      <c r="AN101" s="27" t="str">
        <f aca="false">IF($O101="","",IF(IF($B101="Global",COUNTIF('Rules &amp; Guardrails'!$F$9:$F$60,$O101),COUNTIFS('Rules &amp; Guardrails'!$F$9:$F$60,$O101,'Rules &amp; Guardrails'!$G$9:$G$60,$B101)+COUNTIFS('Rules &amp; Guardrails'!$F$9:$F$60,$O101,'Rules &amp; Guardrails'!$G$9:$G$60,"Global"))&gt;0,"Blackout",""))</f>
        <v/>
      </c>
      <c r="AO101" s="6"/>
      <c r="AP101" s="25"/>
      <c r="AQ101" s="23"/>
      <c r="AR101" s="31" t="str">
        <f aca="false">IF($D101="","",IFERROR(VLOOKUP($D101,'Rules &amp; Guardrails'!$A$9:$D$24,2,0),"Other"))</f>
        <v/>
      </c>
      <c r="AS101" s="31" t="str">
        <f aca="false">IF($O101="","",$O101&amp;"|"&amp;$B101)</f>
        <v/>
      </c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  <c r="G102" s="6"/>
      <c r="H102" s="6"/>
      <c r="I102" s="23"/>
      <c r="J102" s="23"/>
      <c r="K102" s="23"/>
      <c r="L102" s="6"/>
      <c r="M102" s="6"/>
      <c r="N102" s="24"/>
      <c r="O102" s="25"/>
      <c r="P102" s="23"/>
      <c r="Q102" s="23"/>
      <c r="R102" s="23"/>
      <c r="S102" s="23"/>
      <c r="T102" s="26" t="str">
        <f aca="false">IF(OR($O102="",$D102=""),"",WORKDAY($O102,-IFERROR(VLOOKUP($D102,'Rules &amp; Guardrails'!$A$9:$D$24,3,0),10)))</f>
        <v/>
      </c>
      <c r="U102" s="23"/>
      <c r="V102" s="23"/>
      <c r="W102" s="23"/>
      <c r="X102" s="6"/>
      <c r="Y102" s="23"/>
      <c r="Z102" s="23"/>
      <c r="AA102" s="23"/>
      <c r="AB102" s="23"/>
      <c r="AC102" s="23"/>
      <c r="AD102" s="23"/>
      <c r="AE102" s="23"/>
      <c r="AF102" s="27" t="str">
        <f aca="true">IF($O102="","",IF(OR($AE102="Cancelled",$AE102="On hold",$AE102="Launched"),$AE102,IF(AND($Y102="Approved",OR($Z102="Yes",$Z102="N/A"),OR($AA102="Yes",$AA102="N/A"),OR($AB102="No",$AB102="N/A",AND($AB102="Yes",$AD102="Yes"))),"Ready",IF($O102&lt;TODAY(),"Overdue",IF($O102-TODAY()&lt;='Rules &amp; Guardrails'!$C$5,"At Risk","In Progress")))))</f>
        <v/>
      </c>
      <c r="AG102" s="28" t="str">
        <f aca="false">IF($O102="","",IF(OR($AE102="Launched",$AE102="Cancelled"),"",MID(IF($Y102&lt;&gt;"Approved",", Content approval","")&amp;IF(NOT(OR($Z102="Yes",$Z102="N/A")),", Assets","")&amp;IF(NOT(OR($AA102="Yes",$AA102="N/A")),", List","")&amp;IF($AB102="",", Ops decision",IF(AND($AB102="Yes",$AD102&lt;&gt;"Yes"),", Ops",""))&amp;IF($U102="",", Owner","")&amp;IF($K102="",", Segment",""),3,200)))</f>
        <v/>
      </c>
      <c r="AH102" s="29" t="str">
        <f aca="true">IF($O102="","",$O102-TODAY())</f>
        <v/>
      </c>
      <c r="AI102" s="26" t="str">
        <f aca="false">IF($O102="","",$O102-WEEKDAY($O102,3))</f>
        <v/>
      </c>
      <c r="AJ102" s="30" t="str">
        <f aca="false">IF($O102="","",DATE(YEAR($O102),MONTH($O102),1))</f>
        <v/>
      </c>
      <c r="AK102" s="31" t="str">
        <f aca="false">IF(OR($O102="",$K102=""),"",COUNTIFS('Comms Calendar'!$K$5:$K$504,$K102,'Comms Calendar'!$B$5:$B$504,$B102,'Comms Calendar'!$AI$5:$AI$504,$AI102,'Comms Calendar'!$AE$5:$AE$504,"&lt;&gt;Cancelled"))</f>
        <v/>
      </c>
      <c r="AL102" s="27" t="str">
        <f aca="false">IF($AK102="","",IF($AK102&gt;'Rules &amp; Guardrails'!$C$3,"Over cap","OK"))</f>
        <v/>
      </c>
      <c r="AM102" s="27" t="str">
        <f aca="false">IF(OR($O102="",$K102=""),"",IF(COUNTIFS('Comms Calendar'!$K$5:$K$504,$K102,'Comms Calendar'!$B$5:$B$504,$B102,'Comms Calendar'!$O$5:$O$504,$O102,'Comms Calendar'!$AE$5:$AE$504,"&lt;&gt;Cancelled")&gt;1,"Clash",""))</f>
        <v/>
      </c>
      <c r="AN102" s="27" t="str">
        <f aca="false">IF($O102="","",IF(IF($B102="Global",COUNTIF('Rules &amp; Guardrails'!$F$9:$F$60,$O102),COUNTIFS('Rules &amp; Guardrails'!$F$9:$F$60,$O102,'Rules &amp; Guardrails'!$G$9:$G$60,$B102)+COUNTIFS('Rules &amp; Guardrails'!$F$9:$F$60,$O102,'Rules &amp; Guardrails'!$G$9:$G$60,"Global"))&gt;0,"Blackout",""))</f>
        <v/>
      </c>
      <c r="AO102" s="6"/>
      <c r="AP102" s="25"/>
      <c r="AQ102" s="23"/>
      <c r="AR102" s="31" t="str">
        <f aca="false">IF($D102="","",IFERROR(VLOOKUP($D102,'Rules &amp; Guardrails'!$A$9:$D$24,2,0),"Other"))</f>
        <v/>
      </c>
      <c r="AS102" s="31" t="str">
        <f aca="false">IF($O102="","",$O102&amp;"|"&amp;$B102)</f>
        <v/>
      </c>
    </row>
    <row r="103" customFormat="false" ht="15" hidden="false" customHeight="false" outlineLevel="0" collapsed="false">
      <c r="A103" s="23"/>
      <c r="B103" s="23"/>
      <c r="C103" s="23"/>
      <c r="D103" s="23"/>
      <c r="E103" s="23"/>
      <c r="F103" s="23"/>
      <c r="G103" s="6"/>
      <c r="H103" s="6"/>
      <c r="I103" s="23"/>
      <c r="J103" s="23"/>
      <c r="K103" s="23"/>
      <c r="L103" s="6"/>
      <c r="M103" s="6"/>
      <c r="N103" s="24"/>
      <c r="O103" s="25"/>
      <c r="P103" s="23"/>
      <c r="Q103" s="23"/>
      <c r="R103" s="23"/>
      <c r="S103" s="23"/>
      <c r="T103" s="26" t="str">
        <f aca="false">IF(OR($O103="",$D103=""),"",WORKDAY($O103,-IFERROR(VLOOKUP($D103,'Rules &amp; Guardrails'!$A$9:$D$24,3,0),10)))</f>
        <v/>
      </c>
      <c r="U103" s="23"/>
      <c r="V103" s="23"/>
      <c r="W103" s="23"/>
      <c r="X103" s="6"/>
      <c r="Y103" s="23"/>
      <c r="Z103" s="23"/>
      <c r="AA103" s="23"/>
      <c r="AB103" s="23"/>
      <c r="AC103" s="23"/>
      <c r="AD103" s="23"/>
      <c r="AE103" s="23"/>
      <c r="AF103" s="27" t="str">
        <f aca="true">IF($O103="","",IF(OR($AE103="Cancelled",$AE103="On hold",$AE103="Launched"),$AE103,IF(AND($Y103="Approved",OR($Z103="Yes",$Z103="N/A"),OR($AA103="Yes",$AA103="N/A"),OR($AB103="No",$AB103="N/A",AND($AB103="Yes",$AD103="Yes"))),"Ready",IF($O103&lt;TODAY(),"Overdue",IF($O103-TODAY()&lt;='Rules &amp; Guardrails'!$C$5,"At Risk","In Progress")))))</f>
        <v/>
      </c>
      <c r="AG103" s="28" t="str">
        <f aca="false">IF($O103="","",IF(OR($AE103="Launched",$AE103="Cancelled"),"",MID(IF($Y103&lt;&gt;"Approved",", Content approval","")&amp;IF(NOT(OR($Z103="Yes",$Z103="N/A")),", Assets","")&amp;IF(NOT(OR($AA103="Yes",$AA103="N/A")),", List","")&amp;IF($AB103="",", Ops decision",IF(AND($AB103="Yes",$AD103&lt;&gt;"Yes"),", Ops",""))&amp;IF($U103="",", Owner","")&amp;IF($K103="",", Segment",""),3,200)))</f>
        <v/>
      </c>
      <c r="AH103" s="29" t="str">
        <f aca="true">IF($O103="","",$O103-TODAY())</f>
        <v/>
      </c>
      <c r="AI103" s="26" t="str">
        <f aca="false">IF($O103="","",$O103-WEEKDAY($O103,3))</f>
        <v/>
      </c>
      <c r="AJ103" s="30" t="str">
        <f aca="false">IF($O103="","",DATE(YEAR($O103),MONTH($O103),1))</f>
        <v/>
      </c>
      <c r="AK103" s="31" t="str">
        <f aca="false">IF(OR($O103="",$K103=""),"",COUNTIFS('Comms Calendar'!$K$5:$K$504,$K103,'Comms Calendar'!$B$5:$B$504,$B103,'Comms Calendar'!$AI$5:$AI$504,$AI103,'Comms Calendar'!$AE$5:$AE$504,"&lt;&gt;Cancelled"))</f>
        <v/>
      </c>
      <c r="AL103" s="27" t="str">
        <f aca="false">IF($AK103="","",IF($AK103&gt;'Rules &amp; Guardrails'!$C$3,"Over cap","OK"))</f>
        <v/>
      </c>
      <c r="AM103" s="27" t="str">
        <f aca="false">IF(OR($O103="",$K103=""),"",IF(COUNTIFS('Comms Calendar'!$K$5:$K$504,$K103,'Comms Calendar'!$B$5:$B$504,$B103,'Comms Calendar'!$O$5:$O$504,$O103,'Comms Calendar'!$AE$5:$AE$504,"&lt;&gt;Cancelled")&gt;1,"Clash",""))</f>
        <v/>
      </c>
      <c r="AN103" s="27" t="str">
        <f aca="false">IF($O103="","",IF(IF($B103="Global",COUNTIF('Rules &amp; Guardrails'!$F$9:$F$60,$O103),COUNTIFS('Rules &amp; Guardrails'!$F$9:$F$60,$O103,'Rules &amp; Guardrails'!$G$9:$G$60,$B103)+COUNTIFS('Rules &amp; Guardrails'!$F$9:$F$60,$O103,'Rules &amp; Guardrails'!$G$9:$G$60,"Global"))&gt;0,"Blackout",""))</f>
        <v/>
      </c>
      <c r="AO103" s="6"/>
      <c r="AP103" s="25"/>
      <c r="AQ103" s="23"/>
      <c r="AR103" s="31" t="str">
        <f aca="false">IF($D103="","",IFERROR(VLOOKUP($D103,'Rules &amp; Guardrails'!$A$9:$D$24,2,0),"Other"))</f>
        <v/>
      </c>
      <c r="AS103" s="31" t="str">
        <f aca="false">IF($O103="","",$O103&amp;"|"&amp;$B103)</f>
        <v/>
      </c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  <c r="G104" s="6"/>
      <c r="H104" s="6"/>
      <c r="I104" s="23"/>
      <c r="J104" s="23"/>
      <c r="K104" s="23"/>
      <c r="L104" s="6"/>
      <c r="M104" s="6"/>
      <c r="N104" s="24"/>
      <c r="O104" s="25"/>
      <c r="P104" s="23"/>
      <c r="Q104" s="23"/>
      <c r="R104" s="23"/>
      <c r="S104" s="23"/>
      <c r="T104" s="26" t="str">
        <f aca="false">IF(OR($O104="",$D104=""),"",WORKDAY($O104,-IFERROR(VLOOKUP($D104,'Rules &amp; Guardrails'!$A$9:$D$24,3,0),10)))</f>
        <v/>
      </c>
      <c r="U104" s="23"/>
      <c r="V104" s="23"/>
      <c r="W104" s="23"/>
      <c r="X104" s="6"/>
      <c r="Y104" s="23"/>
      <c r="Z104" s="23"/>
      <c r="AA104" s="23"/>
      <c r="AB104" s="23"/>
      <c r="AC104" s="23"/>
      <c r="AD104" s="23"/>
      <c r="AE104" s="23"/>
      <c r="AF104" s="27" t="str">
        <f aca="true">IF($O104="","",IF(OR($AE104="Cancelled",$AE104="On hold",$AE104="Launched"),$AE104,IF(AND($Y104="Approved",OR($Z104="Yes",$Z104="N/A"),OR($AA104="Yes",$AA104="N/A"),OR($AB104="No",$AB104="N/A",AND($AB104="Yes",$AD104="Yes"))),"Ready",IF($O104&lt;TODAY(),"Overdue",IF($O104-TODAY()&lt;='Rules &amp; Guardrails'!$C$5,"At Risk","In Progress")))))</f>
        <v/>
      </c>
      <c r="AG104" s="28" t="str">
        <f aca="false">IF($O104="","",IF(OR($AE104="Launched",$AE104="Cancelled"),"",MID(IF($Y104&lt;&gt;"Approved",", Content approval","")&amp;IF(NOT(OR($Z104="Yes",$Z104="N/A")),", Assets","")&amp;IF(NOT(OR($AA104="Yes",$AA104="N/A")),", List","")&amp;IF($AB104="",", Ops decision",IF(AND($AB104="Yes",$AD104&lt;&gt;"Yes"),", Ops",""))&amp;IF($U104="",", Owner","")&amp;IF($K104="",", Segment",""),3,200)))</f>
        <v/>
      </c>
      <c r="AH104" s="29" t="str">
        <f aca="true">IF($O104="","",$O104-TODAY())</f>
        <v/>
      </c>
      <c r="AI104" s="26" t="str">
        <f aca="false">IF($O104="","",$O104-WEEKDAY($O104,3))</f>
        <v/>
      </c>
      <c r="AJ104" s="30" t="str">
        <f aca="false">IF($O104="","",DATE(YEAR($O104),MONTH($O104),1))</f>
        <v/>
      </c>
      <c r="AK104" s="31" t="str">
        <f aca="false">IF(OR($O104="",$K104=""),"",COUNTIFS('Comms Calendar'!$K$5:$K$504,$K104,'Comms Calendar'!$B$5:$B$504,$B104,'Comms Calendar'!$AI$5:$AI$504,$AI104,'Comms Calendar'!$AE$5:$AE$504,"&lt;&gt;Cancelled"))</f>
        <v/>
      </c>
      <c r="AL104" s="27" t="str">
        <f aca="false">IF($AK104="","",IF($AK104&gt;'Rules &amp; Guardrails'!$C$3,"Over cap","OK"))</f>
        <v/>
      </c>
      <c r="AM104" s="27" t="str">
        <f aca="false">IF(OR($O104="",$K104=""),"",IF(COUNTIFS('Comms Calendar'!$K$5:$K$504,$K104,'Comms Calendar'!$B$5:$B$504,$B104,'Comms Calendar'!$O$5:$O$504,$O104,'Comms Calendar'!$AE$5:$AE$504,"&lt;&gt;Cancelled")&gt;1,"Clash",""))</f>
        <v/>
      </c>
      <c r="AN104" s="27" t="str">
        <f aca="false">IF($O104="","",IF(IF($B104="Global",COUNTIF('Rules &amp; Guardrails'!$F$9:$F$60,$O104),COUNTIFS('Rules &amp; Guardrails'!$F$9:$F$60,$O104,'Rules &amp; Guardrails'!$G$9:$G$60,$B104)+COUNTIFS('Rules &amp; Guardrails'!$F$9:$F$60,$O104,'Rules &amp; Guardrails'!$G$9:$G$60,"Global"))&gt;0,"Blackout",""))</f>
        <v/>
      </c>
      <c r="AO104" s="6"/>
      <c r="AP104" s="25"/>
      <c r="AQ104" s="23"/>
      <c r="AR104" s="31" t="str">
        <f aca="false">IF($D104="","",IFERROR(VLOOKUP($D104,'Rules &amp; Guardrails'!$A$9:$D$24,2,0),"Other"))</f>
        <v/>
      </c>
      <c r="AS104" s="31" t="str">
        <f aca="false">IF($O104="","",$O104&amp;"|"&amp;$B104)</f>
        <v/>
      </c>
    </row>
    <row r="105" customFormat="false" ht="15" hidden="false" customHeight="false" outlineLevel="0" collapsed="false">
      <c r="A105" s="23"/>
      <c r="B105" s="23"/>
      <c r="C105" s="23"/>
      <c r="D105" s="23"/>
      <c r="E105" s="23"/>
      <c r="F105" s="23"/>
      <c r="G105" s="6"/>
      <c r="H105" s="6"/>
      <c r="I105" s="23"/>
      <c r="J105" s="23"/>
      <c r="K105" s="23"/>
      <c r="L105" s="6"/>
      <c r="M105" s="6"/>
      <c r="N105" s="24"/>
      <c r="O105" s="25"/>
      <c r="P105" s="23"/>
      <c r="Q105" s="23"/>
      <c r="R105" s="23"/>
      <c r="S105" s="23"/>
      <c r="T105" s="26" t="str">
        <f aca="false">IF(OR($O105="",$D105=""),"",WORKDAY($O105,-IFERROR(VLOOKUP($D105,'Rules &amp; Guardrails'!$A$9:$D$24,3,0),10)))</f>
        <v/>
      </c>
      <c r="U105" s="23"/>
      <c r="V105" s="23"/>
      <c r="W105" s="23"/>
      <c r="X105" s="6"/>
      <c r="Y105" s="23"/>
      <c r="Z105" s="23"/>
      <c r="AA105" s="23"/>
      <c r="AB105" s="23"/>
      <c r="AC105" s="23"/>
      <c r="AD105" s="23"/>
      <c r="AE105" s="23"/>
      <c r="AF105" s="27" t="str">
        <f aca="true">IF($O105="","",IF(OR($AE105="Cancelled",$AE105="On hold",$AE105="Launched"),$AE105,IF(AND($Y105="Approved",OR($Z105="Yes",$Z105="N/A"),OR($AA105="Yes",$AA105="N/A"),OR($AB105="No",$AB105="N/A",AND($AB105="Yes",$AD105="Yes"))),"Ready",IF($O105&lt;TODAY(),"Overdue",IF($O105-TODAY()&lt;='Rules &amp; Guardrails'!$C$5,"At Risk","In Progress")))))</f>
        <v/>
      </c>
      <c r="AG105" s="28" t="str">
        <f aca="false">IF($O105="","",IF(OR($AE105="Launched",$AE105="Cancelled"),"",MID(IF($Y105&lt;&gt;"Approved",", Content approval","")&amp;IF(NOT(OR($Z105="Yes",$Z105="N/A")),", Assets","")&amp;IF(NOT(OR($AA105="Yes",$AA105="N/A")),", List","")&amp;IF($AB105="",", Ops decision",IF(AND($AB105="Yes",$AD105&lt;&gt;"Yes"),", Ops",""))&amp;IF($U105="",", Owner","")&amp;IF($K105="",", Segment",""),3,200)))</f>
        <v/>
      </c>
      <c r="AH105" s="29" t="str">
        <f aca="true">IF($O105="","",$O105-TODAY())</f>
        <v/>
      </c>
      <c r="AI105" s="26" t="str">
        <f aca="false">IF($O105="","",$O105-WEEKDAY($O105,3))</f>
        <v/>
      </c>
      <c r="AJ105" s="30" t="str">
        <f aca="false">IF($O105="","",DATE(YEAR($O105),MONTH($O105),1))</f>
        <v/>
      </c>
      <c r="AK105" s="31" t="str">
        <f aca="false">IF(OR($O105="",$K105=""),"",COUNTIFS('Comms Calendar'!$K$5:$K$504,$K105,'Comms Calendar'!$B$5:$B$504,$B105,'Comms Calendar'!$AI$5:$AI$504,$AI105,'Comms Calendar'!$AE$5:$AE$504,"&lt;&gt;Cancelled"))</f>
        <v/>
      </c>
      <c r="AL105" s="27" t="str">
        <f aca="false">IF($AK105="","",IF($AK105&gt;'Rules &amp; Guardrails'!$C$3,"Over cap","OK"))</f>
        <v/>
      </c>
      <c r="AM105" s="27" t="str">
        <f aca="false">IF(OR($O105="",$K105=""),"",IF(COUNTIFS('Comms Calendar'!$K$5:$K$504,$K105,'Comms Calendar'!$B$5:$B$504,$B105,'Comms Calendar'!$O$5:$O$504,$O105,'Comms Calendar'!$AE$5:$AE$504,"&lt;&gt;Cancelled")&gt;1,"Clash",""))</f>
        <v/>
      </c>
      <c r="AN105" s="27" t="str">
        <f aca="false">IF($O105="","",IF(IF($B105="Global",COUNTIF('Rules &amp; Guardrails'!$F$9:$F$60,$O105),COUNTIFS('Rules &amp; Guardrails'!$F$9:$F$60,$O105,'Rules &amp; Guardrails'!$G$9:$G$60,$B105)+COUNTIFS('Rules &amp; Guardrails'!$F$9:$F$60,$O105,'Rules &amp; Guardrails'!$G$9:$G$60,"Global"))&gt;0,"Blackout",""))</f>
        <v/>
      </c>
      <c r="AO105" s="6"/>
      <c r="AP105" s="25"/>
      <c r="AQ105" s="23"/>
      <c r="AR105" s="31" t="str">
        <f aca="false">IF($D105="","",IFERROR(VLOOKUP($D105,'Rules &amp; Guardrails'!$A$9:$D$24,2,0),"Other"))</f>
        <v/>
      </c>
      <c r="AS105" s="31" t="str">
        <f aca="false">IF($O105="","",$O105&amp;"|"&amp;$B105)</f>
        <v/>
      </c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  <c r="G106" s="6"/>
      <c r="H106" s="6"/>
      <c r="I106" s="23"/>
      <c r="J106" s="23"/>
      <c r="K106" s="23"/>
      <c r="L106" s="6"/>
      <c r="M106" s="6"/>
      <c r="N106" s="24"/>
      <c r="O106" s="25"/>
      <c r="P106" s="23"/>
      <c r="Q106" s="23"/>
      <c r="R106" s="23"/>
      <c r="S106" s="23"/>
      <c r="T106" s="26" t="str">
        <f aca="false">IF(OR($O106="",$D106=""),"",WORKDAY($O106,-IFERROR(VLOOKUP($D106,'Rules &amp; Guardrails'!$A$9:$D$24,3,0),10)))</f>
        <v/>
      </c>
      <c r="U106" s="23"/>
      <c r="V106" s="23"/>
      <c r="W106" s="23"/>
      <c r="X106" s="6"/>
      <c r="Y106" s="23"/>
      <c r="Z106" s="23"/>
      <c r="AA106" s="23"/>
      <c r="AB106" s="23"/>
      <c r="AC106" s="23"/>
      <c r="AD106" s="23"/>
      <c r="AE106" s="23"/>
      <c r="AF106" s="27" t="str">
        <f aca="true">IF($O106="","",IF(OR($AE106="Cancelled",$AE106="On hold",$AE106="Launched"),$AE106,IF(AND($Y106="Approved",OR($Z106="Yes",$Z106="N/A"),OR($AA106="Yes",$AA106="N/A"),OR($AB106="No",$AB106="N/A",AND($AB106="Yes",$AD106="Yes"))),"Ready",IF($O106&lt;TODAY(),"Overdue",IF($O106-TODAY()&lt;='Rules &amp; Guardrails'!$C$5,"At Risk","In Progress")))))</f>
        <v/>
      </c>
      <c r="AG106" s="28" t="str">
        <f aca="false">IF($O106="","",IF(OR($AE106="Launched",$AE106="Cancelled"),"",MID(IF($Y106&lt;&gt;"Approved",", Content approval","")&amp;IF(NOT(OR($Z106="Yes",$Z106="N/A")),", Assets","")&amp;IF(NOT(OR($AA106="Yes",$AA106="N/A")),", List","")&amp;IF($AB106="",", Ops decision",IF(AND($AB106="Yes",$AD106&lt;&gt;"Yes"),", Ops",""))&amp;IF($U106="",", Owner","")&amp;IF($K106="",", Segment",""),3,200)))</f>
        <v/>
      </c>
      <c r="AH106" s="29" t="str">
        <f aca="true">IF($O106="","",$O106-TODAY())</f>
        <v/>
      </c>
      <c r="AI106" s="26" t="str">
        <f aca="false">IF($O106="","",$O106-WEEKDAY($O106,3))</f>
        <v/>
      </c>
      <c r="AJ106" s="30" t="str">
        <f aca="false">IF($O106="","",DATE(YEAR($O106),MONTH($O106),1))</f>
        <v/>
      </c>
      <c r="AK106" s="31" t="str">
        <f aca="false">IF(OR($O106="",$K106=""),"",COUNTIFS('Comms Calendar'!$K$5:$K$504,$K106,'Comms Calendar'!$B$5:$B$504,$B106,'Comms Calendar'!$AI$5:$AI$504,$AI106,'Comms Calendar'!$AE$5:$AE$504,"&lt;&gt;Cancelled"))</f>
        <v/>
      </c>
      <c r="AL106" s="27" t="str">
        <f aca="false">IF($AK106="","",IF($AK106&gt;'Rules &amp; Guardrails'!$C$3,"Over cap","OK"))</f>
        <v/>
      </c>
      <c r="AM106" s="27" t="str">
        <f aca="false">IF(OR($O106="",$K106=""),"",IF(COUNTIFS('Comms Calendar'!$K$5:$K$504,$K106,'Comms Calendar'!$B$5:$B$504,$B106,'Comms Calendar'!$O$5:$O$504,$O106,'Comms Calendar'!$AE$5:$AE$504,"&lt;&gt;Cancelled")&gt;1,"Clash",""))</f>
        <v/>
      </c>
      <c r="AN106" s="27" t="str">
        <f aca="false">IF($O106="","",IF(IF($B106="Global",COUNTIF('Rules &amp; Guardrails'!$F$9:$F$60,$O106),COUNTIFS('Rules &amp; Guardrails'!$F$9:$F$60,$O106,'Rules &amp; Guardrails'!$G$9:$G$60,$B106)+COUNTIFS('Rules &amp; Guardrails'!$F$9:$F$60,$O106,'Rules &amp; Guardrails'!$G$9:$G$60,"Global"))&gt;0,"Blackout",""))</f>
        <v/>
      </c>
      <c r="AO106" s="6"/>
      <c r="AP106" s="25"/>
      <c r="AQ106" s="23"/>
      <c r="AR106" s="31" t="str">
        <f aca="false">IF($D106="","",IFERROR(VLOOKUP($D106,'Rules &amp; Guardrails'!$A$9:$D$24,2,0),"Other"))</f>
        <v/>
      </c>
      <c r="AS106" s="31" t="str">
        <f aca="false">IF($O106="","",$O106&amp;"|"&amp;$B106)</f>
        <v/>
      </c>
    </row>
    <row r="107" customFormat="false" ht="15" hidden="false" customHeight="false" outlineLevel="0" collapsed="false">
      <c r="A107" s="23"/>
      <c r="B107" s="23"/>
      <c r="C107" s="23"/>
      <c r="D107" s="23"/>
      <c r="E107" s="23"/>
      <c r="F107" s="23"/>
      <c r="G107" s="6"/>
      <c r="H107" s="6"/>
      <c r="I107" s="23"/>
      <c r="J107" s="23"/>
      <c r="K107" s="23"/>
      <c r="L107" s="6"/>
      <c r="M107" s="6"/>
      <c r="N107" s="24"/>
      <c r="O107" s="25"/>
      <c r="P107" s="23"/>
      <c r="Q107" s="23"/>
      <c r="R107" s="23"/>
      <c r="S107" s="23"/>
      <c r="T107" s="26" t="str">
        <f aca="false">IF(OR($O107="",$D107=""),"",WORKDAY($O107,-IFERROR(VLOOKUP($D107,'Rules &amp; Guardrails'!$A$9:$D$24,3,0),10)))</f>
        <v/>
      </c>
      <c r="U107" s="23"/>
      <c r="V107" s="23"/>
      <c r="W107" s="23"/>
      <c r="X107" s="6"/>
      <c r="Y107" s="23"/>
      <c r="Z107" s="23"/>
      <c r="AA107" s="23"/>
      <c r="AB107" s="23"/>
      <c r="AC107" s="23"/>
      <c r="AD107" s="23"/>
      <c r="AE107" s="23"/>
      <c r="AF107" s="27" t="str">
        <f aca="true">IF($O107="","",IF(OR($AE107="Cancelled",$AE107="On hold",$AE107="Launched"),$AE107,IF(AND($Y107="Approved",OR($Z107="Yes",$Z107="N/A"),OR($AA107="Yes",$AA107="N/A"),OR($AB107="No",$AB107="N/A",AND($AB107="Yes",$AD107="Yes"))),"Ready",IF($O107&lt;TODAY(),"Overdue",IF($O107-TODAY()&lt;='Rules &amp; Guardrails'!$C$5,"At Risk","In Progress")))))</f>
        <v/>
      </c>
      <c r="AG107" s="28" t="str">
        <f aca="false">IF($O107="","",IF(OR($AE107="Launched",$AE107="Cancelled"),"",MID(IF($Y107&lt;&gt;"Approved",", Content approval","")&amp;IF(NOT(OR($Z107="Yes",$Z107="N/A")),", Assets","")&amp;IF(NOT(OR($AA107="Yes",$AA107="N/A")),", List","")&amp;IF($AB107="",", Ops decision",IF(AND($AB107="Yes",$AD107&lt;&gt;"Yes"),", Ops",""))&amp;IF($U107="",", Owner","")&amp;IF($K107="",", Segment",""),3,200)))</f>
        <v/>
      </c>
      <c r="AH107" s="29" t="str">
        <f aca="true">IF($O107="","",$O107-TODAY())</f>
        <v/>
      </c>
      <c r="AI107" s="26" t="str">
        <f aca="false">IF($O107="","",$O107-WEEKDAY($O107,3))</f>
        <v/>
      </c>
      <c r="AJ107" s="30" t="str">
        <f aca="false">IF($O107="","",DATE(YEAR($O107),MONTH($O107),1))</f>
        <v/>
      </c>
      <c r="AK107" s="31" t="str">
        <f aca="false">IF(OR($O107="",$K107=""),"",COUNTIFS('Comms Calendar'!$K$5:$K$504,$K107,'Comms Calendar'!$B$5:$B$504,$B107,'Comms Calendar'!$AI$5:$AI$504,$AI107,'Comms Calendar'!$AE$5:$AE$504,"&lt;&gt;Cancelled"))</f>
        <v/>
      </c>
      <c r="AL107" s="27" t="str">
        <f aca="false">IF($AK107="","",IF($AK107&gt;'Rules &amp; Guardrails'!$C$3,"Over cap","OK"))</f>
        <v/>
      </c>
      <c r="AM107" s="27" t="str">
        <f aca="false">IF(OR($O107="",$K107=""),"",IF(COUNTIFS('Comms Calendar'!$K$5:$K$504,$K107,'Comms Calendar'!$B$5:$B$504,$B107,'Comms Calendar'!$O$5:$O$504,$O107,'Comms Calendar'!$AE$5:$AE$504,"&lt;&gt;Cancelled")&gt;1,"Clash",""))</f>
        <v/>
      </c>
      <c r="AN107" s="27" t="str">
        <f aca="false">IF($O107="","",IF(IF($B107="Global",COUNTIF('Rules &amp; Guardrails'!$F$9:$F$60,$O107),COUNTIFS('Rules &amp; Guardrails'!$F$9:$F$60,$O107,'Rules &amp; Guardrails'!$G$9:$G$60,$B107)+COUNTIFS('Rules &amp; Guardrails'!$F$9:$F$60,$O107,'Rules &amp; Guardrails'!$G$9:$G$60,"Global"))&gt;0,"Blackout",""))</f>
        <v/>
      </c>
      <c r="AO107" s="6"/>
      <c r="AP107" s="25"/>
      <c r="AQ107" s="23"/>
      <c r="AR107" s="31" t="str">
        <f aca="false">IF($D107="","",IFERROR(VLOOKUP($D107,'Rules &amp; Guardrails'!$A$9:$D$24,2,0),"Other"))</f>
        <v/>
      </c>
      <c r="AS107" s="31" t="str">
        <f aca="false">IF($O107="","",$O107&amp;"|"&amp;$B107)</f>
        <v/>
      </c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  <c r="G108" s="6"/>
      <c r="H108" s="6"/>
      <c r="I108" s="23"/>
      <c r="J108" s="23"/>
      <c r="K108" s="23"/>
      <c r="L108" s="6"/>
      <c r="M108" s="6"/>
      <c r="N108" s="24"/>
      <c r="O108" s="25"/>
      <c r="P108" s="23"/>
      <c r="Q108" s="23"/>
      <c r="R108" s="23"/>
      <c r="S108" s="23"/>
      <c r="T108" s="26" t="str">
        <f aca="false">IF(OR($O108="",$D108=""),"",WORKDAY($O108,-IFERROR(VLOOKUP($D108,'Rules &amp; Guardrails'!$A$9:$D$24,3,0),10)))</f>
        <v/>
      </c>
      <c r="U108" s="23"/>
      <c r="V108" s="23"/>
      <c r="W108" s="23"/>
      <c r="X108" s="6"/>
      <c r="Y108" s="23"/>
      <c r="Z108" s="23"/>
      <c r="AA108" s="23"/>
      <c r="AB108" s="23"/>
      <c r="AC108" s="23"/>
      <c r="AD108" s="23"/>
      <c r="AE108" s="23"/>
      <c r="AF108" s="27" t="str">
        <f aca="true">IF($O108="","",IF(OR($AE108="Cancelled",$AE108="On hold",$AE108="Launched"),$AE108,IF(AND($Y108="Approved",OR($Z108="Yes",$Z108="N/A"),OR($AA108="Yes",$AA108="N/A"),OR($AB108="No",$AB108="N/A",AND($AB108="Yes",$AD108="Yes"))),"Ready",IF($O108&lt;TODAY(),"Overdue",IF($O108-TODAY()&lt;='Rules &amp; Guardrails'!$C$5,"At Risk","In Progress")))))</f>
        <v/>
      </c>
      <c r="AG108" s="28" t="str">
        <f aca="false">IF($O108="","",IF(OR($AE108="Launched",$AE108="Cancelled"),"",MID(IF($Y108&lt;&gt;"Approved",", Content approval","")&amp;IF(NOT(OR($Z108="Yes",$Z108="N/A")),", Assets","")&amp;IF(NOT(OR($AA108="Yes",$AA108="N/A")),", List","")&amp;IF($AB108="",", Ops decision",IF(AND($AB108="Yes",$AD108&lt;&gt;"Yes"),", Ops",""))&amp;IF($U108="",", Owner","")&amp;IF($K108="",", Segment",""),3,200)))</f>
        <v/>
      </c>
      <c r="AH108" s="29" t="str">
        <f aca="true">IF($O108="","",$O108-TODAY())</f>
        <v/>
      </c>
      <c r="AI108" s="26" t="str">
        <f aca="false">IF($O108="","",$O108-WEEKDAY($O108,3))</f>
        <v/>
      </c>
      <c r="AJ108" s="30" t="str">
        <f aca="false">IF($O108="","",DATE(YEAR($O108),MONTH($O108),1))</f>
        <v/>
      </c>
      <c r="AK108" s="31" t="str">
        <f aca="false">IF(OR($O108="",$K108=""),"",COUNTIFS('Comms Calendar'!$K$5:$K$504,$K108,'Comms Calendar'!$B$5:$B$504,$B108,'Comms Calendar'!$AI$5:$AI$504,$AI108,'Comms Calendar'!$AE$5:$AE$504,"&lt;&gt;Cancelled"))</f>
        <v/>
      </c>
      <c r="AL108" s="27" t="str">
        <f aca="false">IF($AK108="","",IF($AK108&gt;'Rules &amp; Guardrails'!$C$3,"Over cap","OK"))</f>
        <v/>
      </c>
      <c r="AM108" s="27" t="str">
        <f aca="false">IF(OR($O108="",$K108=""),"",IF(COUNTIFS('Comms Calendar'!$K$5:$K$504,$K108,'Comms Calendar'!$B$5:$B$504,$B108,'Comms Calendar'!$O$5:$O$504,$O108,'Comms Calendar'!$AE$5:$AE$504,"&lt;&gt;Cancelled")&gt;1,"Clash",""))</f>
        <v/>
      </c>
      <c r="AN108" s="27" t="str">
        <f aca="false">IF($O108="","",IF(IF($B108="Global",COUNTIF('Rules &amp; Guardrails'!$F$9:$F$60,$O108),COUNTIFS('Rules &amp; Guardrails'!$F$9:$F$60,$O108,'Rules &amp; Guardrails'!$G$9:$G$60,$B108)+COUNTIFS('Rules &amp; Guardrails'!$F$9:$F$60,$O108,'Rules &amp; Guardrails'!$G$9:$G$60,"Global"))&gt;0,"Blackout",""))</f>
        <v/>
      </c>
      <c r="AO108" s="6"/>
      <c r="AP108" s="25"/>
      <c r="AQ108" s="23"/>
      <c r="AR108" s="31" t="str">
        <f aca="false">IF($D108="","",IFERROR(VLOOKUP($D108,'Rules &amp; Guardrails'!$A$9:$D$24,2,0),"Other"))</f>
        <v/>
      </c>
      <c r="AS108" s="31" t="str">
        <f aca="false">IF($O108="","",$O108&amp;"|"&amp;$B108)</f>
        <v/>
      </c>
    </row>
    <row r="109" customFormat="false" ht="15" hidden="false" customHeight="false" outlineLevel="0" collapsed="false">
      <c r="A109" s="23"/>
      <c r="B109" s="23"/>
      <c r="C109" s="23"/>
      <c r="D109" s="23"/>
      <c r="E109" s="23"/>
      <c r="F109" s="23"/>
      <c r="G109" s="6"/>
      <c r="H109" s="6"/>
      <c r="I109" s="23"/>
      <c r="J109" s="23"/>
      <c r="K109" s="23"/>
      <c r="L109" s="6"/>
      <c r="M109" s="6"/>
      <c r="N109" s="24"/>
      <c r="O109" s="25"/>
      <c r="P109" s="23"/>
      <c r="Q109" s="23"/>
      <c r="R109" s="23"/>
      <c r="S109" s="23"/>
      <c r="T109" s="26" t="str">
        <f aca="false">IF(OR($O109="",$D109=""),"",WORKDAY($O109,-IFERROR(VLOOKUP($D109,'Rules &amp; Guardrails'!$A$9:$D$24,3,0),10)))</f>
        <v/>
      </c>
      <c r="U109" s="23"/>
      <c r="V109" s="23"/>
      <c r="W109" s="23"/>
      <c r="X109" s="6"/>
      <c r="Y109" s="23"/>
      <c r="Z109" s="23"/>
      <c r="AA109" s="23"/>
      <c r="AB109" s="23"/>
      <c r="AC109" s="23"/>
      <c r="AD109" s="23"/>
      <c r="AE109" s="23"/>
      <c r="AF109" s="27" t="str">
        <f aca="true">IF($O109="","",IF(OR($AE109="Cancelled",$AE109="On hold",$AE109="Launched"),$AE109,IF(AND($Y109="Approved",OR($Z109="Yes",$Z109="N/A"),OR($AA109="Yes",$AA109="N/A"),OR($AB109="No",$AB109="N/A",AND($AB109="Yes",$AD109="Yes"))),"Ready",IF($O109&lt;TODAY(),"Overdue",IF($O109-TODAY()&lt;='Rules &amp; Guardrails'!$C$5,"At Risk","In Progress")))))</f>
        <v/>
      </c>
      <c r="AG109" s="28" t="str">
        <f aca="false">IF($O109="","",IF(OR($AE109="Launched",$AE109="Cancelled"),"",MID(IF($Y109&lt;&gt;"Approved",", Content approval","")&amp;IF(NOT(OR($Z109="Yes",$Z109="N/A")),", Assets","")&amp;IF(NOT(OR($AA109="Yes",$AA109="N/A")),", List","")&amp;IF($AB109="",", Ops decision",IF(AND($AB109="Yes",$AD109&lt;&gt;"Yes"),", Ops",""))&amp;IF($U109="",", Owner","")&amp;IF($K109="",", Segment",""),3,200)))</f>
        <v/>
      </c>
      <c r="AH109" s="29" t="str">
        <f aca="true">IF($O109="","",$O109-TODAY())</f>
        <v/>
      </c>
      <c r="AI109" s="26" t="str">
        <f aca="false">IF($O109="","",$O109-WEEKDAY($O109,3))</f>
        <v/>
      </c>
      <c r="AJ109" s="30" t="str">
        <f aca="false">IF($O109="","",DATE(YEAR($O109),MONTH($O109),1))</f>
        <v/>
      </c>
      <c r="AK109" s="31" t="str">
        <f aca="false">IF(OR($O109="",$K109=""),"",COUNTIFS('Comms Calendar'!$K$5:$K$504,$K109,'Comms Calendar'!$B$5:$B$504,$B109,'Comms Calendar'!$AI$5:$AI$504,$AI109,'Comms Calendar'!$AE$5:$AE$504,"&lt;&gt;Cancelled"))</f>
        <v/>
      </c>
      <c r="AL109" s="27" t="str">
        <f aca="false">IF($AK109="","",IF($AK109&gt;'Rules &amp; Guardrails'!$C$3,"Over cap","OK"))</f>
        <v/>
      </c>
      <c r="AM109" s="27" t="str">
        <f aca="false">IF(OR($O109="",$K109=""),"",IF(COUNTIFS('Comms Calendar'!$K$5:$K$504,$K109,'Comms Calendar'!$B$5:$B$504,$B109,'Comms Calendar'!$O$5:$O$504,$O109,'Comms Calendar'!$AE$5:$AE$504,"&lt;&gt;Cancelled")&gt;1,"Clash",""))</f>
        <v/>
      </c>
      <c r="AN109" s="27" t="str">
        <f aca="false">IF($O109="","",IF(IF($B109="Global",COUNTIF('Rules &amp; Guardrails'!$F$9:$F$60,$O109),COUNTIFS('Rules &amp; Guardrails'!$F$9:$F$60,$O109,'Rules &amp; Guardrails'!$G$9:$G$60,$B109)+COUNTIFS('Rules &amp; Guardrails'!$F$9:$F$60,$O109,'Rules &amp; Guardrails'!$G$9:$G$60,"Global"))&gt;0,"Blackout",""))</f>
        <v/>
      </c>
      <c r="AO109" s="6"/>
      <c r="AP109" s="25"/>
      <c r="AQ109" s="23"/>
      <c r="AR109" s="31" t="str">
        <f aca="false">IF($D109="","",IFERROR(VLOOKUP($D109,'Rules &amp; Guardrails'!$A$9:$D$24,2,0),"Other"))</f>
        <v/>
      </c>
      <c r="AS109" s="31" t="str">
        <f aca="false">IF($O109="","",$O109&amp;"|"&amp;$B109)</f>
        <v/>
      </c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  <c r="G110" s="6"/>
      <c r="H110" s="6"/>
      <c r="I110" s="23"/>
      <c r="J110" s="23"/>
      <c r="K110" s="23"/>
      <c r="L110" s="6"/>
      <c r="M110" s="6"/>
      <c r="N110" s="24"/>
      <c r="O110" s="25"/>
      <c r="P110" s="23"/>
      <c r="Q110" s="23"/>
      <c r="R110" s="23"/>
      <c r="S110" s="23"/>
      <c r="T110" s="26" t="str">
        <f aca="false">IF(OR($O110="",$D110=""),"",WORKDAY($O110,-IFERROR(VLOOKUP($D110,'Rules &amp; Guardrails'!$A$9:$D$24,3,0),10)))</f>
        <v/>
      </c>
      <c r="U110" s="23"/>
      <c r="V110" s="23"/>
      <c r="W110" s="23"/>
      <c r="X110" s="6"/>
      <c r="Y110" s="23"/>
      <c r="Z110" s="23"/>
      <c r="AA110" s="23"/>
      <c r="AB110" s="23"/>
      <c r="AC110" s="23"/>
      <c r="AD110" s="23"/>
      <c r="AE110" s="23"/>
      <c r="AF110" s="27" t="str">
        <f aca="true">IF($O110="","",IF(OR($AE110="Cancelled",$AE110="On hold",$AE110="Launched"),$AE110,IF(AND($Y110="Approved",OR($Z110="Yes",$Z110="N/A"),OR($AA110="Yes",$AA110="N/A"),OR($AB110="No",$AB110="N/A",AND($AB110="Yes",$AD110="Yes"))),"Ready",IF($O110&lt;TODAY(),"Overdue",IF($O110-TODAY()&lt;='Rules &amp; Guardrails'!$C$5,"At Risk","In Progress")))))</f>
        <v/>
      </c>
      <c r="AG110" s="28" t="str">
        <f aca="false">IF($O110="","",IF(OR($AE110="Launched",$AE110="Cancelled"),"",MID(IF($Y110&lt;&gt;"Approved",", Content approval","")&amp;IF(NOT(OR($Z110="Yes",$Z110="N/A")),", Assets","")&amp;IF(NOT(OR($AA110="Yes",$AA110="N/A")),", List","")&amp;IF($AB110="",", Ops decision",IF(AND($AB110="Yes",$AD110&lt;&gt;"Yes"),", Ops",""))&amp;IF($U110="",", Owner","")&amp;IF($K110="",", Segment",""),3,200)))</f>
        <v/>
      </c>
      <c r="AH110" s="29" t="str">
        <f aca="true">IF($O110="","",$O110-TODAY())</f>
        <v/>
      </c>
      <c r="AI110" s="26" t="str">
        <f aca="false">IF($O110="","",$O110-WEEKDAY($O110,3))</f>
        <v/>
      </c>
      <c r="AJ110" s="30" t="str">
        <f aca="false">IF($O110="","",DATE(YEAR($O110),MONTH($O110),1))</f>
        <v/>
      </c>
      <c r="AK110" s="31" t="str">
        <f aca="false">IF(OR($O110="",$K110=""),"",COUNTIFS('Comms Calendar'!$K$5:$K$504,$K110,'Comms Calendar'!$B$5:$B$504,$B110,'Comms Calendar'!$AI$5:$AI$504,$AI110,'Comms Calendar'!$AE$5:$AE$504,"&lt;&gt;Cancelled"))</f>
        <v/>
      </c>
      <c r="AL110" s="27" t="str">
        <f aca="false">IF($AK110="","",IF($AK110&gt;'Rules &amp; Guardrails'!$C$3,"Over cap","OK"))</f>
        <v/>
      </c>
      <c r="AM110" s="27" t="str">
        <f aca="false">IF(OR($O110="",$K110=""),"",IF(COUNTIFS('Comms Calendar'!$K$5:$K$504,$K110,'Comms Calendar'!$B$5:$B$504,$B110,'Comms Calendar'!$O$5:$O$504,$O110,'Comms Calendar'!$AE$5:$AE$504,"&lt;&gt;Cancelled")&gt;1,"Clash",""))</f>
        <v/>
      </c>
      <c r="AN110" s="27" t="str">
        <f aca="false">IF($O110="","",IF(IF($B110="Global",COUNTIF('Rules &amp; Guardrails'!$F$9:$F$60,$O110),COUNTIFS('Rules &amp; Guardrails'!$F$9:$F$60,$O110,'Rules &amp; Guardrails'!$G$9:$G$60,$B110)+COUNTIFS('Rules &amp; Guardrails'!$F$9:$F$60,$O110,'Rules &amp; Guardrails'!$G$9:$G$60,"Global"))&gt;0,"Blackout",""))</f>
        <v/>
      </c>
      <c r="AO110" s="6"/>
      <c r="AP110" s="25"/>
      <c r="AQ110" s="23"/>
      <c r="AR110" s="31" t="str">
        <f aca="false">IF($D110="","",IFERROR(VLOOKUP($D110,'Rules &amp; Guardrails'!$A$9:$D$24,2,0),"Other"))</f>
        <v/>
      </c>
      <c r="AS110" s="31" t="str">
        <f aca="false">IF($O110="","",$O110&amp;"|"&amp;$B110)</f>
        <v/>
      </c>
    </row>
    <row r="111" customFormat="false" ht="15" hidden="false" customHeight="false" outlineLevel="0" collapsed="false">
      <c r="A111" s="23"/>
      <c r="B111" s="23"/>
      <c r="C111" s="23"/>
      <c r="D111" s="23"/>
      <c r="E111" s="23"/>
      <c r="F111" s="23"/>
      <c r="G111" s="6"/>
      <c r="H111" s="6"/>
      <c r="I111" s="23"/>
      <c r="J111" s="23"/>
      <c r="K111" s="23"/>
      <c r="L111" s="6"/>
      <c r="M111" s="6"/>
      <c r="N111" s="24"/>
      <c r="O111" s="25"/>
      <c r="P111" s="23"/>
      <c r="Q111" s="23"/>
      <c r="R111" s="23"/>
      <c r="S111" s="23"/>
      <c r="T111" s="26" t="str">
        <f aca="false">IF(OR($O111="",$D111=""),"",WORKDAY($O111,-IFERROR(VLOOKUP($D111,'Rules &amp; Guardrails'!$A$9:$D$24,3,0),10)))</f>
        <v/>
      </c>
      <c r="U111" s="23"/>
      <c r="V111" s="23"/>
      <c r="W111" s="23"/>
      <c r="X111" s="6"/>
      <c r="Y111" s="23"/>
      <c r="Z111" s="23"/>
      <c r="AA111" s="23"/>
      <c r="AB111" s="23"/>
      <c r="AC111" s="23"/>
      <c r="AD111" s="23"/>
      <c r="AE111" s="23"/>
      <c r="AF111" s="27" t="str">
        <f aca="true">IF($O111="","",IF(OR($AE111="Cancelled",$AE111="On hold",$AE111="Launched"),$AE111,IF(AND($Y111="Approved",OR($Z111="Yes",$Z111="N/A"),OR($AA111="Yes",$AA111="N/A"),OR($AB111="No",$AB111="N/A",AND($AB111="Yes",$AD111="Yes"))),"Ready",IF($O111&lt;TODAY(),"Overdue",IF($O111-TODAY()&lt;='Rules &amp; Guardrails'!$C$5,"At Risk","In Progress")))))</f>
        <v/>
      </c>
      <c r="AG111" s="28" t="str">
        <f aca="false">IF($O111="","",IF(OR($AE111="Launched",$AE111="Cancelled"),"",MID(IF($Y111&lt;&gt;"Approved",", Content approval","")&amp;IF(NOT(OR($Z111="Yes",$Z111="N/A")),", Assets","")&amp;IF(NOT(OR($AA111="Yes",$AA111="N/A")),", List","")&amp;IF($AB111="",", Ops decision",IF(AND($AB111="Yes",$AD111&lt;&gt;"Yes"),", Ops",""))&amp;IF($U111="",", Owner","")&amp;IF($K111="",", Segment",""),3,200)))</f>
        <v/>
      </c>
      <c r="AH111" s="29" t="str">
        <f aca="true">IF($O111="","",$O111-TODAY())</f>
        <v/>
      </c>
      <c r="AI111" s="26" t="str">
        <f aca="false">IF($O111="","",$O111-WEEKDAY($O111,3))</f>
        <v/>
      </c>
      <c r="AJ111" s="30" t="str">
        <f aca="false">IF($O111="","",DATE(YEAR($O111),MONTH($O111),1))</f>
        <v/>
      </c>
      <c r="AK111" s="31" t="str">
        <f aca="false">IF(OR($O111="",$K111=""),"",COUNTIFS('Comms Calendar'!$K$5:$K$504,$K111,'Comms Calendar'!$B$5:$B$504,$B111,'Comms Calendar'!$AI$5:$AI$504,$AI111,'Comms Calendar'!$AE$5:$AE$504,"&lt;&gt;Cancelled"))</f>
        <v/>
      </c>
      <c r="AL111" s="27" t="str">
        <f aca="false">IF($AK111="","",IF($AK111&gt;'Rules &amp; Guardrails'!$C$3,"Over cap","OK"))</f>
        <v/>
      </c>
      <c r="AM111" s="27" t="str">
        <f aca="false">IF(OR($O111="",$K111=""),"",IF(COUNTIFS('Comms Calendar'!$K$5:$K$504,$K111,'Comms Calendar'!$B$5:$B$504,$B111,'Comms Calendar'!$O$5:$O$504,$O111,'Comms Calendar'!$AE$5:$AE$504,"&lt;&gt;Cancelled")&gt;1,"Clash",""))</f>
        <v/>
      </c>
      <c r="AN111" s="27" t="str">
        <f aca="false">IF($O111="","",IF(IF($B111="Global",COUNTIF('Rules &amp; Guardrails'!$F$9:$F$60,$O111),COUNTIFS('Rules &amp; Guardrails'!$F$9:$F$60,$O111,'Rules &amp; Guardrails'!$G$9:$G$60,$B111)+COUNTIFS('Rules &amp; Guardrails'!$F$9:$F$60,$O111,'Rules &amp; Guardrails'!$G$9:$G$60,"Global"))&gt;0,"Blackout",""))</f>
        <v/>
      </c>
      <c r="AO111" s="6"/>
      <c r="AP111" s="25"/>
      <c r="AQ111" s="23"/>
      <c r="AR111" s="31" t="str">
        <f aca="false">IF($D111="","",IFERROR(VLOOKUP($D111,'Rules &amp; Guardrails'!$A$9:$D$24,2,0),"Other"))</f>
        <v/>
      </c>
      <c r="AS111" s="31" t="str">
        <f aca="false">IF($O111="","",$O111&amp;"|"&amp;$B111)</f>
        <v/>
      </c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  <c r="G112" s="6"/>
      <c r="H112" s="6"/>
      <c r="I112" s="23"/>
      <c r="J112" s="23"/>
      <c r="K112" s="23"/>
      <c r="L112" s="6"/>
      <c r="M112" s="6"/>
      <c r="N112" s="24"/>
      <c r="O112" s="25"/>
      <c r="P112" s="23"/>
      <c r="Q112" s="23"/>
      <c r="R112" s="23"/>
      <c r="S112" s="23"/>
      <c r="T112" s="26" t="str">
        <f aca="false">IF(OR($O112="",$D112=""),"",WORKDAY($O112,-IFERROR(VLOOKUP($D112,'Rules &amp; Guardrails'!$A$9:$D$24,3,0),10)))</f>
        <v/>
      </c>
      <c r="U112" s="23"/>
      <c r="V112" s="23"/>
      <c r="W112" s="23"/>
      <c r="X112" s="6"/>
      <c r="Y112" s="23"/>
      <c r="Z112" s="23"/>
      <c r="AA112" s="23"/>
      <c r="AB112" s="23"/>
      <c r="AC112" s="23"/>
      <c r="AD112" s="23"/>
      <c r="AE112" s="23"/>
      <c r="AF112" s="27" t="str">
        <f aca="true">IF($O112="","",IF(OR($AE112="Cancelled",$AE112="On hold",$AE112="Launched"),$AE112,IF(AND($Y112="Approved",OR($Z112="Yes",$Z112="N/A"),OR($AA112="Yes",$AA112="N/A"),OR($AB112="No",$AB112="N/A",AND($AB112="Yes",$AD112="Yes"))),"Ready",IF($O112&lt;TODAY(),"Overdue",IF($O112-TODAY()&lt;='Rules &amp; Guardrails'!$C$5,"At Risk","In Progress")))))</f>
        <v/>
      </c>
      <c r="AG112" s="28" t="str">
        <f aca="false">IF($O112="","",IF(OR($AE112="Launched",$AE112="Cancelled"),"",MID(IF($Y112&lt;&gt;"Approved",", Content approval","")&amp;IF(NOT(OR($Z112="Yes",$Z112="N/A")),", Assets","")&amp;IF(NOT(OR($AA112="Yes",$AA112="N/A")),", List","")&amp;IF($AB112="",", Ops decision",IF(AND($AB112="Yes",$AD112&lt;&gt;"Yes"),", Ops",""))&amp;IF($U112="",", Owner","")&amp;IF($K112="",", Segment",""),3,200)))</f>
        <v/>
      </c>
      <c r="AH112" s="29" t="str">
        <f aca="true">IF($O112="","",$O112-TODAY())</f>
        <v/>
      </c>
      <c r="AI112" s="26" t="str">
        <f aca="false">IF($O112="","",$O112-WEEKDAY($O112,3))</f>
        <v/>
      </c>
      <c r="AJ112" s="30" t="str">
        <f aca="false">IF($O112="","",DATE(YEAR($O112),MONTH($O112),1))</f>
        <v/>
      </c>
      <c r="AK112" s="31" t="str">
        <f aca="false">IF(OR($O112="",$K112=""),"",COUNTIFS('Comms Calendar'!$K$5:$K$504,$K112,'Comms Calendar'!$B$5:$B$504,$B112,'Comms Calendar'!$AI$5:$AI$504,$AI112,'Comms Calendar'!$AE$5:$AE$504,"&lt;&gt;Cancelled"))</f>
        <v/>
      </c>
      <c r="AL112" s="27" t="str">
        <f aca="false">IF($AK112="","",IF($AK112&gt;'Rules &amp; Guardrails'!$C$3,"Over cap","OK"))</f>
        <v/>
      </c>
      <c r="AM112" s="27" t="str">
        <f aca="false">IF(OR($O112="",$K112=""),"",IF(COUNTIFS('Comms Calendar'!$K$5:$K$504,$K112,'Comms Calendar'!$B$5:$B$504,$B112,'Comms Calendar'!$O$5:$O$504,$O112,'Comms Calendar'!$AE$5:$AE$504,"&lt;&gt;Cancelled")&gt;1,"Clash",""))</f>
        <v/>
      </c>
      <c r="AN112" s="27" t="str">
        <f aca="false">IF($O112="","",IF(IF($B112="Global",COUNTIF('Rules &amp; Guardrails'!$F$9:$F$60,$O112),COUNTIFS('Rules &amp; Guardrails'!$F$9:$F$60,$O112,'Rules &amp; Guardrails'!$G$9:$G$60,$B112)+COUNTIFS('Rules &amp; Guardrails'!$F$9:$F$60,$O112,'Rules &amp; Guardrails'!$G$9:$G$60,"Global"))&gt;0,"Blackout",""))</f>
        <v/>
      </c>
      <c r="AO112" s="6"/>
      <c r="AP112" s="25"/>
      <c r="AQ112" s="23"/>
      <c r="AR112" s="31" t="str">
        <f aca="false">IF($D112="","",IFERROR(VLOOKUP($D112,'Rules &amp; Guardrails'!$A$9:$D$24,2,0),"Other"))</f>
        <v/>
      </c>
      <c r="AS112" s="31" t="str">
        <f aca="false">IF($O112="","",$O112&amp;"|"&amp;$B112)</f>
        <v/>
      </c>
    </row>
    <row r="113" customFormat="false" ht="15" hidden="false" customHeight="false" outlineLevel="0" collapsed="false">
      <c r="A113" s="23"/>
      <c r="B113" s="23"/>
      <c r="C113" s="23"/>
      <c r="D113" s="23"/>
      <c r="E113" s="23"/>
      <c r="F113" s="23"/>
      <c r="G113" s="6"/>
      <c r="H113" s="6"/>
      <c r="I113" s="23"/>
      <c r="J113" s="23"/>
      <c r="K113" s="23"/>
      <c r="L113" s="6"/>
      <c r="M113" s="6"/>
      <c r="N113" s="24"/>
      <c r="O113" s="25"/>
      <c r="P113" s="23"/>
      <c r="Q113" s="23"/>
      <c r="R113" s="23"/>
      <c r="S113" s="23"/>
      <c r="T113" s="26" t="str">
        <f aca="false">IF(OR($O113="",$D113=""),"",WORKDAY($O113,-IFERROR(VLOOKUP($D113,'Rules &amp; Guardrails'!$A$9:$D$24,3,0),10)))</f>
        <v/>
      </c>
      <c r="U113" s="23"/>
      <c r="V113" s="23"/>
      <c r="W113" s="23"/>
      <c r="X113" s="6"/>
      <c r="Y113" s="23"/>
      <c r="Z113" s="23"/>
      <c r="AA113" s="23"/>
      <c r="AB113" s="23"/>
      <c r="AC113" s="23"/>
      <c r="AD113" s="23"/>
      <c r="AE113" s="23"/>
      <c r="AF113" s="27" t="str">
        <f aca="true">IF($O113="","",IF(OR($AE113="Cancelled",$AE113="On hold",$AE113="Launched"),$AE113,IF(AND($Y113="Approved",OR($Z113="Yes",$Z113="N/A"),OR($AA113="Yes",$AA113="N/A"),OR($AB113="No",$AB113="N/A",AND($AB113="Yes",$AD113="Yes"))),"Ready",IF($O113&lt;TODAY(),"Overdue",IF($O113-TODAY()&lt;='Rules &amp; Guardrails'!$C$5,"At Risk","In Progress")))))</f>
        <v/>
      </c>
      <c r="AG113" s="28" t="str">
        <f aca="false">IF($O113="","",IF(OR($AE113="Launched",$AE113="Cancelled"),"",MID(IF($Y113&lt;&gt;"Approved",", Content approval","")&amp;IF(NOT(OR($Z113="Yes",$Z113="N/A")),", Assets","")&amp;IF(NOT(OR($AA113="Yes",$AA113="N/A")),", List","")&amp;IF($AB113="",", Ops decision",IF(AND($AB113="Yes",$AD113&lt;&gt;"Yes"),", Ops",""))&amp;IF($U113="",", Owner","")&amp;IF($K113="",", Segment",""),3,200)))</f>
        <v/>
      </c>
      <c r="AH113" s="29" t="str">
        <f aca="true">IF($O113="","",$O113-TODAY())</f>
        <v/>
      </c>
      <c r="AI113" s="26" t="str">
        <f aca="false">IF($O113="","",$O113-WEEKDAY($O113,3))</f>
        <v/>
      </c>
      <c r="AJ113" s="30" t="str">
        <f aca="false">IF($O113="","",DATE(YEAR($O113),MONTH($O113),1))</f>
        <v/>
      </c>
      <c r="AK113" s="31" t="str">
        <f aca="false">IF(OR($O113="",$K113=""),"",COUNTIFS('Comms Calendar'!$K$5:$K$504,$K113,'Comms Calendar'!$B$5:$B$504,$B113,'Comms Calendar'!$AI$5:$AI$504,$AI113,'Comms Calendar'!$AE$5:$AE$504,"&lt;&gt;Cancelled"))</f>
        <v/>
      </c>
      <c r="AL113" s="27" t="str">
        <f aca="false">IF($AK113="","",IF($AK113&gt;'Rules &amp; Guardrails'!$C$3,"Over cap","OK"))</f>
        <v/>
      </c>
      <c r="AM113" s="27" t="str">
        <f aca="false">IF(OR($O113="",$K113=""),"",IF(COUNTIFS('Comms Calendar'!$K$5:$K$504,$K113,'Comms Calendar'!$B$5:$B$504,$B113,'Comms Calendar'!$O$5:$O$504,$O113,'Comms Calendar'!$AE$5:$AE$504,"&lt;&gt;Cancelled")&gt;1,"Clash",""))</f>
        <v/>
      </c>
      <c r="AN113" s="27" t="str">
        <f aca="false">IF($O113="","",IF(IF($B113="Global",COUNTIF('Rules &amp; Guardrails'!$F$9:$F$60,$O113),COUNTIFS('Rules &amp; Guardrails'!$F$9:$F$60,$O113,'Rules &amp; Guardrails'!$G$9:$G$60,$B113)+COUNTIFS('Rules &amp; Guardrails'!$F$9:$F$60,$O113,'Rules &amp; Guardrails'!$G$9:$G$60,"Global"))&gt;0,"Blackout",""))</f>
        <v/>
      </c>
      <c r="AO113" s="6"/>
      <c r="AP113" s="25"/>
      <c r="AQ113" s="23"/>
      <c r="AR113" s="31" t="str">
        <f aca="false">IF($D113="","",IFERROR(VLOOKUP($D113,'Rules &amp; Guardrails'!$A$9:$D$24,2,0),"Other"))</f>
        <v/>
      </c>
      <c r="AS113" s="31" t="str">
        <f aca="false">IF($O113="","",$O113&amp;"|"&amp;$B113)</f>
        <v/>
      </c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  <c r="G114" s="6"/>
      <c r="H114" s="6"/>
      <c r="I114" s="23"/>
      <c r="J114" s="23"/>
      <c r="K114" s="23"/>
      <c r="L114" s="6"/>
      <c r="M114" s="6"/>
      <c r="N114" s="24"/>
      <c r="O114" s="25"/>
      <c r="P114" s="23"/>
      <c r="Q114" s="23"/>
      <c r="R114" s="23"/>
      <c r="S114" s="23"/>
      <c r="T114" s="26" t="str">
        <f aca="false">IF(OR($O114="",$D114=""),"",WORKDAY($O114,-IFERROR(VLOOKUP($D114,'Rules &amp; Guardrails'!$A$9:$D$24,3,0),10)))</f>
        <v/>
      </c>
      <c r="U114" s="23"/>
      <c r="V114" s="23"/>
      <c r="W114" s="23"/>
      <c r="X114" s="6"/>
      <c r="Y114" s="23"/>
      <c r="Z114" s="23"/>
      <c r="AA114" s="23"/>
      <c r="AB114" s="23"/>
      <c r="AC114" s="23"/>
      <c r="AD114" s="23"/>
      <c r="AE114" s="23"/>
      <c r="AF114" s="27" t="str">
        <f aca="true">IF($O114="","",IF(OR($AE114="Cancelled",$AE114="On hold",$AE114="Launched"),$AE114,IF(AND($Y114="Approved",OR($Z114="Yes",$Z114="N/A"),OR($AA114="Yes",$AA114="N/A"),OR($AB114="No",$AB114="N/A",AND($AB114="Yes",$AD114="Yes"))),"Ready",IF($O114&lt;TODAY(),"Overdue",IF($O114-TODAY()&lt;='Rules &amp; Guardrails'!$C$5,"At Risk","In Progress")))))</f>
        <v/>
      </c>
      <c r="AG114" s="28" t="str">
        <f aca="false">IF($O114="","",IF(OR($AE114="Launched",$AE114="Cancelled"),"",MID(IF($Y114&lt;&gt;"Approved",", Content approval","")&amp;IF(NOT(OR($Z114="Yes",$Z114="N/A")),", Assets","")&amp;IF(NOT(OR($AA114="Yes",$AA114="N/A")),", List","")&amp;IF($AB114="",", Ops decision",IF(AND($AB114="Yes",$AD114&lt;&gt;"Yes"),", Ops",""))&amp;IF($U114="",", Owner","")&amp;IF($K114="",", Segment",""),3,200)))</f>
        <v/>
      </c>
      <c r="AH114" s="29" t="str">
        <f aca="true">IF($O114="","",$O114-TODAY())</f>
        <v/>
      </c>
      <c r="AI114" s="26" t="str">
        <f aca="false">IF($O114="","",$O114-WEEKDAY($O114,3))</f>
        <v/>
      </c>
      <c r="AJ114" s="30" t="str">
        <f aca="false">IF($O114="","",DATE(YEAR($O114),MONTH($O114),1))</f>
        <v/>
      </c>
      <c r="AK114" s="31" t="str">
        <f aca="false">IF(OR($O114="",$K114=""),"",COUNTIFS('Comms Calendar'!$K$5:$K$504,$K114,'Comms Calendar'!$B$5:$B$504,$B114,'Comms Calendar'!$AI$5:$AI$504,$AI114,'Comms Calendar'!$AE$5:$AE$504,"&lt;&gt;Cancelled"))</f>
        <v/>
      </c>
      <c r="AL114" s="27" t="str">
        <f aca="false">IF($AK114="","",IF($AK114&gt;'Rules &amp; Guardrails'!$C$3,"Over cap","OK"))</f>
        <v/>
      </c>
      <c r="AM114" s="27" t="str">
        <f aca="false">IF(OR($O114="",$K114=""),"",IF(COUNTIFS('Comms Calendar'!$K$5:$K$504,$K114,'Comms Calendar'!$B$5:$B$504,$B114,'Comms Calendar'!$O$5:$O$504,$O114,'Comms Calendar'!$AE$5:$AE$504,"&lt;&gt;Cancelled")&gt;1,"Clash",""))</f>
        <v/>
      </c>
      <c r="AN114" s="27" t="str">
        <f aca="false">IF($O114="","",IF(IF($B114="Global",COUNTIF('Rules &amp; Guardrails'!$F$9:$F$60,$O114),COUNTIFS('Rules &amp; Guardrails'!$F$9:$F$60,$O114,'Rules &amp; Guardrails'!$G$9:$G$60,$B114)+COUNTIFS('Rules &amp; Guardrails'!$F$9:$F$60,$O114,'Rules &amp; Guardrails'!$G$9:$G$60,"Global"))&gt;0,"Blackout",""))</f>
        <v/>
      </c>
      <c r="AO114" s="6"/>
      <c r="AP114" s="25"/>
      <c r="AQ114" s="23"/>
      <c r="AR114" s="31" t="str">
        <f aca="false">IF($D114="","",IFERROR(VLOOKUP($D114,'Rules &amp; Guardrails'!$A$9:$D$24,2,0),"Other"))</f>
        <v/>
      </c>
      <c r="AS114" s="31" t="str">
        <f aca="false">IF($O114="","",$O114&amp;"|"&amp;$B114)</f>
        <v/>
      </c>
    </row>
    <row r="115" customFormat="false" ht="15" hidden="false" customHeight="false" outlineLevel="0" collapsed="false">
      <c r="A115" s="23"/>
      <c r="B115" s="23"/>
      <c r="C115" s="23"/>
      <c r="D115" s="23"/>
      <c r="E115" s="23"/>
      <c r="F115" s="23"/>
      <c r="G115" s="6"/>
      <c r="H115" s="6"/>
      <c r="I115" s="23"/>
      <c r="J115" s="23"/>
      <c r="K115" s="23"/>
      <c r="L115" s="6"/>
      <c r="M115" s="6"/>
      <c r="N115" s="24"/>
      <c r="O115" s="25"/>
      <c r="P115" s="23"/>
      <c r="Q115" s="23"/>
      <c r="R115" s="23"/>
      <c r="S115" s="23"/>
      <c r="T115" s="26" t="str">
        <f aca="false">IF(OR($O115="",$D115=""),"",WORKDAY($O115,-IFERROR(VLOOKUP($D115,'Rules &amp; Guardrails'!$A$9:$D$24,3,0),10)))</f>
        <v/>
      </c>
      <c r="U115" s="23"/>
      <c r="V115" s="23"/>
      <c r="W115" s="23"/>
      <c r="X115" s="6"/>
      <c r="Y115" s="23"/>
      <c r="Z115" s="23"/>
      <c r="AA115" s="23"/>
      <c r="AB115" s="23"/>
      <c r="AC115" s="23"/>
      <c r="AD115" s="23"/>
      <c r="AE115" s="23"/>
      <c r="AF115" s="27" t="str">
        <f aca="true">IF($O115="","",IF(OR($AE115="Cancelled",$AE115="On hold",$AE115="Launched"),$AE115,IF(AND($Y115="Approved",OR($Z115="Yes",$Z115="N/A"),OR($AA115="Yes",$AA115="N/A"),OR($AB115="No",$AB115="N/A",AND($AB115="Yes",$AD115="Yes"))),"Ready",IF($O115&lt;TODAY(),"Overdue",IF($O115-TODAY()&lt;='Rules &amp; Guardrails'!$C$5,"At Risk","In Progress")))))</f>
        <v/>
      </c>
      <c r="AG115" s="28" t="str">
        <f aca="false">IF($O115="","",IF(OR($AE115="Launched",$AE115="Cancelled"),"",MID(IF($Y115&lt;&gt;"Approved",", Content approval","")&amp;IF(NOT(OR($Z115="Yes",$Z115="N/A")),", Assets","")&amp;IF(NOT(OR($AA115="Yes",$AA115="N/A")),", List","")&amp;IF($AB115="",", Ops decision",IF(AND($AB115="Yes",$AD115&lt;&gt;"Yes"),", Ops",""))&amp;IF($U115="",", Owner","")&amp;IF($K115="",", Segment",""),3,200)))</f>
        <v/>
      </c>
      <c r="AH115" s="29" t="str">
        <f aca="true">IF($O115="","",$O115-TODAY())</f>
        <v/>
      </c>
      <c r="AI115" s="26" t="str">
        <f aca="false">IF($O115="","",$O115-WEEKDAY($O115,3))</f>
        <v/>
      </c>
      <c r="AJ115" s="30" t="str">
        <f aca="false">IF($O115="","",DATE(YEAR($O115),MONTH($O115),1))</f>
        <v/>
      </c>
      <c r="AK115" s="31" t="str">
        <f aca="false">IF(OR($O115="",$K115=""),"",COUNTIFS('Comms Calendar'!$K$5:$K$504,$K115,'Comms Calendar'!$B$5:$B$504,$B115,'Comms Calendar'!$AI$5:$AI$504,$AI115,'Comms Calendar'!$AE$5:$AE$504,"&lt;&gt;Cancelled"))</f>
        <v/>
      </c>
      <c r="AL115" s="27" t="str">
        <f aca="false">IF($AK115="","",IF($AK115&gt;'Rules &amp; Guardrails'!$C$3,"Over cap","OK"))</f>
        <v/>
      </c>
      <c r="AM115" s="27" t="str">
        <f aca="false">IF(OR($O115="",$K115=""),"",IF(COUNTIFS('Comms Calendar'!$K$5:$K$504,$K115,'Comms Calendar'!$B$5:$B$504,$B115,'Comms Calendar'!$O$5:$O$504,$O115,'Comms Calendar'!$AE$5:$AE$504,"&lt;&gt;Cancelled")&gt;1,"Clash",""))</f>
        <v/>
      </c>
      <c r="AN115" s="27" t="str">
        <f aca="false">IF($O115="","",IF(IF($B115="Global",COUNTIF('Rules &amp; Guardrails'!$F$9:$F$60,$O115),COUNTIFS('Rules &amp; Guardrails'!$F$9:$F$60,$O115,'Rules &amp; Guardrails'!$G$9:$G$60,$B115)+COUNTIFS('Rules &amp; Guardrails'!$F$9:$F$60,$O115,'Rules &amp; Guardrails'!$G$9:$G$60,"Global"))&gt;0,"Blackout",""))</f>
        <v/>
      </c>
      <c r="AO115" s="6"/>
      <c r="AP115" s="25"/>
      <c r="AQ115" s="23"/>
      <c r="AR115" s="31" t="str">
        <f aca="false">IF($D115="","",IFERROR(VLOOKUP($D115,'Rules &amp; Guardrails'!$A$9:$D$24,2,0),"Other"))</f>
        <v/>
      </c>
      <c r="AS115" s="31" t="str">
        <f aca="false">IF($O115="","",$O115&amp;"|"&amp;$B115)</f>
        <v/>
      </c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  <c r="G116" s="6"/>
      <c r="H116" s="6"/>
      <c r="I116" s="23"/>
      <c r="J116" s="23"/>
      <c r="K116" s="23"/>
      <c r="L116" s="6"/>
      <c r="M116" s="6"/>
      <c r="N116" s="24"/>
      <c r="O116" s="25"/>
      <c r="P116" s="23"/>
      <c r="Q116" s="23"/>
      <c r="R116" s="23"/>
      <c r="S116" s="23"/>
      <c r="T116" s="26" t="str">
        <f aca="false">IF(OR($O116="",$D116=""),"",WORKDAY($O116,-IFERROR(VLOOKUP($D116,'Rules &amp; Guardrails'!$A$9:$D$24,3,0),10)))</f>
        <v/>
      </c>
      <c r="U116" s="23"/>
      <c r="V116" s="23"/>
      <c r="W116" s="23"/>
      <c r="X116" s="6"/>
      <c r="Y116" s="23"/>
      <c r="Z116" s="23"/>
      <c r="AA116" s="23"/>
      <c r="AB116" s="23"/>
      <c r="AC116" s="23"/>
      <c r="AD116" s="23"/>
      <c r="AE116" s="23"/>
      <c r="AF116" s="27" t="str">
        <f aca="true">IF($O116="","",IF(OR($AE116="Cancelled",$AE116="On hold",$AE116="Launched"),$AE116,IF(AND($Y116="Approved",OR($Z116="Yes",$Z116="N/A"),OR($AA116="Yes",$AA116="N/A"),OR($AB116="No",$AB116="N/A",AND($AB116="Yes",$AD116="Yes"))),"Ready",IF($O116&lt;TODAY(),"Overdue",IF($O116-TODAY()&lt;='Rules &amp; Guardrails'!$C$5,"At Risk","In Progress")))))</f>
        <v/>
      </c>
      <c r="AG116" s="28" t="str">
        <f aca="false">IF($O116="","",IF(OR($AE116="Launched",$AE116="Cancelled"),"",MID(IF($Y116&lt;&gt;"Approved",", Content approval","")&amp;IF(NOT(OR($Z116="Yes",$Z116="N/A")),", Assets","")&amp;IF(NOT(OR($AA116="Yes",$AA116="N/A")),", List","")&amp;IF($AB116="",", Ops decision",IF(AND($AB116="Yes",$AD116&lt;&gt;"Yes"),", Ops",""))&amp;IF($U116="",", Owner","")&amp;IF($K116="",", Segment",""),3,200)))</f>
        <v/>
      </c>
      <c r="AH116" s="29" t="str">
        <f aca="true">IF($O116="","",$O116-TODAY())</f>
        <v/>
      </c>
      <c r="AI116" s="26" t="str">
        <f aca="false">IF($O116="","",$O116-WEEKDAY($O116,3))</f>
        <v/>
      </c>
      <c r="AJ116" s="30" t="str">
        <f aca="false">IF($O116="","",DATE(YEAR($O116),MONTH($O116),1))</f>
        <v/>
      </c>
      <c r="AK116" s="31" t="str">
        <f aca="false">IF(OR($O116="",$K116=""),"",COUNTIFS('Comms Calendar'!$K$5:$K$504,$K116,'Comms Calendar'!$B$5:$B$504,$B116,'Comms Calendar'!$AI$5:$AI$504,$AI116,'Comms Calendar'!$AE$5:$AE$504,"&lt;&gt;Cancelled"))</f>
        <v/>
      </c>
      <c r="AL116" s="27" t="str">
        <f aca="false">IF($AK116="","",IF($AK116&gt;'Rules &amp; Guardrails'!$C$3,"Over cap","OK"))</f>
        <v/>
      </c>
      <c r="AM116" s="27" t="str">
        <f aca="false">IF(OR($O116="",$K116=""),"",IF(COUNTIFS('Comms Calendar'!$K$5:$K$504,$K116,'Comms Calendar'!$B$5:$B$504,$B116,'Comms Calendar'!$O$5:$O$504,$O116,'Comms Calendar'!$AE$5:$AE$504,"&lt;&gt;Cancelled")&gt;1,"Clash",""))</f>
        <v/>
      </c>
      <c r="AN116" s="27" t="str">
        <f aca="false">IF($O116="","",IF(IF($B116="Global",COUNTIF('Rules &amp; Guardrails'!$F$9:$F$60,$O116),COUNTIFS('Rules &amp; Guardrails'!$F$9:$F$60,$O116,'Rules &amp; Guardrails'!$G$9:$G$60,$B116)+COUNTIFS('Rules &amp; Guardrails'!$F$9:$F$60,$O116,'Rules &amp; Guardrails'!$G$9:$G$60,"Global"))&gt;0,"Blackout",""))</f>
        <v/>
      </c>
      <c r="AO116" s="6"/>
      <c r="AP116" s="25"/>
      <c r="AQ116" s="23"/>
      <c r="AR116" s="31" t="str">
        <f aca="false">IF($D116="","",IFERROR(VLOOKUP($D116,'Rules &amp; Guardrails'!$A$9:$D$24,2,0),"Other"))</f>
        <v/>
      </c>
      <c r="AS116" s="31" t="str">
        <f aca="false">IF($O116="","",$O116&amp;"|"&amp;$B116)</f>
        <v/>
      </c>
    </row>
    <row r="117" customFormat="false" ht="15" hidden="false" customHeight="false" outlineLevel="0" collapsed="false">
      <c r="A117" s="23"/>
      <c r="B117" s="23"/>
      <c r="C117" s="23"/>
      <c r="D117" s="23"/>
      <c r="E117" s="23"/>
      <c r="F117" s="23"/>
      <c r="G117" s="6"/>
      <c r="H117" s="6"/>
      <c r="I117" s="23"/>
      <c r="J117" s="23"/>
      <c r="K117" s="23"/>
      <c r="L117" s="6"/>
      <c r="M117" s="6"/>
      <c r="N117" s="24"/>
      <c r="O117" s="25"/>
      <c r="P117" s="23"/>
      <c r="Q117" s="23"/>
      <c r="R117" s="23"/>
      <c r="S117" s="23"/>
      <c r="T117" s="26" t="str">
        <f aca="false">IF(OR($O117="",$D117=""),"",WORKDAY($O117,-IFERROR(VLOOKUP($D117,'Rules &amp; Guardrails'!$A$9:$D$24,3,0),10)))</f>
        <v/>
      </c>
      <c r="U117" s="23"/>
      <c r="V117" s="23"/>
      <c r="W117" s="23"/>
      <c r="X117" s="6"/>
      <c r="Y117" s="23"/>
      <c r="Z117" s="23"/>
      <c r="AA117" s="23"/>
      <c r="AB117" s="23"/>
      <c r="AC117" s="23"/>
      <c r="AD117" s="23"/>
      <c r="AE117" s="23"/>
      <c r="AF117" s="27" t="str">
        <f aca="true">IF($O117="","",IF(OR($AE117="Cancelled",$AE117="On hold",$AE117="Launched"),$AE117,IF(AND($Y117="Approved",OR($Z117="Yes",$Z117="N/A"),OR($AA117="Yes",$AA117="N/A"),OR($AB117="No",$AB117="N/A",AND($AB117="Yes",$AD117="Yes"))),"Ready",IF($O117&lt;TODAY(),"Overdue",IF($O117-TODAY()&lt;='Rules &amp; Guardrails'!$C$5,"At Risk","In Progress")))))</f>
        <v/>
      </c>
      <c r="AG117" s="28" t="str">
        <f aca="false">IF($O117="","",IF(OR($AE117="Launched",$AE117="Cancelled"),"",MID(IF($Y117&lt;&gt;"Approved",", Content approval","")&amp;IF(NOT(OR($Z117="Yes",$Z117="N/A")),", Assets","")&amp;IF(NOT(OR($AA117="Yes",$AA117="N/A")),", List","")&amp;IF($AB117="",", Ops decision",IF(AND($AB117="Yes",$AD117&lt;&gt;"Yes"),", Ops",""))&amp;IF($U117="",", Owner","")&amp;IF($K117="",", Segment",""),3,200)))</f>
        <v/>
      </c>
      <c r="AH117" s="29" t="str">
        <f aca="true">IF($O117="","",$O117-TODAY())</f>
        <v/>
      </c>
      <c r="AI117" s="26" t="str">
        <f aca="false">IF($O117="","",$O117-WEEKDAY($O117,3))</f>
        <v/>
      </c>
      <c r="AJ117" s="30" t="str">
        <f aca="false">IF($O117="","",DATE(YEAR($O117),MONTH($O117),1))</f>
        <v/>
      </c>
      <c r="AK117" s="31" t="str">
        <f aca="false">IF(OR($O117="",$K117=""),"",COUNTIFS('Comms Calendar'!$K$5:$K$504,$K117,'Comms Calendar'!$B$5:$B$504,$B117,'Comms Calendar'!$AI$5:$AI$504,$AI117,'Comms Calendar'!$AE$5:$AE$504,"&lt;&gt;Cancelled"))</f>
        <v/>
      </c>
      <c r="AL117" s="27" t="str">
        <f aca="false">IF($AK117="","",IF($AK117&gt;'Rules &amp; Guardrails'!$C$3,"Over cap","OK"))</f>
        <v/>
      </c>
      <c r="AM117" s="27" t="str">
        <f aca="false">IF(OR($O117="",$K117=""),"",IF(COUNTIFS('Comms Calendar'!$K$5:$K$504,$K117,'Comms Calendar'!$B$5:$B$504,$B117,'Comms Calendar'!$O$5:$O$504,$O117,'Comms Calendar'!$AE$5:$AE$504,"&lt;&gt;Cancelled")&gt;1,"Clash",""))</f>
        <v/>
      </c>
      <c r="AN117" s="27" t="str">
        <f aca="false">IF($O117="","",IF(IF($B117="Global",COUNTIF('Rules &amp; Guardrails'!$F$9:$F$60,$O117),COUNTIFS('Rules &amp; Guardrails'!$F$9:$F$60,$O117,'Rules &amp; Guardrails'!$G$9:$G$60,$B117)+COUNTIFS('Rules &amp; Guardrails'!$F$9:$F$60,$O117,'Rules &amp; Guardrails'!$G$9:$G$60,"Global"))&gt;0,"Blackout",""))</f>
        <v/>
      </c>
      <c r="AO117" s="6"/>
      <c r="AP117" s="25"/>
      <c r="AQ117" s="23"/>
      <c r="AR117" s="31" t="str">
        <f aca="false">IF($D117="","",IFERROR(VLOOKUP($D117,'Rules &amp; Guardrails'!$A$9:$D$24,2,0),"Other"))</f>
        <v/>
      </c>
      <c r="AS117" s="31" t="str">
        <f aca="false">IF($O117="","",$O117&amp;"|"&amp;$B117)</f>
        <v/>
      </c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  <c r="G118" s="6"/>
      <c r="H118" s="6"/>
      <c r="I118" s="23"/>
      <c r="J118" s="23"/>
      <c r="K118" s="23"/>
      <c r="L118" s="6"/>
      <c r="M118" s="6"/>
      <c r="N118" s="24"/>
      <c r="O118" s="25"/>
      <c r="P118" s="23"/>
      <c r="Q118" s="23"/>
      <c r="R118" s="23"/>
      <c r="S118" s="23"/>
      <c r="T118" s="26" t="str">
        <f aca="false">IF(OR($O118="",$D118=""),"",WORKDAY($O118,-IFERROR(VLOOKUP($D118,'Rules &amp; Guardrails'!$A$9:$D$24,3,0),10)))</f>
        <v/>
      </c>
      <c r="U118" s="23"/>
      <c r="V118" s="23"/>
      <c r="W118" s="23"/>
      <c r="X118" s="6"/>
      <c r="Y118" s="23"/>
      <c r="Z118" s="23"/>
      <c r="AA118" s="23"/>
      <c r="AB118" s="23"/>
      <c r="AC118" s="23"/>
      <c r="AD118" s="23"/>
      <c r="AE118" s="23"/>
      <c r="AF118" s="27" t="str">
        <f aca="true">IF($O118="","",IF(OR($AE118="Cancelled",$AE118="On hold",$AE118="Launched"),$AE118,IF(AND($Y118="Approved",OR($Z118="Yes",$Z118="N/A"),OR($AA118="Yes",$AA118="N/A"),OR($AB118="No",$AB118="N/A",AND($AB118="Yes",$AD118="Yes"))),"Ready",IF($O118&lt;TODAY(),"Overdue",IF($O118-TODAY()&lt;='Rules &amp; Guardrails'!$C$5,"At Risk","In Progress")))))</f>
        <v/>
      </c>
      <c r="AG118" s="28" t="str">
        <f aca="false">IF($O118="","",IF(OR($AE118="Launched",$AE118="Cancelled"),"",MID(IF($Y118&lt;&gt;"Approved",", Content approval","")&amp;IF(NOT(OR($Z118="Yes",$Z118="N/A")),", Assets","")&amp;IF(NOT(OR($AA118="Yes",$AA118="N/A")),", List","")&amp;IF($AB118="",", Ops decision",IF(AND($AB118="Yes",$AD118&lt;&gt;"Yes"),", Ops",""))&amp;IF($U118="",", Owner","")&amp;IF($K118="",", Segment",""),3,200)))</f>
        <v/>
      </c>
      <c r="AH118" s="29" t="str">
        <f aca="true">IF($O118="","",$O118-TODAY())</f>
        <v/>
      </c>
      <c r="AI118" s="26" t="str">
        <f aca="false">IF($O118="","",$O118-WEEKDAY($O118,3))</f>
        <v/>
      </c>
      <c r="AJ118" s="30" t="str">
        <f aca="false">IF($O118="","",DATE(YEAR($O118),MONTH($O118),1))</f>
        <v/>
      </c>
      <c r="AK118" s="31" t="str">
        <f aca="false">IF(OR($O118="",$K118=""),"",COUNTIFS('Comms Calendar'!$K$5:$K$504,$K118,'Comms Calendar'!$B$5:$B$504,$B118,'Comms Calendar'!$AI$5:$AI$504,$AI118,'Comms Calendar'!$AE$5:$AE$504,"&lt;&gt;Cancelled"))</f>
        <v/>
      </c>
      <c r="AL118" s="27" t="str">
        <f aca="false">IF($AK118="","",IF($AK118&gt;'Rules &amp; Guardrails'!$C$3,"Over cap","OK"))</f>
        <v/>
      </c>
      <c r="AM118" s="27" t="str">
        <f aca="false">IF(OR($O118="",$K118=""),"",IF(COUNTIFS('Comms Calendar'!$K$5:$K$504,$K118,'Comms Calendar'!$B$5:$B$504,$B118,'Comms Calendar'!$O$5:$O$504,$O118,'Comms Calendar'!$AE$5:$AE$504,"&lt;&gt;Cancelled")&gt;1,"Clash",""))</f>
        <v/>
      </c>
      <c r="AN118" s="27" t="str">
        <f aca="false">IF($O118="","",IF(IF($B118="Global",COUNTIF('Rules &amp; Guardrails'!$F$9:$F$60,$O118),COUNTIFS('Rules &amp; Guardrails'!$F$9:$F$60,$O118,'Rules &amp; Guardrails'!$G$9:$G$60,$B118)+COUNTIFS('Rules &amp; Guardrails'!$F$9:$F$60,$O118,'Rules &amp; Guardrails'!$G$9:$G$60,"Global"))&gt;0,"Blackout",""))</f>
        <v/>
      </c>
      <c r="AO118" s="6"/>
      <c r="AP118" s="25"/>
      <c r="AQ118" s="23"/>
      <c r="AR118" s="31" t="str">
        <f aca="false">IF($D118="","",IFERROR(VLOOKUP($D118,'Rules &amp; Guardrails'!$A$9:$D$24,2,0),"Other"))</f>
        <v/>
      </c>
      <c r="AS118" s="31" t="str">
        <f aca="false">IF($O118="","",$O118&amp;"|"&amp;$B118)</f>
        <v/>
      </c>
    </row>
    <row r="119" customFormat="false" ht="15" hidden="false" customHeight="false" outlineLevel="0" collapsed="false">
      <c r="A119" s="23"/>
      <c r="B119" s="23"/>
      <c r="C119" s="23"/>
      <c r="D119" s="23"/>
      <c r="E119" s="23"/>
      <c r="F119" s="23"/>
      <c r="G119" s="6"/>
      <c r="H119" s="6"/>
      <c r="I119" s="23"/>
      <c r="J119" s="23"/>
      <c r="K119" s="23"/>
      <c r="L119" s="6"/>
      <c r="M119" s="6"/>
      <c r="N119" s="24"/>
      <c r="O119" s="25"/>
      <c r="P119" s="23"/>
      <c r="Q119" s="23"/>
      <c r="R119" s="23"/>
      <c r="S119" s="23"/>
      <c r="T119" s="26" t="str">
        <f aca="false">IF(OR($O119="",$D119=""),"",WORKDAY($O119,-IFERROR(VLOOKUP($D119,'Rules &amp; Guardrails'!$A$9:$D$24,3,0),10)))</f>
        <v/>
      </c>
      <c r="U119" s="23"/>
      <c r="V119" s="23"/>
      <c r="W119" s="23"/>
      <c r="X119" s="6"/>
      <c r="Y119" s="23"/>
      <c r="Z119" s="23"/>
      <c r="AA119" s="23"/>
      <c r="AB119" s="23"/>
      <c r="AC119" s="23"/>
      <c r="AD119" s="23"/>
      <c r="AE119" s="23"/>
      <c r="AF119" s="27" t="str">
        <f aca="true">IF($O119="","",IF(OR($AE119="Cancelled",$AE119="On hold",$AE119="Launched"),$AE119,IF(AND($Y119="Approved",OR($Z119="Yes",$Z119="N/A"),OR($AA119="Yes",$AA119="N/A"),OR($AB119="No",$AB119="N/A",AND($AB119="Yes",$AD119="Yes"))),"Ready",IF($O119&lt;TODAY(),"Overdue",IF($O119-TODAY()&lt;='Rules &amp; Guardrails'!$C$5,"At Risk","In Progress")))))</f>
        <v/>
      </c>
      <c r="AG119" s="28" t="str">
        <f aca="false">IF($O119="","",IF(OR($AE119="Launched",$AE119="Cancelled"),"",MID(IF($Y119&lt;&gt;"Approved",", Content approval","")&amp;IF(NOT(OR($Z119="Yes",$Z119="N/A")),", Assets","")&amp;IF(NOT(OR($AA119="Yes",$AA119="N/A")),", List","")&amp;IF($AB119="",", Ops decision",IF(AND($AB119="Yes",$AD119&lt;&gt;"Yes"),", Ops",""))&amp;IF($U119="",", Owner","")&amp;IF($K119="",", Segment",""),3,200)))</f>
        <v/>
      </c>
      <c r="AH119" s="29" t="str">
        <f aca="true">IF($O119="","",$O119-TODAY())</f>
        <v/>
      </c>
      <c r="AI119" s="26" t="str">
        <f aca="false">IF($O119="","",$O119-WEEKDAY($O119,3))</f>
        <v/>
      </c>
      <c r="AJ119" s="30" t="str">
        <f aca="false">IF($O119="","",DATE(YEAR($O119),MONTH($O119),1))</f>
        <v/>
      </c>
      <c r="AK119" s="31" t="str">
        <f aca="false">IF(OR($O119="",$K119=""),"",COUNTIFS('Comms Calendar'!$K$5:$K$504,$K119,'Comms Calendar'!$B$5:$B$504,$B119,'Comms Calendar'!$AI$5:$AI$504,$AI119,'Comms Calendar'!$AE$5:$AE$504,"&lt;&gt;Cancelled"))</f>
        <v/>
      </c>
      <c r="AL119" s="27" t="str">
        <f aca="false">IF($AK119="","",IF($AK119&gt;'Rules &amp; Guardrails'!$C$3,"Over cap","OK"))</f>
        <v/>
      </c>
      <c r="AM119" s="27" t="str">
        <f aca="false">IF(OR($O119="",$K119=""),"",IF(COUNTIFS('Comms Calendar'!$K$5:$K$504,$K119,'Comms Calendar'!$B$5:$B$504,$B119,'Comms Calendar'!$O$5:$O$504,$O119,'Comms Calendar'!$AE$5:$AE$504,"&lt;&gt;Cancelled")&gt;1,"Clash",""))</f>
        <v/>
      </c>
      <c r="AN119" s="27" t="str">
        <f aca="false">IF($O119="","",IF(IF($B119="Global",COUNTIF('Rules &amp; Guardrails'!$F$9:$F$60,$O119),COUNTIFS('Rules &amp; Guardrails'!$F$9:$F$60,$O119,'Rules &amp; Guardrails'!$G$9:$G$60,$B119)+COUNTIFS('Rules &amp; Guardrails'!$F$9:$F$60,$O119,'Rules &amp; Guardrails'!$G$9:$G$60,"Global"))&gt;0,"Blackout",""))</f>
        <v/>
      </c>
      <c r="AO119" s="6"/>
      <c r="AP119" s="25"/>
      <c r="AQ119" s="23"/>
      <c r="AR119" s="31" t="str">
        <f aca="false">IF($D119="","",IFERROR(VLOOKUP($D119,'Rules &amp; Guardrails'!$A$9:$D$24,2,0),"Other"))</f>
        <v/>
      </c>
      <c r="AS119" s="31" t="str">
        <f aca="false">IF($O119="","",$O119&amp;"|"&amp;$B119)</f>
        <v/>
      </c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  <c r="G120" s="6"/>
      <c r="H120" s="6"/>
      <c r="I120" s="23"/>
      <c r="J120" s="23"/>
      <c r="K120" s="23"/>
      <c r="L120" s="6"/>
      <c r="M120" s="6"/>
      <c r="N120" s="24"/>
      <c r="O120" s="25"/>
      <c r="P120" s="23"/>
      <c r="Q120" s="23"/>
      <c r="R120" s="23"/>
      <c r="S120" s="23"/>
      <c r="T120" s="26" t="str">
        <f aca="false">IF(OR($O120="",$D120=""),"",WORKDAY($O120,-IFERROR(VLOOKUP($D120,'Rules &amp; Guardrails'!$A$9:$D$24,3,0),10)))</f>
        <v/>
      </c>
      <c r="U120" s="23"/>
      <c r="V120" s="23"/>
      <c r="W120" s="23"/>
      <c r="X120" s="6"/>
      <c r="Y120" s="23"/>
      <c r="Z120" s="23"/>
      <c r="AA120" s="23"/>
      <c r="AB120" s="23"/>
      <c r="AC120" s="23"/>
      <c r="AD120" s="23"/>
      <c r="AE120" s="23"/>
      <c r="AF120" s="27" t="str">
        <f aca="true">IF($O120="","",IF(OR($AE120="Cancelled",$AE120="On hold",$AE120="Launched"),$AE120,IF(AND($Y120="Approved",OR($Z120="Yes",$Z120="N/A"),OR($AA120="Yes",$AA120="N/A"),OR($AB120="No",$AB120="N/A",AND($AB120="Yes",$AD120="Yes"))),"Ready",IF($O120&lt;TODAY(),"Overdue",IF($O120-TODAY()&lt;='Rules &amp; Guardrails'!$C$5,"At Risk","In Progress")))))</f>
        <v/>
      </c>
      <c r="AG120" s="28" t="str">
        <f aca="false">IF($O120="","",IF(OR($AE120="Launched",$AE120="Cancelled"),"",MID(IF($Y120&lt;&gt;"Approved",", Content approval","")&amp;IF(NOT(OR($Z120="Yes",$Z120="N/A")),", Assets","")&amp;IF(NOT(OR($AA120="Yes",$AA120="N/A")),", List","")&amp;IF($AB120="",", Ops decision",IF(AND($AB120="Yes",$AD120&lt;&gt;"Yes"),", Ops",""))&amp;IF($U120="",", Owner","")&amp;IF($K120="",", Segment",""),3,200)))</f>
        <v/>
      </c>
      <c r="AH120" s="29" t="str">
        <f aca="true">IF($O120="","",$O120-TODAY())</f>
        <v/>
      </c>
      <c r="AI120" s="26" t="str">
        <f aca="false">IF($O120="","",$O120-WEEKDAY($O120,3))</f>
        <v/>
      </c>
      <c r="AJ120" s="30" t="str">
        <f aca="false">IF($O120="","",DATE(YEAR($O120),MONTH($O120),1))</f>
        <v/>
      </c>
      <c r="AK120" s="31" t="str">
        <f aca="false">IF(OR($O120="",$K120=""),"",COUNTIFS('Comms Calendar'!$K$5:$K$504,$K120,'Comms Calendar'!$B$5:$B$504,$B120,'Comms Calendar'!$AI$5:$AI$504,$AI120,'Comms Calendar'!$AE$5:$AE$504,"&lt;&gt;Cancelled"))</f>
        <v/>
      </c>
      <c r="AL120" s="27" t="str">
        <f aca="false">IF($AK120="","",IF($AK120&gt;'Rules &amp; Guardrails'!$C$3,"Over cap","OK"))</f>
        <v/>
      </c>
      <c r="AM120" s="27" t="str">
        <f aca="false">IF(OR($O120="",$K120=""),"",IF(COUNTIFS('Comms Calendar'!$K$5:$K$504,$K120,'Comms Calendar'!$B$5:$B$504,$B120,'Comms Calendar'!$O$5:$O$504,$O120,'Comms Calendar'!$AE$5:$AE$504,"&lt;&gt;Cancelled")&gt;1,"Clash",""))</f>
        <v/>
      </c>
      <c r="AN120" s="27" t="str">
        <f aca="false">IF($O120="","",IF(IF($B120="Global",COUNTIF('Rules &amp; Guardrails'!$F$9:$F$60,$O120),COUNTIFS('Rules &amp; Guardrails'!$F$9:$F$60,$O120,'Rules &amp; Guardrails'!$G$9:$G$60,$B120)+COUNTIFS('Rules &amp; Guardrails'!$F$9:$F$60,$O120,'Rules &amp; Guardrails'!$G$9:$G$60,"Global"))&gt;0,"Blackout",""))</f>
        <v/>
      </c>
      <c r="AO120" s="6"/>
      <c r="AP120" s="25"/>
      <c r="AQ120" s="23"/>
      <c r="AR120" s="31" t="str">
        <f aca="false">IF($D120="","",IFERROR(VLOOKUP($D120,'Rules &amp; Guardrails'!$A$9:$D$24,2,0),"Other"))</f>
        <v/>
      </c>
      <c r="AS120" s="31" t="str">
        <f aca="false">IF($O120="","",$O120&amp;"|"&amp;$B120)</f>
        <v/>
      </c>
    </row>
    <row r="121" customFormat="false" ht="15" hidden="false" customHeight="false" outlineLevel="0" collapsed="false">
      <c r="A121" s="23"/>
      <c r="B121" s="23"/>
      <c r="C121" s="23"/>
      <c r="D121" s="23"/>
      <c r="E121" s="23"/>
      <c r="F121" s="23"/>
      <c r="G121" s="6"/>
      <c r="H121" s="6"/>
      <c r="I121" s="23"/>
      <c r="J121" s="23"/>
      <c r="K121" s="23"/>
      <c r="L121" s="6"/>
      <c r="M121" s="6"/>
      <c r="N121" s="24"/>
      <c r="O121" s="25"/>
      <c r="P121" s="23"/>
      <c r="Q121" s="23"/>
      <c r="R121" s="23"/>
      <c r="S121" s="23"/>
      <c r="T121" s="26" t="str">
        <f aca="false">IF(OR($O121="",$D121=""),"",WORKDAY($O121,-IFERROR(VLOOKUP($D121,'Rules &amp; Guardrails'!$A$9:$D$24,3,0),10)))</f>
        <v/>
      </c>
      <c r="U121" s="23"/>
      <c r="V121" s="23"/>
      <c r="W121" s="23"/>
      <c r="X121" s="6"/>
      <c r="Y121" s="23"/>
      <c r="Z121" s="23"/>
      <c r="AA121" s="23"/>
      <c r="AB121" s="23"/>
      <c r="AC121" s="23"/>
      <c r="AD121" s="23"/>
      <c r="AE121" s="23"/>
      <c r="AF121" s="27" t="str">
        <f aca="true">IF($O121="","",IF(OR($AE121="Cancelled",$AE121="On hold",$AE121="Launched"),$AE121,IF(AND($Y121="Approved",OR($Z121="Yes",$Z121="N/A"),OR($AA121="Yes",$AA121="N/A"),OR($AB121="No",$AB121="N/A",AND($AB121="Yes",$AD121="Yes"))),"Ready",IF($O121&lt;TODAY(),"Overdue",IF($O121-TODAY()&lt;='Rules &amp; Guardrails'!$C$5,"At Risk","In Progress")))))</f>
        <v/>
      </c>
      <c r="AG121" s="28" t="str">
        <f aca="false">IF($O121="","",IF(OR($AE121="Launched",$AE121="Cancelled"),"",MID(IF($Y121&lt;&gt;"Approved",", Content approval","")&amp;IF(NOT(OR($Z121="Yes",$Z121="N/A")),", Assets","")&amp;IF(NOT(OR($AA121="Yes",$AA121="N/A")),", List","")&amp;IF($AB121="",", Ops decision",IF(AND($AB121="Yes",$AD121&lt;&gt;"Yes"),", Ops",""))&amp;IF($U121="",", Owner","")&amp;IF($K121="",", Segment",""),3,200)))</f>
        <v/>
      </c>
      <c r="AH121" s="29" t="str">
        <f aca="true">IF($O121="","",$O121-TODAY())</f>
        <v/>
      </c>
      <c r="AI121" s="26" t="str">
        <f aca="false">IF($O121="","",$O121-WEEKDAY($O121,3))</f>
        <v/>
      </c>
      <c r="AJ121" s="30" t="str">
        <f aca="false">IF($O121="","",DATE(YEAR($O121),MONTH($O121),1))</f>
        <v/>
      </c>
      <c r="AK121" s="31" t="str">
        <f aca="false">IF(OR($O121="",$K121=""),"",COUNTIFS('Comms Calendar'!$K$5:$K$504,$K121,'Comms Calendar'!$B$5:$B$504,$B121,'Comms Calendar'!$AI$5:$AI$504,$AI121,'Comms Calendar'!$AE$5:$AE$504,"&lt;&gt;Cancelled"))</f>
        <v/>
      </c>
      <c r="AL121" s="27" t="str">
        <f aca="false">IF($AK121="","",IF($AK121&gt;'Rules &amp; Guardrails'!$C$3,"Over cap","OK"))</f>
        <v/>
      </c>
      <c r="AM121" s="27" t="str">
        <f aca="false">IF(OR($O121="",$K121=""),"",IF(COUNTIFS('Comms Calendar'!$K$5:$K$504,$K121,'Comms Calendar'!$B$5:$B$504,$B121,'Comms Calendar'!$O$5:$O$504,$O121,'Comms Calendar'!$AE$5:$AE$504,"&lt;&gt;Cancelled")&gt;1,"Clash",""))</f>
        <v/>
      </c>
      <c r="AN121" s="27" t="str">
        <f aca="false">IF($O121="","",IF(IF($B121="Global",COUNTIF('Rules &amp; Guardrails'!$F$9:$F$60,$O121),COUNTIFS('Rules &amp; Guardrails'!$F$9:$F$60,$O121,'Rules &amp; Guardrails'!$G$9:$G$60,$B121)+COUNTIFS('Rules &amp; Guardrails'!$F$9:$F$60,$O121,'Rules &amp; Guardrails'!$G$9:$G$60,"Global"))&gt;0,"Blackout",""))</f>
        <v/>
      </c>
      <c r="AO121" s="6"/>
      <c r="AP121" s="25"/>
      <c r="AQ121" s="23"/>
      <c r="AR121" s="31" t="str">
        <f aca="false">IF($D121="","",IFERROR(VLOOKUP($D121,'Rules &amp; Guardrails'!$A$9:$D$24,2,0),"Other"))</f>
        <v/>
      </c>
      <c r="AS121" s="31" t="str">
        <f aca="false">IF($O121="","",$O121&amp;"|"&amp;$B121)</f>
        <v/>
      </c>
    </row>
    <row r="122" customFormat="false" ht="15" hidden="false" customHeight="false" outlineLevel="0" collapsed="false">
      <c r="A122" s="23"/>
      <c r="B122" s="23"/>
      <c r="C122" s="23"/>
      <c r="D122" s="23"/>
      <c r="E122" s="23"/>
      <c r="F122" s="23"/>
      <c r="G122" s="6"/>
      <c r="H122" s="6"/>
      <c r="I122" s="23"/>
      <c r="J122" s="23"/>
      <c r="K122" s="23"/>
      <c r="L122" s="6"/>
      <c r="M122" s="6"/>
      <c r="N122" s="24"/>
      <c r="O122" s="25"/>
      <c r="P122" s="23"/>
      <c r="Q122" s="23"/>
      <c r="R122" s="23"/>
      <c r="S122" s="23"/>
      <c r="T122" s="26" t="str">
        <f aca="false">IF(OR($O122="",$D122=""),"",WORKDAY($O122,-IFERROR(VLOOKUP($D122,'Rules &amp; Guardrails'!$A$9:$D$24,3,0),10)))</f>
        <v/>
      </c>
      <c r="U122" s="23"/>
      <c r="V122" s="23"/>
      <c r="W122" s="23"/>
      <c r="X122" s="6"/>
      <c r="Y122" s="23"/>
      <c r="Z122" s="23"/>
      <c r="AA122" s="23"/>
      <c r="AB122" s="23"/>
      <c r="AC122" s="23"/>
      <c r="AD122" s="23"/>
      <c r="AE122" s="23"/>
      <c r="AF122" s="27" t="str">
        <f aca="true">IF($O122="","",IF(OR($AE122="Cancelled",$AE122="On hold",$AE122="Launched"),$AE122,IF(AND($Y122="Approved",OR($Z122="Yes",$Z122="N/A"),OR($AA122="Yes",$AA122="N/A"),OR($AB122="No",$AB122="N/A",AND($AB122="Yes",$AD122="Yes"))),"Ready",IF($O122&lt;TODAY(),"Overdue",IF($O122-TODAY()&lt;='Rules &amp; Guardrails'!$C$5,"At Risk","In Progress")))))</f>
        <v/>
      </c>
      <c r="AG122" s="28" t="str">
        <f aca="false">IF($O122="","",IF(OR($AE122="Launched",$AE122="Cancelled"),"",MID(IF($Y122&lt;&gt;"Approved",", Content approval","")&amp;IF(NOT(OR($Z122="Yes",$Z122="N/A")),", Assets","")&amp;IF(NOT(OR($AA122="Yes",$AA122="N/A")),", List","")&amp;IF($AB122="",", Ops decision",IF(AND($AB122="Yes",$AD122&lt;&gt;"Yes"),", Ops",""))&amp;IF($U122="",", Owner","")&amp;IF($K122="",", Segment",""),3,200)))</f>
        <v/>
      </c>
      <c r="AH122" s="29" t="str">
        <f aca="true">IF($O122="","",$O122-TODAY())</f>
        <v/>
      </c>
      <c r="AI122" s="26" t="str">
        <f aca="false">IF($O122="","",$O122-WEEKDAY($O122,3))</f>
        <v/>
      </c>
      <c r="AJ122" s="30" t="str">
        <f aca="false">IF($O122="","",DATE(YEAR($O122),MONTH($O122),1))</f>
        <v/>
      </c>
      <c r="AK122" s="31" t="str">
        <f aca="false">IF(OR($O122="",$K122=""),"",COUNTIFS('Comms Calendar'!$K$5:$K$504,$K122,'Comms Calendar'!$B$5:$B$504,$B122,'Comms Calendar'!$AI$5:$AI$504,$AI122,'Comms Calendar'!$AE$5:$AE$504,"&lt;&gt;Cancelled"))</f>
        <v/>
      </c>
      <c r="AL122" s="27" t="str">
        <f aca="false">IF($AK122="","",IF($AK122&gt;'Rules &amp; Guardrails'!$C$3,"Over cap","OK"))</f>
        <v/>
      </c>
      <c r="AM122" s="27" t="str">
        <f aca="false">IF(OR($O122="",$K122=""),"",IF(COUNTIFS('Comms Calendar'!$K$5:$K$504,$K122,'Comms Calendar'!$B$5:$B$504,$B122,'Comms Calendar'!$O$5:$O$504,$O122,'Comms Calendar'!$AE$5:$AE$504,"&lt;&gt;Cancelled")&gt;1,"Clash",""))</f>
        <v/>
      </c>
      <c r="AN122" s="27" t="str">
        <f aca="false">IF($O122="","",IF(IF($B122="Global",COUNTIF('Rules &amp; Guardrails'!$F$9:$F$60,$O122),COUNTIFS('Rules &amp; Guardrails'!$F$9:$F$60,$O122,'Rules &amp; Guardrails'!$G$9:$G$60,$B122)+COUNTIFS('Rules &amp; Guardrails'!$F$9:$F$60,$O122,'Rules &amp; Guardrails'!$G$9:$G$60,"Global"))&gt;0,"Blackout",""))</f>
        <v/>
      </c>
      <c r="AO122" s="6"/>
      <c r="AP122" s="25"/>
      <c r="AQ122" s="23"/>
      <c r="AR122" s="31" t="str">
        <f aca="false">IF($D122="","",IFERROR(VLOOKUP($D122,'Rules &amp; Guardrails'!$A$9:$D$24,2,0),"Other"))</f>
        <v/>
      </c>
      <c r="AS122" s="31" t="str">
        <f aca="false">IF($O122="","",$O122&amp;"|"&amp;$B122)</f>
        <v/>
      </c>
    </row>
    <row r="123" customFormat="false" ht="15" hidden="false" customHeight="false" outlineLevel="0" collapsed="false">
      <c r="A123" s="23"/>
      <c r="B123" s="23"/>
      <c r="C123" s="23"/>
      <c r="D123" s="23"/>
      <c r="E123" s="23"/>
      <c r="F123" s="23"/>
      <c r="G123" s="6"/>
      <c r="H123" s="6"/>
      <c r="I123" s="23"/>
      <c r="J123" s="23"/>
      <c r="K123" s="23"/>
      <c r="L123" s="6"/>
      <c r="M123" s="6"/>
      <c r="N123" s="24"/>
      <c r="O123" s="25"/>
      <c r="P123" s="23"/>
      <c r="Q123" s="23"/>
      <c r="R123" s="23"/>
      <c r="S123" s="23"/>
      <c r="T123" s="26" t="str">
        <f aca="false">IF(OR($O123="",$D123=""),"",WORKDAY($O123,-IFERROR(VLOOKUP($D123,'Rules &amp; Guardrails'!$A$9:$D$24,3,0),10)))</f>
        <v/>
      </c>
      <c r="U123" s="23"/>
      <c r="V123" s="23"/>
      <c r="W123" s="23"/>
      <c r="X123" s="6"/>
      <c r="Y123" s="23"/>
      <c r="Z123" s="23"/>
      <c r="AA123" s="23"/>
      <c r="AB123" s="23"/>
      <c r="AC123" s="23"/>
      <c r="AD123" s="23"/>
      <c r="AE123" s="23"/>
      <c r="AF123" s="27" t="str">
        <f aca="true">IF($O123="","",IF(OR($AE123="Cancelled",$AE123="On hold",$AE123="Launched"),$AE123,IF(AND($Y123="Approved",OR($Z123="Yes",$Z123="N/A"),OR($AA123="Yes",$AA123="N/A"),OR($AB123="No",$AB123="N/A",AND($AB123="Yes",$AD123="Yes"))),"Ready",IF($O123&lt;TODAY(),"Overdue",IF($O123-TODAY()&lt;='Rules &amp; Guardrails'!$C$5,"At Risk","In Progress")))))</f>
        <v/>
      </c>
      <c r="AG123" s="28" t="str">
        <f aca="false">IF($O123="","",IF(OR($AE123="Launched",$AE123="Cancelled"),"",MID(IF($Y123&lt;&gt;"Approved",", Content approval","")&amp;IF(NOT(OR($Z123="Yes",$Z123="N/A")),", Assets","")&amp;IF(NOT(OR($AA123="Yes",$AA123="N/A")),", List","")&amp;IF($AB123="",", Ops decision",IF(AND($AB123="Yes",$AD123&lt;&gt;"Yes"),", Ops",""))&amp;IF($U123="",", Owner","")&amp;IF($K123="",", Segment",""),3,200)))</f>
        <v/>
      </c>
      <c r="AH123" s="29" t="str">
        <f aca="true">IF($O123="","",$O123-TODAY())</f>
        <v/>
      </c>
      <c r="AI123" s="26" t="str">
        <f aca="false">IF($O123="","",$O123-WEEKDAY($O123,3))</f>
        <v/>
      </c>
      <c r="AJ123" s="30" t="str">
        <f aca="false">IF($O123="","",DATE(YEAR($O123),MONTH($O123),1))</f>
        <v/>
      </c>
      <c r="AK123" s="31" t="str">
        <f aca="false">IF(OR($O123="",$K123=""),"",COUNTIFS('Comms Calendar'!$K$5:$K$504,$K123,'Comms Calendar'!$B$5:$B$504,$B123,'Comms Calendar'!$AI$5:$AI$504,$AI123,'Comms Calendar'!$AE$5:$AE$504,"&lt;&gt;Cancelled"))</f>
        <v/>
      </c>
      <c r="AL123" s="27" t="str">
        <f aca="false">IF($AK123="","",IF($AK123&gt;'Rules &amp; Guardrails'!$C$3,"Over cap","OK"))</f>
        <v/>
      </c>
      <c r="AM123" s="27" t="str">
        <f aca="false">IF(OR($O123="",$K123=""),"",IF(COUNTIFS('Comms Calendar'!$K$5:$K$504,$K123,'Comms Calendar'!$B$5:$B$504,$B123,'Comms Calendar'!$O$5:$O$504,$O123,'Comms Calendar'!$AE$5:$AE$504,"&lt;&gt;Cancelled")&gt;1,"Clash",""))</f>
        <v/>
      </c>
      <c r="AN123" s="27" t="str">
        <f aca="false">IF($O123="","",IF(IF($B123="Global",COUNTIF('Rules &amp; Guardrails'!$F$9:$F$60,$O123),COUNTIFS('Rules &amp; Guardrails'!$F$9:$F$60,$O123,'Rules &amp; Guardrails'!$G$9:$G$60,$B123)+COUNTIFS('Rules &amp; Guardrails'!$F$9:$F$60,$O123,'Rules &amp; Guardrails'!$G$9:$G$60,"Global"))&gt;0,"Blackout",""))</f>
        <v/>
      </c>
      <c r="AO123" s="6"/>
      <c r="AP123" s="25"/>
      <c r="AQ123" s="23"/>
      <c r="AR123" s="31" t="str">
        <f aca="false">IF($D123="","",IFERROR(VLOOKUP($D123,'Rules &amp; Guardrails'!$A$9:$D$24,2,0),"Other"))</f>
        <v/>
      </c>
      <c r="AS123" s="31" t="str">
        <f aca="false">IF($O123="","",$O123&amp;"|"&amp;$B123)</f>
        <v/>
      </c>
    </row>
    <row r="124" customFormat="false" ht="15" hidden="false" customHeight="false" outlineLevel="0" collapsed="false">
      <c r="A124" s="23"/>
      <c r="B124" s="23"/>
      <c r="C124" s="23"/>
      <c r="D124" s="23"/>
      <c r="E124" s="23"/>
      <c r="F124" s="23"/>
      <c r="G124" s="6"/>
      <c r="H124" s="6"/>
      <c r="I124" s="23"/>
      <c r="J124" s="23"/>
      <c r="K124" s="23"/>
      <c r="L124" s="6"/>
      <c r="M124" s="6"/>
      <c r="N124" s="24"/>
      <c r="O124" s="25"/>
      <c r="P124" s="23"/>
      <c r="Q124" s="23"/>
      <c r="R124" s="23"/>
      <c r="S124" s="23"/>
      <c r="T124" s="26" t="str">
        <f aca="false">IF(OR($O124="",$D124=""),"",WORKDAY($O124,-IFERROR(VLOOKUP($D124,'Rules &amp; Guardrails'!$A$9:$D$24,3,0),10)))</f>
        <v/>
      </c>
      <c r="U124" s="23"/>
      <c r="V124" s="23"/>
      <c r="W124" s="23"/>
      <c r="X124" s="6"/>
      <c r="Y124" s="23"/>
      <c r="Z124" s="23"/>
      <c r="AA124" s="23"/>
      <c r="AB124" s="23"/>
      <c r="AC124" s="23"/>
      <c r="AD124" s="23"/>
      <c r="AE124" s="23"/>
      <c r="AF124" s="27" t="str">
        <f aca="true">IF($O124="","",IF(OR($AE124="Cancelled",$AE124="On hold",$AE124="Launched"),$AE124,IF(AND($Y124="Approved",OR($Z124="Yes",$Z124="N/A"),OR($AA124="Yes",$AA124="N/A"),OR($AB124="No",$AB124="N/A",AND($AB124="Yes",$AD124="Yes"))),"Ready",IF($O124&lt;TODAY(),"Overdue",IF($O124-TODAY()&lt;='Rules &amp; Guardrails'!$C$5,"At Risk","In Progress")))))</f>
        <v/>
      </c>
      <c r="AG124" s="28" t="str">
        <f aca="false">IF($O124="","",IF(OR($AE124="Launched",$AE124="Cancelled"),"",MID(IF($Y124&lt;&gt;"Approved",", Content approval","")&amp;IF(NOT(OR($Z124="Yes",$Z124="N/A")),", Assets","")&amp;IF(NOT(OR($AA124="Yes",$AA124="N/A")),", List","")&amp;IF($AB124="",", Ops decision",IF(AND($AB124="Yes",$AD124&lt;&gt;"Yes"),", Ops",""))&amp;IF($U124="",", Owner","")&amp;IF($K124="",", Segment",""),3,200)))</f>
        <v/>
      </c>
      <c r="AH124" s="29" t="str">
        <f aca="true">IF($O124="","",$O124-TODAY())</f>
        <v/>
      </c>
      <c r="AI124" s="26" t="str">
        <f aca="false">IF($O124="","",$O124-WEEKDAY($O124,3))</f>
        <v/>
      </c>
      <c r="AJ124" s="30" t="str">
        <f aca="false">IF($O124="","",DATE(YEAR($O124),MONTH($O124),1))</f>
        <v/>
      </c>
      <c r="AK124" s="31" t="str">
        <f aca="false">IF(OR($O124="",$K124=""),"",COUNTIFS('Comms Calendar'!$K$5:$K$504,$K124,'Comms Calendar'!$B$5:$B$504,$B124,'Comms Calendar'!$AI$5:$AI$504,$AI124,'Comms Calendar'!$AE$5:$AE$504,"&lt;&gt;Cancelled"))</f>
        <v/>
      </c>
      <c r="AL124" s="27" t="str">
        <f aca="false">IF($AK124="","",IF($AK124&gt;'Rules &amp; Guardrails'!$C$3,"Over cap","OK"))</f>
        <v/>
      </c>
      <c r="AM124" s="27" t="str">
        <f aca="false">IF(OR($O124="",$K124=""),"",IF(COUNTIFS('Comms Calendar'!$K$5:$K$504,$K124,'Comms Calendar'!$B$5:$B$504,$B124,'Comms Calendar'!$O$5:$O$504,$O124,'Comms Calendar'!$AE$5:$AE$504,"&lt;&gt;Cancelled")&gt;1,"Clash",""))</f>
        <v/>
      </c>
      <c r="AN124" s="27" t="str">
        <f aca="false">IF($O124="","",IF(IF($B124="Global",COUNTIF('Rules &amp; Guardrails'!$F$9:$F$60,$O124),COUNTIFS('Rules &amp; Guardrails'!$F$9:$F$60,$O124,'Rules &amp; Guardrails'!$G$9:$G$60,$B124)+COUNTIFS('Rules &amp; Guardrails'!$F$9:$F$60,$O124,'Rules &amp; Guardrails'!$G$9:$G$60,"Global"))&gt;0,"Blackout",""))</f>
        <v/>
      </c>
      <c r="AO124" s="6"/>
      <c r="AP124" s="25"/>
      <c r="AQ124" s="23"/>
      <c r="AR124" s="31" t="str">
        <f aca="false">IF($D124="","",IFERROR(VLOOKUP($D124,'Rules &amp; Guardrails'!$A$9:$D$24,2,0),"Other"))</f>
        <v/>
      </c>
      <c r="AS124" s="31" t="str">
        <f aca="false">IF($O124="","",$O124&amp;"|"&amp;$B124)</f>
        <v/>
      </c>
    </row>
    <row r="125" customFormat="false" ht="15" hidden="false" customHeight="false" outlineLevel="0" collapsed="false">
      <c r="A125" s="23"/>
      <c r="B125" s="23"/>
      <c r="C125" s="23"/>
      <c r="D125" s="23"/>
      <c r="E125" s="23"/>
      <c r="F125" s="23"/>
      <c r="G125" s="6"/>
      <c r="H125" s="6"/>
      <c r="I125" s="23"/>
      <c r="J125" s="23"/>
      <c r="K125" s="23"/>
      <c r="L125" s="6"/>
      <c r="M125" s="6"/>
      <c r="N125" s="24"/>
      <c r="O125" s="25"/>
      <c r="P125" s="23"/>
      <c r="Q125" s="23"/>
      <c r="R125" s="23"/>
      <c r="S125" s="23"/>
      <c r="T125" s="26" t="str">
        <f aca="false">IF(OR($O125="",$D125=""),"",WORKDAY($O125,-IFERROR(VLOOKUP($D125,'Rules &amp; Guardrails'!$A$9:$D$24,3,0),10)))</f>
        <v/>
      </c>
      <c r="U125" s="23"/>
      <c r="V125" s="23"/>
      <c r="W125" s="23"/>
      <c r="X125" s="6"/>
      <c r="Y125" s="23"/>
      <c r="Z125" s="23"/>
      <c r="AA125" s="23"/>
      <c r="AB125" s="23"/>
      <c r="AC125" s="23"/>
      <c r="AD125" s="23"/>
      <c r="AE125" s="23"/>
      <c r="AF125" s="27" t="str">
        <f aca="true">IF($O125="","",IF(OR($AE125="Cancelled",$AE125="On hold",$AE125="Launched"),$AE125,IF(AND($Y125="Approved",OR($Z125="Yes",$Z125="N/A"),OR($AA125="Yes",$AA125="N/A"),OR($AB125="No",$AB125="N/A",AND($AB125="Yes",$AD125="Yes"))),"Ready",IF($O125&lt;TODAY(),"Overdue",IF($O125-TODAY()&lt;='Rules &amp; Guardrails'!$C$5,"At Risk","In Progress")))))</f>
        <v/>
      </c>
      <c r="AG125" s="28" t="str">
        <f aca="false">IF($O125="","",IF(OR($AE125="Launched",$AE125="Cancelled"),"",MID(IF($Y125&lt;&gt;"Approved",", Content approval","")&amp;IF(NOT(OR($Z125="Yes",$Z125="N/A")),", Assets","")&amp;IF(NOT(OR($AA125="Yes",$AA125="N/A")),", List","")&amp;IF($AB125="",", Ops decision",IF(AND($AB125="Yes",$AD125&lt;&gt;"Yes"),", Ops",""))&amp;IF($U125="",", Owner","")&amp;IF($K125="",", Segment",""),3,200)))</f>
        <v/>
      </c>
      <c r="AH125" s="29" t="str">
        <f aca="true">IF($O125="","",$O125-TODAY())</f>
        <v/>
      </c>
      <c r="AI125" s="26" t="str">
        <f aca="false">IF($O125="","",$O125-WEEKDAY($O125,3))</f>
        <v/>
      </c>
      <c r="AJ125" s="30" t="str">
        <f aca="false">IF($O125="","",DATE(YEAR($O125),MONTH($O125),1))</f>
        <v/>
      </c>
      <c r="AK125" s="31" t="str">
        <f aca="false">IF(OR($O125="",$K125=""),"",COUNTIFS('Comms Calendar'!$K$5:$K$504,$K125,'Comms Calendar'!$B$5:$B$504,$B125,'Comms Calendar'!$AI$5:$AI$504,$AI125,'Comms Calendar'!$AE$5:$AE$504,"&lt;&gt;Cancelled"))</f>
        <v/>
      </c>
      <c r="AL125" s="27" t="str">
        <f aca="false">IF($AK125="","",IF($AK125&gt;'Rules &amp; Guardrails'!$C$3,"Over cap","OK"))</f>
        <v/>
      </c>
      <c r="AM125" s="27" t="str">
        <f aca="false">IF(OR($O125="",$K125=""),"",IF(COUNTIFS('Comms Calendar'!$K$5:$K$504,$K125,'Comms Calendar'!$B$5:$B$504,$B125,'Comms Calendar'!$O$5:$O$504,$O125,'Comms Calendar'!$AE$5:$AE$504,"&lt;&gt;Cancelled")&gt;1,"Clash",""))</f>
        <v/>
      </c>
      <c r="AN125" s="27" t="str">
        <f aca="false">IF($O125="","",IF(IF($B125="Global",COUNTIF('Rules &amp; Guardrails'!$F$9:$F$60,$O125),COUNTIFS('Rules &amp; Guardrails'!$F$9:$F$60,$O125,'Rules &amp; Guardrails'!$G$9:$G$60,$B125)+COUNTIFS('Rules &amp; Guardrails'!$F$9:$F$60,$O125,'Rules &amp; Guardrails'!$G$9:$G$60,"Global"))&gt;0,"Blackout",""))</f>
        <v/>
      </c>
      <c r="AO125" s="6"/>
      <c r="AP125" s="25"/>
      <c r="AQ125" s="23"/>
      <c r="AR125" s="31" t="str">
        <f aca="false">IF($D125="","",IFERROR(VLOOKUP($D125,'Rules &amp; Guardrails'!$A$9:$D$24,2,0),"Other"))</f>
        <v/>
      </c>
      <c r="AS125" s="31" t="str">
        <f aca="false">IF($O125="","",$O125&amp;"|"&amp;$B125)</f>
        <v/>
      </c>
    </row>
    <row r="126" customFormat="false" ht="15" hidden="false" customHeight="false" outlineLevel="0" collapsed="false">
      <c r="A126" s="23"/>
      <c r="B126" s="23"/>
      <c r="C126" s="23"/>
      <c r="D126" s="23"/>
      <c r="E126" s="23"/>
      <c r="F126" s="23"/>
      <c r="G126" s="6"/>
      <c r="H126" s="6"/>
      <c r="I126" s="23"/>
      <c r="J126" s="23"/>
      <c r="K126" s="23"/>
      <c r="L126" s="6"/>
      <c r="M126" s="6"/>
      <c r="N126" s="24"/>
      <c r="O126" s="25"/>
      <c r="P126" s="23"/>
      <c r="Q126" s="23"/>
      <c r="R126" s="23"/>
      <c r="S126" s="23"/>
      <c r="T126" s="26" t="str">
        <f aca="false">IF(OR($O126="",$D126=""),"",WORKDAY($O126,-IFERROR(VLOOKUP($D126,'Rules &amp; Guardrails'!$A$9:$D$24,3,0),10)))</f>
        <v/>
      </c>
      <c r="U126" s="23"/>
      <c r="V126" s="23"/>
      <c r="W126" s="23"/>
      <c r="X126" s="6"/>
      <c r="Y126" s="23"/>
      <c r="Z126" s="23"/>
      <c r="AA126" s="23"/>
      <c r="AB126" s="23"/>
      <c r="AC126" s="23"/>
      <c r="AD126" s="23"/>
      <c r="AE126" s="23"/>
      <c r="AF126" s="27" t="str">
        <f aca="true">IF($O126="","",IF(OR($AE126="Cancelled",$AE126="On hold",$AE126="Launched"),$AE126,IF(AND($Y126="Approved",OR($Z126="Yes",$Z126="N/A"),OR($AA126="Yes",$AA126="N/A"),OR($AB126="No",$AB126="N/A",AND($AB126="Yes",$AD126="Yes"))),"Ready",IF($O126&lt;TODAY(),"Overdue",IF($O126-TODAY()&lt;='Rules &amp; Guardrails'!$C$5,"At Risk","In Progress")))))</f>
        <v/>
      </c>
      <c r="AG126" s="28" t="str">
        <f aca="false">IF($O126="","",IF(OR($AE126="Launched",$AE126="Cancelled"),"",MID(IF($Y126&lt;&gt;"Approved",", Content approval","")&amp;IF(NOT(OR($Z126="Yes",$Z126="N/A")),", Assets","")&amp;IF(NOT(OR($AA126="Yes",$AA126="N/A")),", List","")&amp;IF($AB126="",", Ops decision",IF(AND($AB126="Yes",$AD126&lt;&gt;"Yes"),", Ops",""))&amp;IF($U126="",", Owner","")&amp;IF($K126="",", Segment",""),3,200)))</f>
        <v/>
      </c>
      <c r="AH126" s="29" t="str">
        <f aca="true">IF($O126="","",$O126-TODAY())</f>
        <v/>
      </c>
      <c r="AI126" s="26" t="str">
        <f aca="false">IF($O126="","",$O126-WEEKDAY($O126,3))</f>
        <v/>
      </c>
      <c r="AJ126" s="30" t="str">
        <f aca="false">IF($O126="","",DATE(YEAR($O126),MONTH($O126),1))</f>
        <v/>
      </c>
      <c r="AK126" s="31" t="str">
        <f aca="false">IF(OR($O126="",$K126=""),"",COUNTIFS('Comms Calendar'!$K$5:$K$504,$K126,'Comms Calendar'!$B$5:$B$504,$B126,'Comms Calendar'!$AI$5:$AI$504,$AI126,'Comms Calendar'!$AE$5:$AE$504,"&lt;&gt;Cancelled"))</f>
        <v/>
      </c>
      <c r="AL126" s="27" t="str">
        <f aca="false">IF($AK126="","",IF($AK126&gt;'Rules &amp; Guardrails'!$C$3,"Over cap","OK"))</f>
        <v/>
      </c>
      <c r="AM126" s="27" t="str">
        <f aca="false">IF(OR($O126="",$K126=""),"",IF(COUNTIFS('Comms Calendar'!$K$5:$K$504,$K126,'Comms Calendar'!$B$5:$B$504,$B126,'Comms Calendar'!$O$5:$O$504,$O126,'Comms Calendar'!$AE$5:$AE$504,"&lt;&gt;Cancelled")&gt;1,"Clash",""))</f>
        <v/>
      </c>
      <c r="AN126" s="27" t="str">
        <f aca="false">IF($O126="","",IF(IF($B126="Global",COUNTIF('Rules &amp; Guardrails'!$F$9:$F$60,$O126),COUNTIFS('Rules &amp; Guardrails'!$F$9:$F$60,$O126,'Rules &amp; Guardrails'!$G$9:$G$60,$B126)+COUNTIFS('Rules &amp; Guardrails'!$F$9:$F$60,$O126,'Rules &amp; Guardrails'!$G$9:$G$60,"Global"))&gt;0,"Blackout",""))</f>
        <v/>
      </c>
      <c r="AO126" s="6"/>
      <c r="AP126" s="25"/>
      <c r="AQ126" s="23"/>
      <c r="AR126" s="31" t="str">
        <f aca="false">IF($D126="","",IFERROR(VLOOKUP($D126,'Rules &amp; Guardrails'!$A$9:$D$24,2,0),"Other"))</f>
        <v/>
      </c>
      <c r="AS126" s="31" t="str">
        <f aca="false">IF($O126="","",$O126&amp;"|"&amp;$B126)</f>
        <v/>
      </c>
    </row>
    <row r="127" customFormat="false" ht="15" hidden="false" customHeight="false" outlineLevel="0" collapsed="false">
      <c r="A127" s="23"/>
      <c r="B127" s="23"/>
      <c r="C127" s="23"/>
      <c r="D127" s="23"/>
      <c r="E127" s="23"/>
      <c r="F127" s="23"/>
      <c r="G127" s="6"/>
      <c r="H127" s="6"/>
      <c r="I127" s="23"/>
      <c r="J127" s="23"/>
      <c r="K127" s="23"/>
      <c r="L127" s="6"/>
      <c r="M127" s="6"/>
      <c r="N127" s="24"/>
      <c r="O127" s="25"/>
      <c r="P127" s="23"/>
      <c r="Q127" s="23"/>
      <c r="R127" s="23"/>
      <c r="S127" s="23"/>
      <c r="T127" s="26" t="str">
        <f aca="false">IF(OR($O127="",$D127=""),"",WORKDAY($O127,-IFERROR(VLOOKUP($D127,'Rules &amp; Guardrails'!$A$9:$D$24,3,0),10)))</f>
        <v/>
      </c>
      <c r="U127" s="23"/>
      <c r="V127" s="23"/>
      <c r="W127" s="23"/>
      <c r="X127" s="6"/>
      <c r="Y127" s="23"/>
      <c r="Z127" s="23"/>
      <c r="AA127" s="23"/>
      <c r="AB127" s="23"/>
      <c r="AC127" s="23"/>
      <c r="AD127" s="23"/>
      <c r="AE127" s="23"/>
      <c r="AF127" s="27" t="str">
        <f aca="true">IF($O127="","",IF(OR($AE127="Cancelled",$AE127="On hold",$AE127="Launched"),$AE127,IF(AND($Y127="Approved",OR($Z127="Yes",$Z127="N/A"),OR($AA127="Yes",$AA127="N/A"),OR($AB127="No",$AB127="N/A",AND($AB127="Yes",$AD127="Yes"))),"Ready",IF($O127&lt;TODAY(),"Overdue",IF($O127-TODAY()&lt;='Rules &amp; Guardrails'!$C$5,"At Risk","In Progress")))))</f>
        <v/>
      </c>
      <c r="AG127" s="28" t="str">
        <f aca="false">IF($O127="","",IF(OR($AE127="Launched",$AE127="Cancelled"),"",MID(IF($Y127&lt;&gt;"Approved",", Content approval","")&amp;IF(NOT(OR($Z127="Yes",$Z127="N/A")),", Assets","")&amp;IF(NOT(OR($AA127="Yes",$AA127="N/A")),", List","")&amp;IF($AB127="",", Ops decision",IF(AND($AB127="Yes",$AD127&lt;&gt;"Yes"),", Ops",""))&amp;IF($U127="",", Owner","")&amp;IF($K127="",", Segment",""),3,200)))</f>
        <v/>
      </c>
      <c r="AH127" s="29" t="str">
        <f aca="true">IF($O127="","",$O127-TODAY())</f>
        <v/>
      </c>
      <c r="AI127" s="26" t="str">
        <f aca="false">IF($O127="","",$O127-WEEKDAY($O127,3))</f>
        <v/>
      </c>
      <c r="AJ127" s="30" t="str">
        <f aca="false">IF($O127="","",DATE(YEAR($O127),MONTH($O127),1))</f>
        <v/>
      </c>
      <c r="AK127" s="31" t="str">
        <f aca="false">IF(OR($O127="",$K127=""),"",COUNTIFS('Comms Calendar'!$K$5:$K$504,$K127,'Comms Calendar'!$B$5:$B$504,$B127,'Comms Calendar'!$AI$5:$AI$504,$AI127,'Comms Calendar'!$AE$5:$AE$504,"&lt;&gt;Cancelled"))</f>
        <v/>
      </c>
      <c r="AL127" s="27" t="str">
        <f aca="false">IF($AK127="","",IF($AK127&gt;'Rules &amp; Guardrails'!$C$3,"Over cap","OK"))</f>
        <v/>
      </c>
      <c r="AM127" s="27" t="str">
        <f aca="false">IF(OR($O127="",$K127=""),"",IF(COUNTIFS('Comms Calendar'!$K$5:$K$504,$K127,'Comms Calendar'!$B$5:$B$504,$B127,'Comms Calendar'!$O$5:$O$504,$O127,'Comms Calendar'!$AE$5:$AE$504,"&lt;&gt;Cancelled")&gt;1,"Clash",""))</f>
        <v/>
      </c>
      <c r="AN127" s="27" t="str">
        <f aca="false">IF($O127="","",IF(IF($B127="Global",COUNTIF('Rules &amp; Guardrails'!$F$9:$F$60,$O127),COUNTIFS('Rules &amp; Guardrails'!$F$9:$F$60,$O127,'Rules &amp; Guardrails'!$G$9:$G$60,$B127)+COUNTIFS('Rules &amp; Guardrails'!$F$9:$F$60,$O127,'Rules &amp; Guardrails'!$G$9:$G$60,"Global"))&gt;0,"Blackout",""))</f>
        <v/>
      </c>
      <c r="AO127" s="6"/>
      <c r="AP127" s="25"/>
      <c r="AQ127" s="23"/>
      <c r="AR127" s="31" t="str">
        <f aca="false">IF($D127="","",IFERROR(VLOOKUP($D127,'Rules &amp; Guardrails'!$A$9:$D$24,2,0),"Other"))</f>
        <v/>
      </c>
      <c r="AS127" s="31" t="str">
        <f aca="false">IF($O127="","",$O127&amp;"|"&amp;$B127)</f>
        <v/>
      </c>
    </row>
    <row r="128" customFormat="false" ht="15" hidden="false" customHeight="false" outlineLevel="0" collapsed="false">
      <c r="A128" s="23"/>
      <c r="B128" s="23"/>
      <c r="C128" s="23"/>
      <c r="D128" s="23"/>
      <c r="E128" s="23"/>
      <c r="F128" s="23"/>
      <c r="G128" s="6"/>
      <c r="H128" s="6"/>
      <c r="I128" s="23"/>
      <c r="J128" s="23"/>
      <c r="K128" s="23"/>
      <c r="L128" s="6"/>
      <c r="M128" s="6"/>
      <c r="N128" s="24"/>
      <c r="O128" s="25"/>
      <c r="P128" s="23"/>
      <c r="Q128" s="23"/>
      <c r="R128" s="23"/>
      <c r="S128" s="23"/>
      <c r="T128" s="26" t="str">
        <f aca="false">IF(OR($O128="",$D128=""),"",WORKDAY($O128,-IFERROR(VLOOKUP($D128,'Rules &amp; Guardrails'!$A$9:$D$24,3,0),10)))</f>
        <v/>
      </c>
      <c r="U128" s="23"/>
      <c r="V128" s="23"/>
      <c r="W128" s="23"/>
      <c r="X128" s="6"/>
      <c r="Y128" s="23"/>
      <c r="Z128" s="23"/>
      <c r="AA128" s="23"/>
      <c r="AB128" s="23"/>
      <c r="AC128" s="23"/>
      <c r="AD128" s="23"/>
      <c r="AE128" s="23"/>
      <c r="AF128" s="27" t="str">
        <f aca="true">IF($O128="","",IF(OR($AE128="Cancelled",$AE128="On hold",$AE128="Launched"),$AE128,IF(AND($Y128="Approved",OR($Z128="Yes",$Z128="N/A"),OR($AA128="Yes",$AA128="N/A"),OR($AB128="No",$AB128="N/A",AND($AB128="Yes",$AD128="Yes"))),"Ready",IF($O128&lt;TODAY(),"Overdue",IF($O128-TODAY()&lt;='Rules &amp; Guardrails'!$C$5,"At Risk","In Progress")))))</f>
        <v/>
      </c>
      <c r="AG128" s="28" t="str">
        <f aca="false">IF($O128="","",IF(OR($AE128="Launched",$AE128="Cancelled"),"",MID(IF($Y128&lt;&gt;"Approved",", Content approval","")&amp;IF(NOT(OR($Z128="Yes",$Z128="N/A")),", Assets","")&amp;IF(NOT(OR($AA128="Yes",$AA128="N/A")),", List","")&amp;IF($AB128="",", Ops decision",IF(AND($AB128="Yes",$AD128&lt;&gt;"Yes"),", Ops",""))&amp;IF($U128="",", Owner","")&amp;IF($K128="",", Segment",""),3,200)))</f>
        <v/>
      </c>
      <c r="AH128" s="29" t="str">
        <f aca="true">IF($O128="","",$O128-TODAY())</f>
        <v/>
      </c>
      <c r="AI128" s="26" t="str">
        <f aca="false">IF($O128="","",$O128-WEEKDAY($O128,3))</f>
        <v/>
      </c>
      <c r="AJ128" s="30" t="str">
        <f aca="false">IF($O128="","",DATE(YEAR($O128),MONTH($O128),1))</f>
        <v/>
      </c>
      <c r="AK128" s="31" t="str">
        <f aca="false">IF(OR($O128="",$K128=""),"",COUNTIFS('Comms Calendar'!$K$5:$K$504,$K128,'Comms Calendar'!$B$5:$B$504,$B128,'Comms Calendar'!$AI$5:$AI$504,$AI128,'Comms Calendar'!$AE$5:$AE$504,"&lt;&gt;Cancelled"))</f>
        <v/>
      </c>
      <c r="AL128" s="27" t="str">
        <f aca="false">IF($AK128="","",IF($AK128&gt;'Rules &amp; Guardrails'!$C$3,"Over cap","OK"))</f>
        <v/>
      </c>
      <c r="AM128" s="27" t="str">
        <f aca="false">IF(OR($O128="",$K128=""),"",IF(COUNTIFS('Comms Calendar'!$K$5:$K$504,$K128,'Comms Calendar'!$B$5:$B$504,$B128,'Comms Calendar'!$O$5:$O$504,$O128,'Comms Calendar'!$AE$5:$AE$504,"&lt;&gt;Cancelled")&gt;1,"Clash",""))</f>
        <v/>
      </c>
      <c r="AN128" s="27" t="str">
        <f aca="false">IF($O128="","",IF(IF($B128="Global",COUNTIF('Rules &amp; Guardrails'!$F$9:$F$60,$O128),COUNTIFS('Rules &amp; Guardrails'!$F$9:$F$60,$O128,'Rules &amp; Guardrails'!$G$9:$G$60,$B128)+COUNTIFS('Rules &amp; Guardrails'!$F$9:$F$60,$O128,'Rules &amp; Guardrails'!$G$9:$G$60,"Global"))&gt;0,"Blackout",""))</f>
        <v/>
      </c>
      <c r="AO128" s="6"/>
      <c r="AP128" s="25"/>
      <c r="AQ128" s="23"/>
      <c r="AR128" s="31" t="str">
        <f aca="false">IF($D128="","",IFERROR(VLOOKUP($D128,'Rules &amp; Guardrails'!$A$9:$D$24,2,0),"Other"))</f>
        <v/>
      </c>
      <c r="AS128" s="31" t="str">
        <f aca="false">IF($O128="","",$O128&amp;"|"&amp;$B128)</f>
        <v/>
      </c>
    </row>
    <row r="129" customFormat="false" ht="15" hidden="false" customHeight="false" outlineLevel="0" collapsed="false">
      <c r="A129" s="23"/>
      <c r="B129" s="23"/>
      <c r="C129" s="23"/>
      <c r="D129" s="23"/>
      <c r="E129" s="23"/>
      <c r="F129" s="23"/>
      <c r="G129" s="6"/>
      <c r="H129" s="6"/>
      <c r="I129" s="23"/>
      <c r="J129" s="23"/>
      <c r="K129" s="23"/>
      <c r="L129" s="6"/>
      <c r="M129" s="6"/>
      <c r="N129" s="24"/>
      <c r="O129" s="25"/>
      <c r="P129" s="23"/>
      <c r="Q129" s="23"/>
      <c r="R129" s="23"/>
      <c r="S129" s="23"/>
      <c r="T129" s="26" t="str">
        <f aca="false">IF(OR($O129="",$D129=""),"",WORKDAY($O129,-IFERROR(VLOOKUP($D129,'Rules &amp; Guardrails'!$A$9:$D$24,3,0),10)))</f>
        <v/>
      </c>
      <c r="U129" s="23"/>
      <c r="V129" s="23"/>
      <c r="W129" s="23"/>
      <c r="X129" s="6"/>
      <c r="Y129" s="23"/>
      <c r="Z129" s="23"/>
      <c r="AA129" s="23"/>
      <c r="AB129" s="23"/>
      <c r="AC129" s="23"/>
      <c r="AD129" s="23"/>
      <c r="AE129" s="23"/>
      <c r="AF129" s="27" t="str">
        <f aca="true">IF($O129="","",IF(OR($AE129="Cancelled",$AE129="On hold",$AE129="Launched"),$AE129,IF(AND($Y129="Approved",OR($Z129="Yes",$Z129="N/A"),OR($AA129="Yes",$AA129="N/A"),OR($AB129="No",$AB129="N/A",AND($AB129="Yes",$AD129="Yes"))),"Ready",IF($O129&lt;TODAY(),"Overdue",IF($O129-TODAY()&lt;='Rules &amp; Guardrails'!$C$5,"At Risk","In Progress")))))</f>
        <v/>
      </c>
      <c r="AG129" s="28" t="str">
        <f aca="false">IF($O129="","",IF(OR($AE129="Launched",$AE129="Cancelled"),"",MID(IF($Y129&lt;&gt;"Approved",", Content approval","")&amp;IF(NOT(OR($Z129="Yes",$Z129="N/A")),", Assets","")&amp;IF(NOT(OR($AA129="Yes",$AA129="N/A")),", List","")&amp;IF($AB129="",", Ops decision",IF(AND($AB129="Yes",$AD129&lt;&gt;"Yes"),", Ops",""))&amp;IF($U129="",", Owner","")&amp;IF($K129="",", Segment",""),3,200)))</f>
        <v/>
      </c>
      <c r="AH129" s="29" t="str">
        <f aca="true">IF($O129="","",$O129-TODAY())</f>
        <v/>
      </c>
      <c r="AI129" s="26" t="str">
        <f aca="false">IF($O129="","",$O129-WEEKDAY($O129,3))</f>
        <v/>
      </c>
      <c r="AJ129" s="30" t="str">
        <f aca="false">IF($O129="","",DATE(YEAR($O129),MONTH($O129),1))</f>
        <v/>
      </c>
      <c r="AK129" s="31" t="str">
        <f aca="false">IF(OR($O129="",$K129=""),"",COUNTIFS('Comms Calendar'!$K$5:$K$504,$K129,'Comms Calendar'!$B$5:$B$504,$B129,'Comms Calendar'!$AI$5:$AI$504,$AI129,'Comms Calendar'!$AE$5:$AE$504,"&lt;&gt;Cancelled"))</f>
        <v/>
      </c>
      <c r="AL129" s="27" t="str">
        <f aca="false">IF($AK129="","",IF($AK129&gt;'Rules &amp; Guardrails'!$C$3,"Over cap","OK"))</f>
        <v/>
      </c>
      <c r="AM129" s="27" t="str">
        <f aca="false">IF(OR($O129="",$K129=""),"",IF(COUNTIFS('Comms Calendar'!$K$5:$K$504,$K129,'Comms Calendar'!$B$5:$B$504,$B129,'Comms Calendar'!$O$5:$O$504,$O129,'Comms Calendar'!$AE$5:$AE$504,"&lt;&gt;Cancelled")&gt;1,"Clash",""))</f>
        <v/>
      </c>
      <c r="AN129" s="27" t="str">
        <f aca="false">IF($O129="","",IF(IF($B129="Global",COUNTIF('Rules &amp; Guardrails'!$F$9:$F$60,$O129),COUNTIFS('Rules &amp; Guardrails'!$F$9:$F$60,$O129,'Rules &amp; Guardrails'!$G$9:$G$60,$B129)+COUNTIFS('Rules &amp; Guardrails'!$F$9:$F$60,$O129,'Rules &amp; Guardrails'!$G$9:$G$60,"Global"))&gt;0,"Blackout",""))</f>
        <v/>
      </c>
      <c r="AO129" s="6"/>
      <c r="AP129" s="25"/>
      <c r="AQ129" s="23"/>
      <c r="AR129" s="31" t="str">
        <f aca="false">IF($D129="","",IFERROR(VLOOKUP($D129,'Rules &amp; Guardrails'!$A$9:$D$24,2,0),"Other"))</f>
        <v/>
      </c>
      <c r="AS129" s="31" t="str">
        <f aca="false">IF($O129="","",$O129&amp;"|"&amp;$B129)</f>
        <v/>
      </c>
    </row>
    <row r="130" customFormat="false" ht="15" hidden="false" customHeight="false" outlineLevel="0" collapsed="false">
      <c r="A130" s="23"/>
      <c r="B130" s="23"/>
      <c r="C130" s="23"/>
      <c r="D130" s="23"/>
      <c r="E130" s="23"/>
      <c r="F130" s="23"/>
      <c r="G130" s="6"/>
      <c r="H130" s="6"/>
      <c r="I130" s="23"/>
      <c r="J130" s="23"/>
      <c r="K130" s="23"/>
      <c r="L130" s="6"/>
      <c r="M130" s="6"/>
      <c r="N130" s="24"/>
      <c r="O130" s="25"/>
      <c r="P130" s="23"/>
      <c r="Q130" s="23"/>
      <c r="R130" s="23"/>
      <c r="S130" s="23"/>
      <c r="T130" s="26" t="str">
        <f aca="false">IF(OR($O130="",$D130=""),"",WORKDAY($O130,-IFERROR(VLOOKUP($D130,'Rules &amp; Guardrails'!$A$9:$D$24,3,0),10)))</f>
        <v/>
      </c>
      <c r="U130" s="23"/>
      <c r="V130" s="23"/>
      <c r="W130" s="23"/>
      <c r="X130" s="6"/>
      <c r="Y130" s="23"/>
      <c r="Z130" s="23"/>
      <c r="AA130" s="23"/>
      <c r="AB130" s="23"/>
      <c r="AC130" s="23"/>
      <c r="AD130" s="23"/>
      <c r="AE130" s="23"/>
      <c r="AF130" s="27" t="str">
        <f aca="true">IF($O130="","",IF(OR($AE130="Cancelled",$AE130="On hold",$AE130="Launched"),$AE130,IF(AND($Y130="Approved",OR($Z130="Yes",$Z130="N/A"),OR($AA130="Yes",$AA130="N/A"),OR($AB130="No",$AB130="N/A",AND($AB130="Yes",$AD130="Yes"))),"Ready",IF($O130&lt;TODAY(),"Overdue",IF($O130-TODAY()&lt;='Rules &amp; Guardrails'!$C$5,"At Risk","In Progress")))))</f>
        <v/>
      </c>
      <c r="AG130" s="28" t="str">
        <f aca="false">IF($O130="","",IF(OR($AE130="Launched",$AE130="Cancelled"),"",MID(IF($Y130&lt;&gt;"Approved",", Content approval","")&amp;IF(NOT(OR($Z130="Yes",$Z130="N/A")),", Assets","")&amp;IF(NOT(OR($AA130="Yes",$AA130="N/A")),", List","")&amp;IF($AB130="",", Ops decision",IF(AND($AB130="Yes",$AD130&lt;&gt;"Yes"),", Ops",""))&amp;IF($U130="",", Owner","")&amp;IF($K130="",", Segment",""),3,200)))</f>
        <v/>
      </c>
      <c r="AH130" s="29" t="str">
        <f aca="true">IF($O130="","",$O130-TODAY())</f>
        <v/>
      </c>
      <c r="AI130" s="26" t="str">
        <f aca="false">IF($O130="","",$O130-WEEKDAY($O130,3))</f>
        <v/>
      </c>
      <c r="AJ130" s="30" t="str">
        <f aca="false">IF($O130="","",DATE(YEAR($O130),MONTH($O130),1))</f>
        <v/>
      </c>
      <c r="AK130" s="31" t="str">
        <f aca="false">IF(OR($O130="",$K130=""),"",COUNTIFS('Comms Calendar'!$K$5:$K$504,$K130,'Comms Calendar'!$B$5:$B$504,$B130,'Comms Calendar'!$AI$5:$AI$504,$AI130,'Comms Calendar'!$AE$5:$AE$504,"&lt;&gt;Cancelled"))</f>
        <v/>
      </c>
      <c r="AL130" s="27" t="str">
        <f aca="false">IF($AK130="","",IF($AK130&gt;'Rules &amp; Guardrails'!$C$3,"Over cap","OK"))</f>
        <v/>
      </c>
      <c r="AM130" s="27" t="str">
        <f aca="false">IF(OR($O130="",$K130=""),"",IF(COUNTIFS('Comms Calendar'!$K$5:$K$504,$K130,'Comms Calendar'!$B$5:$B$504,$B130,'Comms Calendar'!$O$5:$O$504,$O130,'Comms Calendar'!$AE$5:$AE$504,"&lt;&gt;Cancelled")&gt;1,"Clash",""))</f>
        <v/>
      </c>
      <c r="AN130" s="27" t="str">
        <f aca="false">IF($O130="","",IF(IF($B130="Global",COUNTIF('Rules &amp; Guardrails'!$F$9:$F$60,$O130),COUNTIFS('Rules &amp; Guardrails'!$F$9:$F$60,$O130,'Rules &amp; Guardrails'!$G$9:$G$60,$B130)+COUNTIFS('Rules &amp; Guardrails'!$F$9:$F$60,$O130,'Rules &amp; Guardrails'!$G$9:$G$60,"Global"))&gt;0,"Blackout",""))</f>
        <v/>
      </c>
      <c r="AO130" s="6"/>
      <c r="AP130" s="25"/>
      <c r="AQ130" s="23"/>
      <c r="AR130" s="31" t="str">
        <f aca="false">IF($D130="","",IFERROR(VLOOKUP($D130,'Rules &amp; Guardrails'!$A$9:$D$24,2,0),"Other"))</f>
        <v/>
      </c>
      <c r="AS130" s="31" t="str">
        <f aca="false">IF($O130="","",$O130&amp;"|"&amp;$B130)</f>
        <v/>
      </c>
    </row>
    <row r="131" customFormat="false" ht="15" hidden="false" customHeight="false" outlineLevel="0" collapsed="false">
      <c r="A131" s="23"/>
      <c r="B131" s="23"/>
      <c r="C131" s="23"/>
      <c r="D131" s="23"/>
      <c r="E131" s="23"/>
      <c r="F131" s="23"/>
      <c r="G131" s="6"/>
      <c r="H131" s="6"/>
      <c r="I131" s="23"/>
      <c r="J131" s="23"/>
      <c r="K131" s="23"/>
      <c r="L131" s="6"/>
      <c r="M131" s="6"/>
      <c r="N131" s="24"/>
      <c r="O131" s="25"/>
      <c r="P131" s="23"/>
      <c r="Q131" s="23"/>
      <c r="R131" s="23"/>
      <c r="S131" s="23"/>
      <c r="T131" s="26" t="str">
        <f aca="false">IF(OR($O131="",$D131=""),"",WORKDAY($O131,-IFERROR(VLOOKUP($D131,'Rules &amp; Guardrails'!$A$9:$D$24,3,0),10)))</f>
        <v/>
      </c>
      <c r="U131" s="23"/>
      <c r="V131" s="23"/>
      <c r="W131" s="23"/>
      <c r="X131" s="6"/>
      <c r="Y131" s="23"/>
      <c r="Z131" s="23"/>
      <c r="AA131" s="23"/>
      <c r="AB131" s="23"/>
      <c r="AC131" s="23"/>
      <c r="AD131" s="23"/>
      <c r="AE131" s="23"/>
      <c r="AF131" s="27" t="str">
        <f aca="true">IF($O131="","",IF(OR($AE131="Cancelled",$AE131="On hold",$AE131="Launched"),$AE131,IF(AND($Y131="Approved",OR($Z131="Yes",$Z131="N/A"),OR($AA131="Yes",$AA131="N/A"),OR($AB131="No",$AB131="N/A",AND($AB131="Yes",$AD131="Yes"))),"Ready",IF($O131&lt;TODAY(),"Overdue",IF($O131-TODAY()&lt;='Rules &amp; Guardrails'!$C$5,"At Risk","In Progress")))))</f>
        <v/>
      </c>
      <c r="AG131" s="28" t="str">
        <f aca="false">IF($O131="","",IF(OR($AE131="Launched",$AE131="Cancelled"),"",MID(IF($Y131&lt;&gt;"Approved",", Content approval","")&amp;IF(NOT(OR($Z131="Yes",$Z131="N/A")),", Assets","")&amp;IF(NOT(OR($AA131="Yes",$AA131="N/A")),", List","")&amp;IF($AB131="",", Ops decision",IF(AND($AB131="Yes",$AD131&lt;&gt;"Yes"),", Ops",""))&amp;IF($U131="",", Owner","")&amp;IF($K131="",", Segment",""),3,200)))</f>
        <v/>
      </c>
      <c r="AH131" s="29" t="str">
        <f aca="true">IF($O131="","",$O131-TODAY())</f>
        <v/>
      </c>
      <c r="AI131" s="26" t="str">
        <f aca="false">IF($O131="","",$O131-WEEKDAY($O131,3))</f>
        <v/>
      </c>
      <c r="AJ131" s="30" t="str">
        <f aca="false">IF($O131="","",DATE(YEAR($O131),MONTH($O131),1))</f>
        <v/>
      </c>
      <c r="AK131" s="31" t="str">
        <f aca="false">IF(OR($O131="",$K131=""),"",COUNTIFS('Comms Calendar'!$K$5:$K$504,$K131,'Comms Calendar'!$B$5:$B$504,$B131,'Comms Calendar'!$AI$5:$AI$504,$AI131,'Comms Calendar'!$AE$5:$AE$504,"&lt;&gt;Cancelled"))</f>
        <v/>
      </c>
      <c r="AL131" s="27" t="str">
        <f aca="false">IF($AK131="","",IF($AK131&gt;'Rules &amp; Guardrails'!$C$3,"Over cap","OK"))</f>
        <v/>
      </c>
      <c r="AM131" s="27" t="str">
        <f aca="false">IF(OR($O131="",$K131=""),"",IF(COUNTIFS('Comms Calendar'!$K$5:$K$504,$K131,'Comms Calendar'!$B$5:$B$504,$B131,'Comms Calendar'!$O$5:$O$504,$O131,'Comms Calendar'!$AE$5:$AE$504,"&lt;&gt;Cancelled")&gt;1,"Clash",""))</f>
        <v/>
      </c>
      <c r="AN131" s="27" t="str">
        <f aca="false">IF($O131="","",IF(IF($B131="Global",COUNTIF('Rules &amp; Guardrails'!$F$9:$F$60,$O131),COUNTIFS('Rules &amp; Guardrails'!$F$9:$F$60,$O131,'Rules &amp; Guardrails'!$G$9:$G$60,$B131)+COUNTIFS('Rules &amp; Guardrails'!$F$9:$F$60,$O131,'Rules &amp; Guardrails'!$G$9:$G$60,"Global"))&gt;0,"Blackout",""))</f>
        <v/>
      </c>
      <c r="AO131" s="6"/>
      <c r="AP131" s="25"/>
      <c r="AQ131" s="23"/>
      <c r="AR131" s="31" t="str">
        <f aca="false">IF($D131="","",IFERROR(VLOOKUP($D131,'Rules &amp; Guardrails'!$A$9:$D$24,2,0),"Other"))</f>
        <v/>
      </c>
      <c r="AS131" s="31" t="str">
        <f aca="false">IF($O131="","",$O131&amp;"|"&amp;$B131)</f>
        <v/>
      </c>
    </row>
    <row r="132" customFormat="false" ht="15" hidden="false" customHeight="false" outlineLevel="0" collapsed="false">
      <c r="A132" s="23"/>
      <c r="B132" s="23"/>
      <c r="C132" s="23"/>
      <c r="D132" s="23"/>
      <c r="E132" s="23"/>
      <c r="F132" s="23"/>
      <c r="G132" s="6"/>
      <c r="H132" s="6"/>
      <c r="I132" s="23"/>
      <c r="J132" s="23"/>
      <c r="K132" s="23"/>
      <c r="L132" s="6"/>
      <c r="M132" s="6"/>
      <c r="N132" s="24"/>
      <c r="O132" s="25"/>
      <c r="P132" s="23"/>
      <c r="Q132" s="23"/>
      <c r="R132" s="23"/>
      <c r="S132" s="23"/>
      <c r="T132" s="26" t="str">
        <f aca="false">IF(OR($O132="",$D132=""),"",WORKDAY($O132,-IFERROR(VLOOKUP($D132,'Rules &amp; Guardrails'!$A$9:$D$24,3,0),10)))</f>
        <v/>
      </c>
      <c r="U132" s="23"/>
      <c r="V132" s="23"/>
      <c r="W132" s="23"/>
      <c r="X132" s="6"/>
      <c r="Y132" s="23"/>
      <c r="Z132" s="23"/>
      <c r="AA132" s="23"/>
      <c r="AB132" s="23"/>
      <c r="AC132" s="23"/>
      <c r="AD132" s="23"/>
      <c r="AE132" s="23"/>
      <c r="AF132" s="27" t="str">
        <f aca="true">IF($O132="","",IF(OR($AE132="Cancelled",$AE132="On hold",$AE132="Launched"),$AE132,IF(AND($Y132="Approved",OR($Z132="Yes",$Z132="N/A"),OR($AA132="Yes",$AA132="N/A"),OR($AB132="No",$AB132="N/A",AND($AB132="Yes",$AD132="Yes"))),"Ready",IF($O132&lt;TODAY(),"Overdue",IF($O132-TODAY()&lt;='Rules &amp; Guardrails'!$C$5,"At Risk","In Progress")))))</f>
        <v/>
      </c>
      <c r="AG132" s="28" t="str">
        <f aca="false">IF($O132="","",IF(OR($AE132="Launched",$AE132="Cancelled"),"",MID(IF($Y132&lt;&gt;"Approved",", Content approval","")&amp;IF(NOT(OR($Z132="Yes",$Z132="N/A")),", Assets","")&amp;IF(NOT(OR($AA132="Yes",$AA132="N/A")),", List","")&amp;IF($AB132="",", Ops decision",IF(AND($AB132="Yes",$AD132&lt;&gt;"Yes"),", Ops",""))&amp;IF($U132="",", Owner","")&amp;IF($K132="",", Segment",""),3,200)))</f>
        <v/>
      </c>
      <c r="AH132" s="29" t="str">
        <f aca="true">IF($O132="","",$O132-TODAY())</f>
        <v/>
      </c>
      <c r="AI132" s="26" t="str">
        <f aca="false">IF($O132="","",$O132-WEEKDAY($O132,3))</f>
        <v/>
      </c>
      <c r="AJ132" s="30" t="str">
        <f aca="false">IF($O132="","",DATE(YEAR($O132),MONTH($O132),1))</f>
        <v/>
      </c>
      <c r="AK132" s="31" t="str">
        <f aca="false">IF(OR($O132="",$K132=""),"",COUNTIFS('Comms Calendar'!$K$5:$K$504,$K132,'Comms Calendar'!$B$5:$B$504,$B132,'Comms Calendar'!$AI$5:$AI$504,$AI132,'Comms Calendar'!$AE$5:$AE$504,"&lt;&gt;Cancelled"))</f>
        <v/>
      </c>
      <c r="AL132" s="27" t="str">
        <f aca="false">IF($AK132="","",IF($AK132&gt;'Rules &amp; Guardrails'!$C$3,"Over cap","OK"))</f>
        <v/>
      </c>
      <c r="AM132" s="27" t="str">
        <f aca="false">IF(OR($O132="",$K132=""),"",IF(COUNTIFS('Comms Calendar'!$K$5:$K$504,$K132,'Comms Calendar'!$B$5:$B$504,$B132,'Comms Calendar'!$O$5:$O$504,$O132,'Comms Calendar'!$AE$5:$AE$504,"&lt;&gt;Cancelled")&gt;1,"Clash",""))</f>
        <v/>
      </c>
      <c r="AN132" s="27" t="str">
        <f aca="false">IF($O132="","",IF(IF($B132="Global",COUNTIF('Rules &amp; Guardrails'!$F$9:$F$60,$O132),COUNTIFS('Rules &amp; Guardrails'!$F$9:$F$60,$O132,'Rules &amp; Guardrails'!$G$9:$G$60,$B132)+COUNTIFS('Rules &amp; Guardrails'!$F$9:$F$60,$O132,'Rules &amp; Guardrails'!$G$9:$G$60,"Global"))&gt;0,"Blackout",""))</f>
        <v/>
      </c>
      <c r="AO132" s="6"/>
      <c r="AP132" s="25"/>
      <c r="AQ132" s="23"/>
      <c r="AR132" s="31" t="str">
        <f aca="false">IF($D132="","",IFERROR(VLOOKUP($D132,'Rules &amp; Guardrails'!$A$9:$D$24,2,0),"Other"))</f>
        <v/>
      </c>
      <c r="AS132" s="31" t="str">
        <f aca="false">IF($O132="","",$O132&amp;"|"&amp;$B132)</f>
        <v/>
      </c>
    </row>
    <row r="133" customFormat="false" ht="15" hidden="false" customHeight="false" outlineLevel="0" collapsed="false">
      <c r="A133" s="23"/>
      <c r="B133" s="23"/>
      <c r="C133" s="23"/>
      <c r="D133" s="23"/>
      <c r="E133" s="23"/>
      <c r="F133" s="23"/>
      <c r="G133" s="6"/>
      <c r="H133" s="6"/>
      <c r="I133" s="23"/>
      <c r="J133" s="23"/>
      <c r="K133" s="23"/>
      <c r="L133" s="6"/>
      <c r="M133" s="6"/>
      <c r="N133" s="24"/>
      <c r="O133" s="25"/>
      <c r="P133" s="23"/>
      <c r="Q133" s="23"/>
      <c r="R133" s="23"/>
      <c r="S133" s="23"/>
      <c r="T133" s="26" t="str">
        <f aca="false">IF(OR($O133="",$D133=""),"",WORKDAY($O133,-IFERROR(VLOOKUP($D133,'Rules &amp; Guardrails'!$A$9:$D$24,3,0),10)))</f>
        <v/>
      </c>
      <c r="U133" s="23"/>
      <c r="V133" s="23"/>
      <c r="W133" s="23"/>
      <c r="X133" s="6"/>
      <c r="Y133" s="23"/>
      <c r="Z133" s="23"/>
      <c r="AA133" s="23"/>
      <c r="AB133" s="23"/>
      <c r="AC133" s="23"/>
      <c r="AD133" s="23"/>
      <c r="AE133" s="23"/>
      <c r="AF133" s="27" t="str">
        <f aca="true">IF($O133="","",IF(OR($AE133="Cancelled",$AE133="On hold",$AE133="Launched"),$AE133,IF(AND($Y133="Approved",OR($Z133="Yes",$Z133="N/A"),OR($AA133="Yes",$AA133="N/A"),OR($AB133="No",$AB133="N/A",AND($AB133="Yes",$AD133="Yes"))),"Ready",IF($O133&lt;TODAY(),"Overdue",IF($O133-TODAY()&lt;='Rules &amp; Guardrails'!$C$5,"At Risk","In Progress")))))</f>
        <v/>
      </c>
      <c r="AG133" s="28" t="str">
        <f aca="false">IF($O133="","",IF(OR($AE133="Launched",$AE133="Cancelled"),"",MID(IF($Y133&lt;&gt;"Approved",", Content approval","")&amp;IF(NOT(OR($Z133="Yes",$Z133="N/A")),", Assets","")&amp;IF(NOT(OR($AA133="Yes",$AA133="N/A")),", List","")&amp;IF($AB133="",", Ops decision",IF(AND($AB133="Yes",$AD133&lt;&gt;"Yes"),", Ops",""))&amp;IF($U133="",", Owner","")&amp;IF($K133="",", Segment",""),3,200)))</f>
        <v/>
      </c>
      <c r="AH133" s="29" t="str">
        <f aca="true">IF($O133="","",$O133-TODAY())</f>
        <v/>
      </c>
      <c r="AI133" s="26" t="str">
        <f aca="false">IF($O133="","",$O133-WEEKDAY($O133,3))</f>
        <v/>
      </c>
      <c r="AJ133" s="30" t="str">
        <f aca="false">IF($O133="","",DATE(YEAR($O133),MONTH($O133),1))</f>
        <v/>
      </c>
      <c r="AK133" s="31" t="str">
        <f aca="false">IF(OR($O133="",$K133=""),"",COUNTIFS('Comms Calendar'!$K$5:$K$504,$K133,'Comms Calendar'!$B$5:$B$504,$B133,'Comms Calendar'!$AI$5:$AI$504,$AI133,'Comms Calendar'!$AE$5:$AE$504,"&lt;&gt;Cancelled"))</f>
        <v/>
      </c>
      <c r="AL133" s="27" t="str">
        <f aca="false">IF($AK133="","",IF($AK133&gt;'Rules &amp; Guardrails'!$C$3,"Over cap","OK"))</f>
        <v/>
      </c>
      <c r="AM133" s="27" t="str">
        <f aca="false">IF(OR($O133="",$K133=""),"",IF(COUNTIFS('Comms Calendar'!$K$5:$K$504,$K133,'Comms Calendar'!$B$5:$B$504,$B133,'Comms Calendar'!$O$5:$O$504,$O133,'Comms Calendar'!$AE$5:$AE$504,"&lt;&gt;Cancelled")&gt;1,"Clash",""))</f>
        <v/>
      </c>
      <c r="AN133" s="27" t="str">
        <f aca="false">IF($O133="","",IF(IF($B133="Global",COUNTIF('Rules &amp; Guardrails'!$F$9:$F$60,$O133),COUNTIFS('Rules &amp; Guardrails'!$F$9:$F$60,$O133,'Rules &amp; Guardrails'!$G$9:$G$60,$B133)+COUNTIFS('Rules &amp; Guardrails'!$F$9:$F$60,$O133,'Rules &amp; Guardrails'!$G$9:$G$60,"Global"))&gt;0,"Blackout",""))</f>
        <v/>
      </c>
      <c r="AO133" s="6"/>
      <c r="AP133" s="25"/>
      <c r="AQ133" s="23"/>
      <c r="AR133" s="31" t="str">
        <f aca="false">IF($D133="","",IFERROR(VLOOKUP($D133,'Rules &amp; Guardrails'!$A$9:$D$24,2,0),"Other"))</f>
        <v/>
      </c>
      <c r="AS133" s="31" t="str">
        <f aca="false">IF($O133="","",$O133&amp;"|"&amp;$B133)</f>
        <v/>
      </c>
    </row>
    <row r="134" customFormat="false" ht="15" hidden="false" customHeight="false" outlineLevel="0" collapsed="false">
      <c r="A134" s="23"/>
      <c r="B134" s="23"/>
      <c r="C134" s="23"/>
      <c r="D134" s="23"/>
      <c r="E134" s="23"/>
      <c r="F134" s="23"/>
      <c r="G134" s="6"/>
      <c r="H134" s="6"/>
      <c r="I134" s="23"/>
      <c r="J134" s="23"/>
      <c r="K134" s="23"/>
      <c r="L134" s="6"/>
      <c r="M134" s="6"/>
      <c r="N134" s="24"/>
      <c r="O134" s="25"/>
      <c r="P134" s="23"/>
      <c r="Q134" s="23"/>
      <c r="R134" s="23"/>
      <c r="S134" s="23"/>
      <c r="T134" s="26" t="str">
        <f aca="false">IF(OR($O134="",$D134=""),"",WORKDAY($O134,-IFERROR(VLOOKUP($D134,'Rules &amp; Guardrails'!$A$9:$D$24,3,0),10)))</f>
        <v/>
      </c>
      <c r="U134" s="23"/>
      <c r="V134" s="23"/>
      <c r="W134" s="23"/>
      <c r="X134" s="6"/>
      <c r="Y134" s="23"/>
      <c r="Z134" s="23"/>
      <c r="AA134" s="23"/>
      <c r="AB134" s="23"/>
      <c r="AC134" s="23"/>
      <c r="AD134" s="23"/>
      <c r="AE134" s="23"/>
      <c r="AF134" s="27" t="str">
        <f aca="true">IF($O134="","",IF(OR($AE134="Cancelled",$AE134="On hold",$AE134="Launched"),$AE134,IF(AND($Y134="Approved",OR($Z134="Yes",$Z134="N/A"),OR($AA134="Yes",$AA134="N/A"),OR($AB134="No",$AB134="N/A",AND($AB134="Yes",$AD134="Yes"))),"Ready",IF($O134&lt;TODAY(),"Overdue",IF($O134-TODAY()&lt;='Rules &amp; Guardrails'!$C$5,"At Risk","In Progress")))))</f>
        <v/>
      </c>
      <c r="AG134" s="28" t="str">
        <f aca="false">IF($O134="","",IF(OR($AE134="Launched",$AE134="Cancelled"),"",MID(IF($Y134&lt;&gt;"Approved",", Content approval","")&amp;IF(NOT(OR($Z134="Yes",$Z134="N/A")),", Assets","")&amp;IF(NOT(OR($AA134="Yes",$AA134="N/A")),", List","")&amp;IF($AB134="",", Ops decision",IF(AND($AB134="Yes",$AD134&lt;&gt;"Yes"),", Ops",""))&amp;IF($U134="",", Owner","")&amp;IF($K134="",", Segment",""),3,200)))</f>
        <v/>
      </c>
      <c r="AH134" s="29" t="str">
        <f aca="true">IF($O134="","",$O134-TODAY())</f>
        <v/>
      </c>
      <c r="AI134" s="26" t="str">
        <f aca="false">IF($O134="","",$O134-WEEKDAY($O134,3))</f>
        <v/>
      </c>
      <c r="AJ134" s="30" t="str">
        <f aca="false">IF($O134="","",DATE(YEAR($O134),MONTH($O134),1))</f>
        <v/>
      </c>
      <c r="AK134" s="31" t="str">
        <f aca="false">IF(OR($O134="",$K134=""),"",COUNTIFS('Comms Calendar'!$K$5:$K$504,$K134,'Comms Calendar'!$B$5:$B$504,$B134,'Comms Calendar'!$AI$5:$AI$504,$AI134,'Comms Calendar'!$AE$5:$AE$504,"&lt;&gt;Cancelled"))</f>
        <v/>
      </c>
      <c r="AL134" s="27" t="str">
        <f aca="false">IF($AK134="","",IF($AK134&gt;'Rules &amp; Guardrails'!$C$3,"Over cap","OK"))</f>
        <v/>
      </c>
      <c r="AM134" s="27" t="str">
        <f aca="false">IF(OR($O134="",$K134=""),"",IF(COUNTIFS('Comms Calendar'!$K$5:$K$504,$K134,'Comms Calendar'!$B$5:$B$504,$B134,'Comms Calendar'!$O$5:$O$504,$O134,'Comms Calendar'!$AE$5:$AE$504,"&lt;&gt;Cancelled")&gt;1,"Clash",""))</f>
        <v/>
      </c>
      <c r="AN134" s="27" t="str">
        <f aca="false">IF($O134="","",IF(IF($B134="Global",COUNTIF('Rules &amp; Guardrails'!$F$9:$F$60,$O134),COUNTIFS('Rules &amp; Guardrails'!$F$9:$F$60,$O134,'Rules &amp; Guardrails'!$G$9:$G$60,$B134)+COUNTIFS('Rules &amp; Guardrails'!$F$9:$F$60,$O134,'Rules &amp; Guardrails'!$G$9:$G$60,"Global"))&gt;0,"Blackout",""))</f>
        <v/>
      </c>
      <c r="AO134" s="6"/>
      <c r="AP134" s="25"/>
      <c r="AQ134" s="23"/>
      <c r="AR134" s="31" t="str">
        <f aca="false">IF($D134="","",IFERROR(VLOOKUP($D134,'Rules &amp; Guardrails'!$A$9:$D$24,2,0),"Other"))</f>
        <v/>
      </c>
      <c r="AS134" s="31" t="str">
        <f aca="false">IF($O134="","",$O134&amp;"|"&amp;$B134)</f>
        <v/>
      </c>
    </row>
    <row r="135" customFormat="false" ht="15" hidden="false" customHeight="false" outlineLevel="0" collapsed="false">
      <c r="A135" s="23"/>
      <c r="B135" s="23"/>
      <c r="C135" s="23"/>
      <c r="D135" s="23"/>
      <c r="E135" s="23"/>
      <c r="F135" s="23"/>
      <c r="G135" s="6"/>
      <c r="H135" s="6"/>
      <c r="I135" s="23"/>
      <c r="J135" s="23"/>
      <c r="K135" s="23"/>
      <c r="L135" s="6"/>
      <c r="M135" s="6"/>
      <c r="N135" s="24"/>
      <c r="O135" s="25"/>
      <c r="P135" s="23"/>
      <c r="Q135" s="23"/>
      <c r="R135" s="23"/>
      <c r="S135" s="23"/>
      <c r="T135" s="26" t="str">
        <f aca="false">IF(OR($O135="",$D135=""),"",WORKDAY($O135,-IFERROR(VLOOKUP($D135,'Rules &amp; Guardrails'!$A$9:$D$24,3,0),10)))</f>
        <v/>
      </c>
      <c r="U135" s="23"/>
      <c r="V135" s="23"/>
      <c r="W135" s="23"/>
      <c r="X135" s="6"/>
      <c r="Y135" s="23"/>
      <c r="Z135" s="23"/>
      <c r="AA135" s="23"/>
      <c r="AB135" s="23"/>
      <c r="AC135" s="23"/>
      <c r="AD135" s="23"/>
      <c r="AE135" s="23"/>
      <c r="AF135" s="27" t="str">
        <f aca="true">IF($O135="","",IF(OR($AE135="Cancelled",$AE135="On hold",$AE135="Launched"),$AE135,IF(AND($Y135="Approved",OR($Z135="Yes",$Z135="N/A"),OR($AA135="Yes",$AA135="N/A"),OR($AB135="No",$AB135="N/A",AND($AB135="Yes",$AD135="Yes"))),"Ready",IF($O135&lt;TODAY(),"Overdue",IF($O135-TODAY()&lt;='Rules &amp; Guardrails'!$C$5,"At Risk","In Progress")))))</f>
        <v/>
      </c>
      <c r="AG135" s="28" t="str">
        <f aca="false">IF($O135="","",IF(OR($AE135="Launched",$AE135="Cancelled"),"",MID(IF($Y135&lt;&gt;"Approved",", Content approval","")&amp;IF(NOT(OR($Z135="Yes",$Z135="N/A")),", Assets","")&amp;IF(NOT(OR($AA135="Yes",$AA135="N/A")),", List","")&amp;IF($AB135="",", Ops decision",IF(AND($AB135="Yes",$AD135&lt;&gt;"Yes"),", Ops",""))&amp;IF($U135="",", Owner","")&amp;IF($K135="",", Segment",""),3,200)))</f>
        <v/>
      </c>
      <c r="AH135" s="29" t="str">
        <f aca="true">IF($O135="","",$O135-TODAY())</f>
        <v/>
      </c>
      <c r="AI135" s="26" t="str">
        <f aca="false">IF($O135="","",$O135-WEEKDAY($O135,3))</f>
        <v/>
      </c>
      <c r="AJ135" s="30" t="str">
        <f aca="false">IF($O135="","",DATE(YEAR($O135),MONTH($O135),1))</f>
        <v/>
      </c>
      <c r="AK135" s="31" t="str">
        <f aca="false">IF(OR($O135="",$K135=""),"",COUNTIFS('Comms Calendar'!$K$5:$K$504,$K135,'Comms Calendar'!$B$5:$B$504,$B135,'Comms Calendar'!$AI$5:$AI$504,$AI135,'Comms Calendar'!$AE$5:$AE$504,"&lt;&gt;Cancelled"))</f>
        <v/>
      </c>
      <c r="AL135" s="27" t="str">
        <f aca="false">IF($AK135="","",IF($AK135&gt;'Rules &amp; Guardrails'!$C$3,"Over cap","OK"))</f>
        <v/>
      </c>
      <c r="AM135" s="27" t="str">
        <f aca="false">IF(OR($O135="",$K135=""),"",IF(COUNTIFS('Comms Calendar'!$K$5:$K$504,$K135,'Comms Calendar'!$B$5:$B$504,$B135,'Comms Calendar'!$O$5:$O$504,$O135,'Comms Calendar'!$AE$5:$AE$504,"&lt;&gt;Cancelled")&gt;1,"Clash",""))</f>
        <v/>
      </c>
      <c r="AN135" s="27" t="str">
        <f aca="false">IF($O135="","",IF(IF($B135="Global",COUNTIF('Rules &amp; Guardrails'!$F$9:$F$60,$O135),COUNTIFS('Rules &amp; Guardrails'!$F$9:$F$60,$O135,'Rules &amp; Guardrails'!$G$9:$G$60,$B135)+COUNTIFS('Rules &amp; Guardrails'!$F$9:$F$60,$O135,'Rules &amp; Guardrails'!$G$9:$G$60,"Global"))&gt;0,"Blackout",""))</f>
        <v/>
      </c>
      <c r="AO135" s="6"/>
      <c r="AP135" s="25"/>
      <c r="AQ135" s="23"/>
      <c r="AR135" s="31" t="str">
        <f aca="false">IF($D135="","",IFERROR(VLOOKUP($D135,'Rules &amp; Guardrails'!$A$9:$D$24,2,0),"Other"))</f>
        <v/>
      </c>
      <c r="AS135" s="31" t="str">
        <f aca="false">IF($O135="","",$O135&amp;"|"&amp;$B135)</f>
        <v/>
      </c>
    </row>
    <row r="136" customFormat="false" ht="15" hidden="false" customHeight="false" outlineLevel="0" collapsed="false">
      <c r="A136" s="23"/>
      <c r="B136" s="23"/>
      <c r="C136" s="23"/>
      <c r="D136" s="23"/>
      <c r="E136" s="23"/>
      <c r="F136" s="23"/>
      <c r="G136" s="6"/>
      <c r="H136" s="6"/>
      <c r="I136" s="23"/>
      <c r="J136" s="23"/>
      <c r="K136" s="23"/>
      <c r="L136" s="6"/>
      <c r="M136" s="6"/>
      <c r="N136" s="24"/>
      <c r="O136" s="25"/>
      <c r="P136" s="23"/>
      <c r="Q136" s="23"/>
      <c r="R136" s="23"/>
      <c r="S136" s="23"/>
      <c r="T136" s="26" t="str">
        <f aca="false">IF(OR($O136="",$D136=""),"",WORKDAY($O136,-IFERROR(VLOOKUP($D136,'Rules &amp; Guardrails'!$A$9:$D$24,3,0),10)))</f>
        <v/>
      </c>
      <c r="U136" s="23"/>
      <c r="V136" s="23"/>
      <c r="W136" s="23"/>
      <c r="X136" s="6"/>
      <c r="Y136" s="23"/>
      <c r="Z136" s="23"/>
      <c r="AA136" s="23"/>
      <c r="AB136" s="23"/>
      <c r="AC136" s="23"/>
      <c r="AD136" s="23"/>
      <c r="AE136" s="23"/>
      <c r="AF136" s="27" t="str">
        <f aca="true">IF($O136="","",IF(OR($AE136="Cancelled",$AE136="On hold",$AE136="Launched"),$AE136,IF(AND($Y136="Approved",OR($Z136="Yes",$Z136="N/A"),OR($AA136="Yes",$AA136="N/A"),OR($AB136="No",$AB136="N/A",AND($AB136="Yes",$AD136="Yes"))),"Ready",IF($O136&lt;TODAY(),"Overdue",IF($O136-TODAY()&lt;='Rules &amp; Guardrails'!$C$5,"At Risk","In Progress")))))</f>
        <v/>
      </c>
      <c r="AG136" s="28" t="str">
        <f aca="false">IF($O136="","",IF(OR($AE136="Launched",$AE136="Cancelled"),"",MID(IF($Y136&lt;&gt;"Approved",", Content approval","")&amp;IF(NOT(OR($Z136="Yes",$Z136="N/A")),", Assets","")&amp;IF(NOT(OR($AA136="Yes",$AA136="N/A")),", List","")&amp;IF($AB136="",", Ops decision",IF(AND($AB136="Yes",$AD136&lt;&gt;"Yes"),", Ops",""))&amp;IF($U136="",", Owner","")&amp;IF($K136="",", Segment",""),3,200)))</f>
        <v/>
      </c>
      <c r="AH136" s="29" t="str">
        <f aca="true">IF($O136="","",$O136-TODAY())</f>
        <v/>
      </c>
      <c r="AI136" s="26" t="str">
        <f aca="false">IF($O136="","",$O136-WEEKDAY($O136,3))</f>
        <v/>
      </c>
      <c r="AJ136" s="30" t="str">
        <f aca="false">IF($O136="","",DATE(YEAR($O136),MONTH($O136),1))</f>
        <v/>
      </c>
      <c r="AK136" s="31" t="str">
        <f aca="false">IF(OR($O136="",$K136=""),"",COUNTIFS('Comms Calendar'!$K$5:$K$504,$K136,'Comms Calendar'!$B$5:$B$504,$B136,'Comms Calendar'!$AI$5:$AI$504,$AI136,'Comms Calendar'!$AE$5:$AE$504,"&lt;&gt;Cancelled"))</f>
        <v/>
      </c>
      <c r="AL136" s="27" t="str">
        <f aca="false">IF($AK136="","",IF($AK136&gt;'Rules &amp; Guardrails'!$C$3,"Over cap","OK"))</f>
        <v/>
      </c>
      <c r="AM136" s="27" t="str">
        <f aca="false">IF(OR($O136="",$K136=""),"",IF(COUNTIFS('Comms Calendar'!$K$5:$K$504,$K136,'Comms Calendar'!$B$5:$B$504,$B136,'Comms Calendar'!$O$5:$O$504,$O136,'Comms Calendar'!$AE$5:$AE$504,"&lt;&gt;Cancelled")&gt;1,"Clash",""))</f>
        <v/>
      </c>
      <c r="AN136" s="27" t="str">
        <f aca="false">IF($O136="","",IF(IF($B136="Global",COUNTIF('Rules &amp; Guardrails'!$F$9:$F$60,$O136),COUNTIFS('Rules &amp; Guardrails'!$F$9:$F$60,$O136,'Rules &amp; Guardrails'!$G$9:$G$60,$B136)+COUNTIFS('Rules &amp; Guardrails'!$F$9:$F$60,$O136,'Rules &amp; Guardrails'!$G$9:$G$60,"Global"))&gt;0,"Blackout",""))</f>
        <v/>
      </c>
      <c r="AO136" s="6"/>
      <c r="AP136" s="25"/>
      <c r="AQ136" s="23"/>
      <c r="AR136" s="31" t="str">
        <f aca="false">IF($D136="","",IFERROR(VLOOKUP($D136,'Rules &amp; Guardrails'!$A$9:$D$24,2,0),"Other"))</f>
        <v/>
      </c>
      <c r="AS136" s="31" t="str">
        <f aca="false">IF($O136="","",$O136&amp;"|"&amp;$B136)</f>
        <v/>
      </c>
    </row>
    <row r="137" customFormat="false" ht="15" hidden="false" customHeight="false" outlineLevel="0" collapsed="false">
      <c r="A137" s="23"/>
      <c r="B137" s="23"/>
      <c r="C137" s="23"/>
      <c r="D137" s="23"/>
      <c r="E137" s="23"/>
      <c r="F137" s="23"/>
      <c r="G137" s="6"/>
      <c r="H137" s="6"/>
      <c r="I137" s="23"/>
      <c r="J137" s="23"/>
      <c r="K137" s="23"/>
      <c r="L137" s="6"/>
      <c r="M137" s="6"/>
      <c r="N137" s="24"/>
      <c r="O137" s="25"/>
      <c r="P137" s="23"/>
      <c r="Q137" s="23"/>
      <c r="R137" s="23"/>
      <c r="S137" s="23"/>
      <c r="T137" s="26" t="str">
        <f aca="false">IF(OR($O137="",$D137=""),"",WORKDAY($O137,-IFERROR(VLOOKUP($D137,'Rules &amp; Guardrails'!$A$9:$D$24,3,0),10)))</f>
        <v/>
      </c>
      <c r="U137" s="23"/>
      <c r="V137" s="23"/>
      <c r="W137" s="23"/>
      <c r="X137" s="6"/>
      <c r="Y137" s="23"/>
      <c r="Z137" s="23"/>
      <c r="AA137" s="23"/>
      <c r="AB137" s="23"/>
      <c r="AC137" s="23"/>
      <c r="AD137" s="23"/>
      <c r="AE137" s="23"/>
      <c r="AF137" s="27" t="str">
        <f aca="true">IF($O137="","",IF(OR($AE137="Cancelled",$AE137="On hold",$AE137="Launched"),$AE137,IF(AND($Y137="Approved",OR($Z137="Yes",$Z137="N/A"),OR($AA137="Yes",$AA137="N/A"),OR($AB137="No",$AB137="N/A",AND($AB137="Yes",$AD137="Yes"))),"Ready",IF($O137&lt;TODAY(),"Overdue",IF($O137-TODAY()&lt;='Rules &amp; Guardrails'!$C$5,"At Risk","In Progress")))))</f>
        <v/>
      </c>
      <c r="AG137" s="28" t="str">
        <f aca="false">IF($O137="","",IF(OR($AE137="Launched",$AE137="Cancelled"),"",MID(IF($Y137&lt;&gt;"Approved",", Content approval","")&amp;IF(NOT(OR($Z137="Yes",$Z137="N/A")),", Assets","")&amp;IF(NOT(OR($AA137="Yes",$AA137="N/A")),", List","")&amp;IF($AB137="",", Ops decision",IF(AND($AB137="Yes",$AD137&lt;&gt;"Yes"),", Ops",""))&amp;IF($U137="",", Owner","")&amp;IF($K137="",", Segment",""),3,200)))</f>
        <v/>
      </c>
      <c r="AH137" s="29" t="str">
        <f aca="true">IF($O137="","",$O137-TODAY())</f>
        <v/>
      </c>
      <c r="AI137" s="26" t="str">
        <f aca="false">IF($O137="","",$O137-WEEKDAY($O137,3))</f>
        <v/>
      </c>
      <c r="AJ137" s="30" t="str">
        <f aca="false">IF($O137="","",DATE(YEAR($O137),MONTH($O137),1))</f>
        <v/>
      </c>
      <c r="AK137" s="31" t="str">
        <f aca="false">IF(OR($O137="",$K137=""),"",COUNTIFS('Comms Calendar'!$K$5:$K$504,$K137,'Comms Calendar'!$B$5:$B$504,$B137,'Comms Calendar'!$AI$5:$AI$504,$AI137,'Comms Calendar'!$AE$5:$AE$504,"&lt;&gt;Cancelled"))</f>
        <v/>
      </c>
      <c r="AL137" s="27" t="str">
        <f aca="false">IF($AK137="","",IF($AK137&gt;'Rules &amp; Guardrails'!$C$3,"Over cap","OK"))</f>
        <v/>
      </c>
      <c r="AM137" s="27" t="str">
        <f aca="false">IF(OR($O137="",$K137=""),"",IF(COUNTIFS('Comms Calendar'!$K$5:$K$504,$K137,'Comms Calendar'!$B$5:$B$504,$B137,'Comms Calendar'!$O$5:$O$504,$O137,'Comms Calendar'!$AE$5:$AE$504,"&lt;&gt;Cancelled")&gt;1,"Clash",""))</f>
        <v/>
      </c>
      <c r="AN137" s="27" t="str">
        <f aca="false">IF($O137="","",IF(IF($B137="Global",COUNTIF('Rules &amp; Guardrails'!$F$9:$F$60,$O137),COUNTIFS('Rules &amp; Guardrails'!$F$9:$F$60,$O137,'Rules &amp; Guardrails'!$G$9:$G$60,$B137)+COUNTIFS('Rules &amp; Guardrails'!$F$9:$F$60,$O137,'Rules &amp; Guardrails'!$G$9:$G$60,"Global"))&gt;0,"Blackout",""))</f>
        <v/>
      </c>
      <c r="AO137" s="6"/>
      <c r="AP137" s="25"/>
      <c r="AQ137" s="23"/>
      <c r="AR137" s="31" t="str">
        <f aca="false">IF($D137="","",IFERROR(VLOOKUP($D137,'Rules &amp; Guardrails'!$A$9:$D$24,2,0),"Other"))</f>
        <v/>
      </c>
      <c r="AS137" s="31" t="str">
        <f aca="false">IF($O137="","",$O137&amp;"|"&amp;$B137)</f>
        <v/>
      </c>
    </row>
    <row r="138" customFormat="false" ht="15" hidden="false" customHeight="false" outlineLevel="0" collapsed="false">
      <c r="A138" s="23"/>
      <c r="B138" s="23"/>
      <c r="C138" s="23"/>
      <c r="D138" s="23"/>
      <c r="E138" s="23"/>
      <c r="F138" s="23"/>
      <c r="G138" s="6"/>
      <c r="H138" s="6"/>
      <c r="I138" s="23"/>
      <c r="J138" s="23"/>
      <c r="K138" s="23"/>
      <c r="L138" s="6"/>
      <c r="M138" s="6"/>
      <c r="N138" s="24"/>
      <c r="O138" s="25"/>
      <c r="P138" s="23"/>
      <c r="Q138" s="23"/>
      <c r="R138" s="23"/>
      <c r="S138" s="23"/>
      <c r="T138" s="26" t="str">
        <f aca="false">IF(OR($O138="",$D138=""),"",WORKDAY($O138,-IFERROR(VLOOKUP($D138,'Rules &amp; Guardrails'!$A$9:$D$24,3,0),10)))</f>
        <v/>
      </c>
      <c r="U138" s="23"/>
      <c r="V138" s="23"/>
      <c r="W138" s="23"/>
      <c r="X138" s="6"/>
      <c r="Y138" s="23"/>
      <c r="Z138" s="23"/>
      <c r="AA138" s="23"/>
      <c r="AB138" s="23"/>
      <c r="AC138" s="23"/>
      <c r="AD138" s="23"/>
      <c r="AE138" s="23"/>
      <c r="AF138" s="27" t="str">
        <f aca="true">IF($O138="","",IF(OR($AE138="Cancelled",$AE138="On hold",$AE138="Launched"),$AE138,IF(AND($Y138="Approved",OR($Z138="Yes",$Z138="N/A"),OR($AA138="Yes",$AA138="N/A"),OR($AB138="No",$AB138="N/A",AND($AB138="Yes",$AD138="Yes"))),"Ready",IF($O138&lt;TODAY(),"Overdue",IF($O138-TODAY()&lt;='Rules &amp; Guardrails'!$C$5,"At Risk","In Progress")))))</f>
        <v/>
      </c>
      <c r="AG138" s="28" t="str">
        <f aca="false">IF($O138="","",IF(OR($AE138="Launched",$AE138="Cancelled"),"",MID(IF($Y138&lt;&gt;"Approved",", Content approval","")&amp;IF(NOT(OR($Z138="Yes",$Z138="N/A")),", Assets","")&amp;IF(NOT(OR($AA138="Yes",$AA138="N/A")),", List","")&amp;IF($AB138="",", Ops decision",IF(AND($AB138="Yes",$AD138&lt;&gt;"Yes"),", Ops",""))&amp;IF($U138="",", Owner","")&amp;IF($K138="",", Segment",""),3,200)))</f>
        <v/>
      </c>
      <c r="AH138" s="29" t="str">
        <f aca="true">IF($O138="","",$O138-TODAY())</f>
        <v/>
      </c>
      <c r="AI138" s="26" t="str">
        <f aca="false">IF($O138="","",$O138-WEEKDAY($O138,3))</f>
        <v/>
      </c>
      <c r="AJ138" s="30" t="str">
        <f aca="false">IF($O138="","",DATE(YEAR($O138),MONTH($O138),1))</f>
        <v/>
      </c>
      <c r="AK138" s="31" t="str">
        <f aca="false">IF(OR($O138="",$K138=""),"",COUNTIFS('Comms Calendar'!$K$5:$K$504,$K138,'Comms Calendar'!$B$5:$B$504,$B138,'Comms Calendar'!$AI$5:$AI$504,$AI138,'Comms Calendar'!$AE$5:$AE$504,"&lt;&gt;Cancelled"))</f>
        <v/>
      </c>
      <c r="AL138" s="27" t="str">
        <f aca="false">IF($AK138="","",IF($AK138&gt;'Rules &amp; Guardrails'!$C$3,"Over cap","OK"))</f>
        <v/>
      </c>
      <c r="AM138" s="27" t="str">
        <f aca="false">IF(OR($O138="",$K138=""),"",IF(COUNTIFS('Comms Calendar'!$K$5:$K$504,$K138,'Comms Calendar'!$B$5:$B$504,$B138,'Comms Calendar'!$O$5:$O$504,$O138,'Comms Calendar'!$AE$5:$AE$504,"&lt;&gt;Cancelled")&gt;1,"Clash",""))</f>
        <v/>
      </c>
      <c r="AN138" s="27" t="str">
        <f aca="false">IF($O138="","",IF(IF($B138="Global",COUNTIF('Rules &amp; Guardrails'!$F$9:$F$60,$O138),COUNTIFS('Rules &amp; Guardrails'!$F$9:$F$60,$O138,'Rules &amp; Guardrails'!$G$9:$G$60,$B138)+COUNTIFS('Rules &amp; Guardrails'!$F$9:$F$60,$O138,'Rules &amp; Guardrails'!$G$9:$G$60,"Global"))&gt;0,"Blackout",""))</f>
        <v/>
      </c>
      <c r="AO138" s="6"/>
      <c r="AP138" s="25"/>
      <c r="AQ138" s="23"/>
      <c r="AR138" s="31" t="str">
        <f aca="false">IF($D138="","",IFERROR(VLOOKUP($D138,'Rules &amp; Guardrails'!$A$9:$D$24,2,0),"Other"))</f>
        <v/>
      </c>
      <c r="AS138" s="31" t="str">
        <f aca="false">IF($O138="","",$O138&amp;"|"&amp;$B138)</f>
        <v/>
      </c>
    </row>
    <row r="139" customFormat="false" ht="15" hidden="false" customHeight="false" outlineLevel="0" collapsed="false">
      <c r="A139" s="23"/>
      <c r="B139" s="23"/>
      <c r="C139" s="23"/>
      <c r="D139" s="23"/>
      <c r="E139" s="23"/>
      <c r="F139" s="23"/>
      <c r="G139" s="6"/>
      <c r="H139" s="6"/>
      <c r="I139" s="23"/>
      <c r="J139" s="23"/>
      <c r="K139" s="23"/>
      <c r="L139" s="6"/>
      <c r="M139" s="6"/>
      <c r="N139" s="24"/>
      <c r="O139" s="25"/>
      <c r="P139" s="23"/>
      <c r="Q139" s="23"/>
      <c r="R139" s="23"/>
      <c r="S139" s="23"/>
      <c r="T139" s="26" t="str">
        <f aca="false">IF(OR($O139="",$D139=""),"",WORKDAY($O139,-IFERROR(VLOOKUP($D139,'Rules &amp; Guardrails'!$A$9:$D$24,3,0),10)))</f>
        <v/>
      </c>
      <c r="U139" s="23"/>
      <c r="V139" s="23"/>
      <c r="W139" s="23"/>
      <c r="X139" s="6"/>
      <c r="Y139" s="23"/>
      <c r="Z139" s="23"/>
      <c r="AA139" s="23"/>
      <c r="AB139" s="23"/>
      <c r="AC139" s="23"/>
      <c r="AD139" s="23"/>
      <c r="AE139" s="23"/>
      <c r="AF139" s="27" t="str">
        <f aca="true">IF($O139="","",IF(OR($AE139="Cancelled",$AE139="On hold",$AE139="Launched"),$AE139,IF(AND($Y139="Approved",OR($Z139="Yes",$Z139="N/A"),OR($AA139="Yes",$AA139="N/A"),OR($AB139="No",$AB139="N/A",AND($AB139="Yes",$AD139="Yes"))),"Ready",IF($O139&lt;TODAY(),"Overdue",IF($O139-TODAY()&lt;='Rules &amp; Guardrails'!$C$5,"At Risk","In Progress")))))</f>
        <v/>
      </c>
      <c r="AG139" s="28" t="str">
        <f aca="false">IF($O139="","",IF(OR($AE139="Launched",$AE139="Cancelled"),"",MID(IF($Y139&lt;&gt;"Approved",", Content approval","")&amp;IF(NOT(OR($Z139="Yes",$Z139="N/A")),", Assets","")&amp;IF(NOT(OR($AA139="Yes",$AA139="N/A")),", List","")&amp;IF($AB139="",", Ops decision",IF(AND($AB139="Yes",$AD139&lt;&gt;"Yes"),", Ops",""))&amp;IF($U139="",", Owner","")&amp;IF($K139="",", Segment",""),3,200)))</f>
        <v/>
      </c>
      <c r="AH139" s="29" t="str">
        <f aca="true">IF($O139="","",$O139-TODAY())</f>
        <v/>
      </c>
      <c r="AI139" s="26" t="str">
        <f aca="false">IF($O139="","",$O139-WEEKDAY($O139,3))</f>
        <v/>
      </c>
      <c r="AJ139" s="30" t="str">
        <f aca="false">IF($O139="","",DATE(YEAR($O139),MONTH($O139),1))</f>
        <v/>
      </c>
      <c r="AK139" s="31" t="str">
        <f aca="false">IF(OR($O139="",$K139=""),"",COUNTIFS('Comms Calendar'!$K$5:$K$504,$K139,'Comms Calendar'!$B$5:$B$504,$B139,'Comms Calendar'!$AI$5:$AI$504,$AI139,'Comms Calendar'!$AE$5:$AE$504,"&lt;&gt;Cancelled"))</f>
        <v/>
      </c>
      <c r="AL139" s="27" t="str">
        <f aca="false">IF($AK139="","",IF($AK139&gt;'Rules &amp; Guardrails'!$C$3,"Over cap","OK"))</f>
        <v/>
      </c>
      <c r="AM139" s="27" t="str">
        <f aca="false">IF(OR($O139="",$K139=""),"",IF(COUNTIFS('Comms Calendar'!$K$5:$K$504,$K139,'Comms Calendar'!$B$5:$B$504,$B139,'Comms Calendar'!$O$5:$O$504,$O139,'Comms Calendar'!$AE$5:$AE$504,"&lt;&gt;Cancelled")&gt;1,"Clash",""))</f>
        <v/>
      </c>
      <c r="AN139" s="27" t="str">
        <f aca="false">IF($O139="","",IF(IF($B139="Global",COUNTIF('Rules &amp; Guardrails'!$F$9:$F$60,$O139),COUNTIFS('Rules &amp; Guardrails'!$F$9:$F$60,$O139,'Rules &amp; Guardrails'!$G$9:$G$60,$B139)+COUNTIFS('Rules &amp; Guardrails'!$F$9:$F$60,$O139,'Rules &amp; Guardrails'!$G$9:$G$60,"Global"))&gt;0,"Blackout",""))</f>
        <v/>
      </c>
      <c r="AO139" s="6"/>
      <c r="AP139" s="25"/>
      <c r="AQ139" s="23"/>
      <c r="AR139" s="31" t="str">
        <f aca="false">IF($D139="","",IFERROR(VLOOKUP($D139,'Rules &amp; Guardrails'!$A$9:$D$24,2,0),"Other"))</f>
        <v/>
      </c>
      <c r="AS139" s="31" t="str">
        <f aca="false">IF($O139="","",$O139&amp;"|"&amp;$B139)</f>
        <v/>
      </c>
    </row>
    <row r="140" customFormat="false" ht="15" hidden="false" customHeight="false" outlineLevel="0" collapsed="false">
      <c r="A140" s="23"/>
      <c r="B140" s="23"/>
      <c r="C140" s="23"/>
      <c r="D140" s="23"/>
      <c r="E140" s="23"/>
      <c r="F140" s="23"/>
      <c r="G140" s="6"/>
      <c r="H140" s="6"/>
      <c r="I140" s="23"/>
      <c r="J140" s="23"/>
      <c r="K140" s="23"/>
      <c r="L140" s="6"/>
      <c r="M140" s="6"/>
      <c r="N140" s="24"/>
      <c r="O140" s="25"/>
      <c r="P140" s="23"/>
      <c r="Q140" s="23"/>
      <c r="R140" s="23"/>
      <c r="S140" s="23"/>
      <c r="T140" s="26" t="str">
        <f aca="false">IF(OR($O140="",$D140=""),"",WORKDAY($O140,-IFERROR(VLOOKUP($D140,'Rules &amp; Guardrails'!$A$9:$D$24,3,0),10)))</f>
        <v/>
      </c>
      <c r="U140" s="23"/>
      <c r="V140" s="23"/>
      <c r="W140" s="23"/>
      <c r="X140" s="6"/>
      <c r="Y140" s="23"/>
      <c r="Z140" s="23"/>
      <c r="AA140" s="23"/>
      <c r="AB140" s="23"/>
      <c r="AC140" s="23"/>
      <c r="AD140" s="23"/>
      <c r="AE140" s="23"/>
      <c r="AF140" s="27" t="str">
        <f aca="true">IF($O140="","",IF(OR($AE140="Cancelled",$AE140="On hold",$AE140="Launched"),$AE140,IF(AND($Y140="Approved",OR($Z140="Yes",$Z140="N/A"),OR($AA140="Yes",$AA140="N/A"),OR($AB140="No",$AB140="N/A",AND($AB140="Yes",$AD140="Yes"))),"Ready",IF($O140&lt;TODAY(),"Overdue",IF($O140-TODAY()&lt;='Rules &amp; Guardrails'!$C$5,"At Risk","In Progress")))))</f>
        <v/>
      </c>
      <c r="AG140" s="28" t="str">
        <f aca="false">IF($O140="","",IF(OR($AE140="Launched",$AE140="Cancelled"),"",MID(IF($Y140&lt;&gt;"Approved",", Content approval","")&amp;IF(NOT(OR($Z140="Yes",$Z140="N/A")),", Assets","")&amp;IF(NOT(OR($AA140="Yes",$AA140="N/A")),", List","")&amp;IF($AB140="",", Ops decision",IF(AND($AB140="Yes",$AD140&lt;&gt;"Yes"),", Ops",""))&amp;IF($U140="",", Owner","")&amp;IF($K140="",", Segment",""),3,200)))</f>
        <v/>
      </c>
      <c r="AH140" s="29" t="str">
        <f aca="true">IF($O140="","",$O140-TODAY())</f>
        <v/>
      </c>
      <c r="AI140" s="26" t="str">
        <f aca="false">IF($O140="","",$O140-WEEKDAY($O140,3))</f>
        <v/>
      </c>
      <c r="AJ140" s="30" t="str">
        <f aca="false">IF($O140="","",DATE(YEAR($O140),MONTH($O140),1))</f>
        <v/>
      </c>
      <c r="AK140" s="31" t="str">
        <f aca="false">IF(OR($O140="",$K140=""),"",COUNTIFS('Comms Calendar'!$K$5:$K$504,$K140,'Comms Calendar'!$B$5:$B$504,$B140,'Comms Calendar'!$AI$5:$AI$504,$AI140,'Comms Calendar'!$AE$5:$AE$504,"&lt;&gt;Cancelled"))</f>
        <v/>
      </c>
      <c r="AL140" s="27" t="str">
        <f aca="false">IF($AK140="","",IF($AK140&gt;'Rules &amp; Guardrails'!$C$3,"Over cap","OK"))</f>
        <v/>
      </c>
      <c r="AM140" s="27" t="str">
        <f aca="false">IF(OR($O140="",$K140=""),"",IF(COUNTIFS('Comms Calendar'!$K$5:$K$504,$K140,'Comms Calendar'!$B$5:$B$504,$B140,'Comms Calendar'!$O$5:$O$504,$O140,'Comms Calendar'!$AE$5:$AE$504,"&lt;&gt;Cancelled")&gt;1,"Clash",""))</f>
        <v/>
      </c>
      <c r="AN140" s="27" t="str">
        <f aca="false">IF($O140="","",IF(IF($B140="Global",COUNTIF('Rules &amp; Guardrails'!$F$9:$F$60,$O140),COUNTIFS('Rules &amp; Guardrails'!$F$9:$F$60,$O140,'Rules &amp; Guardrails'!$G$9:$G$60,$B140)+COUNTIFS('Rules &amp; Guardrails'!$F$9:$F$60,$O140,'Rules &amp; Guardrails'!$G$9:$G$60,"Global"))&gt;0,"Blackout",""))</f>
        <v/>
      </c>
      <c r="AO140" s="6"/>
      <c r="AP140" s="25"/>
      <c r="AQ140" s="23"/>
      <c r="AR140" s="31" t="str">
        <f aca="false">IF($D140="","",IFERROR(VLOOKUP($D140,'Rules &amp; Guardrails'!$A$9:$D$24,2,0),"Other"))</f>
        <v/>
      </c>
      <c r="AS140" s="31" t="str">
        <f aca="false">IF($O140="","",$O140&amp;"|"&amp;$B140)</f>
        <v/>
      </c>
    </row>
    <row r="141" customFormat="false" ht="15" hidden="false" customHeight="false" outlineLevel="0" collapsed="false">
      <c r="A141" s="23"/>
      <c r="B141" s="23"/>
      <c r="C141" s="23"/>
      <c r="D141" s="23"/>
      <c r="E141" s="23"/>
      <c r="F141" s="23"/>
      <c r="G141" s="6"/>
      <c r="H141" s="6"/>
      <c r="I141" s="23"/>
      <c r="J141" s="23"/>
      <c r="K141" s="23"/>
      <c r="L141" s="6"/>
      <c r="M141" s="6"/>
      <c r="N141" s="24"/>
      <c r="O141" s="25"/>
      <c r="P141" s="23"/>
      <c r="Q141" s="23"/>
      <c r="R141" s="23"/>
      <c r="S141" s="23"/>
      <c r="T141" s="26" t="str">
        <f aca="false">IF(OR($O141="",$D141=""),"",WORKDAY($O141,-IFERROR(VLOOKUP($D141,'Rules &amp; Guardrails'!$A$9:$D$24,3,0),10)))</f>
        <v/>
      </c>
      <c r="U141" s="23"/>
      <c r="V141" s="23"/>
      <c r="W141" s="23"/>
      <c r="X141" s="6"/>
      <c r="Y141" s="23"/>
      <c r="Z141" s="23"/>
      <c r="AA141" s="23"/>
      <c r="AB141" s="23"/>
      <c r="AC141" s="23"/>
      <c r="AD141" s="23"/>
      <c r="AE141" s="23"/>
      <c r="AF141" s="27" t="str">
        <f aca="true">IF($O141="","",IF(OR($AE141="Cancelled",$AE141="On hold",$AE141="Launched"),$AE141,IF(AND($Y141="Approved",OR($Z141="Yes",$Z141="N/A"),OR($AA141="Yes",$AA141="N/A"),OR($AB141="No",$AB141="N/A",AND($AB141="Yes",$AD141="Yes"))),"Ready",IF($O141&lt;TODAY(),"Overdue",IF($O141-TODAY()&lt;='Rules &amp; Guardrails'!$C$5,"At Risk","In Progress")))))</f>
        <v/>
      </c>
      <c r="AG141" s="28" t="str">
        <f aca="false">IF($O141="","",IF(OR($AE141="Launched",$AE141="Cancelled"),"",MID(IF($Y141&lt;&gt;"Approved",", Content approval","")&amp;IF(NOT(OR($Z141="Yes",$Z141="N/A")),", Assets","")&amp;IF(NOT(OR($AA141="Yes",$AA141="N/A")),", List","")&amp;IF($AB141="",", Ops decision",IF(AND($AB141="Yes",$AD141&lt;&gt;"Yes"),", Ops",""))&amp;IF($U141="",", Owner","")&amp;IF($K141="",", Segment",""),3,200)))</f>
        <v/>
      </c>
      <c r="AH141" s="29" t="str">
        <f aca="true">IF($O141="","",$O141-TODAY())</f>
        <v/>
      </c>
      <c r="AI141" s="26" t="str">
        <f aca="false">IF($O141="","",$O141-WEEKDAY($O141,3))</f>
        <v/>
      </c>
      <c r="AJ141" s="30" t="str">
        <f aca="false">IF($O141="","",DATE(YEAR($O141),MONTH($O141),1))</f>
        <v/>
      </c>
      <c r="AK141" s="31" t="str">
        <f aca="false">IF(OR($O141="",$K141=""),"",COUNTIFS('Comms Calendar'!$K$5:$K$504,$K141,'Comms Calendar'!$B$5:$B$504,$B141,'Comms Calendar'!$AI$5:$AI$504,$AI141,'Comms Calendar'!$AE$5:$AE$504,"&lt;&gt;Cancelled"))</f>
        <v/>
      </c>
      <c r="AL141" s="27" t="str">
        <f aca="false">IF($AK141="","",IF($AK141&gt;'Rules &amp; Guardrails'!$C$3,"Over cap","OK"))</f>
        <v/>
      </c>
      <c r="AM141" s="27" t="str">
        <f aca="false">IF(OR($O141="",$K141=""),"",IF(COUNTIFS('Comms Calendar'!$K$5:$K$504,$K141,'Comms Calendar'!$B$5:$B$504,$B141,'Comms Calendar'!$O$5:$O$504,$O141,'Comms Calendar'!$AE$5:$AE$504,"&lt;&gt;Cancelled")&gt;1,"Clash",""))</f>
        <v/>
      </c>
      <c r="AN141" s="27" t="str">
        <f aca="false">IF($O141="","",IF(IF($B141="Global",COUNTIF('Rules &amp; Guardrails'!$F$9:$F$60,$O141),COUNTIFS('Rules &amp; Guardrails'!$F$9:$F$60,$O141,'Rules &amp; Guardrails'!$G$9:$G$60,$B141)+COUNTIFS('Rules &amp; Guardrails'!$F$9:$F$60,$O141,'Rules &amp; Guardrails'!$G$9:$G$60,"Global"))&gt;0,"Blackout",""))</f>
        <v/>
      </c>
      <c r="AO141" s="6"/>
      <c r="AP141" s="25"/>
      <c r="AQ141" s="23"/>
      <c r="AR141" s="31" t="str">
        <f aca="false">IF($D141="","",IFERROR(VLOOKUP($D141,'Rules &amp; Guardrails'!$A$9:$D$24,2,0),"Other"))</f>
        <v/>
      </c>
      <c r="AS141" s="31" t="str">
        <f aca="false">IF($O141="","",$O141&amp;"|"&amp;$B141)</f>
        <v/>
      </c>
    </row>
    <row r="142" customFormat="false" ht="15" hidden="false" customHeight="false" outlineLevel="0" collapsed="false">
      <c r="A142" s="23"/>
      <c r="B142" s="23"/>
      <c r="C142" s="23"/>
      <c r="D142" s="23"/>
      <c r="E142" s="23"/>
      <c r="F142" s="23"/>
      <c r="G142" s="6"/>
      <c r="H142" s="6"/>
      <c r="I142" s="23"/>
      <c r="J142" s="23"/>
      <c r="K142" s="23"/>
      <c r="L142" s="6"/>
      <c r="M142" s="6"/>
      <c r="N142" s="24"/>
      <c r="O142" s="25"/>
      <c r="P142" s="23"/>
      <c r="Q142" s="23"/>
      <c r="R142" s="23"/>
      <c r="S142" s="23"/>
      <c r="T142" s="26" t="str">
        <f aca="false">IF(OR($O142="",$D142=""),"",WORKDAY($O142,-IFERROR(VLOOKUP($D142,'Rules &amp; Guardrails'!$A$9:$D$24,3,0),10)))</f>
        <v/>
      </c>
      <c r="U142" s="23"/>
      <c r="V142" s="23"/>
      <c r="W142" s="23"/>
      <c r="X142" s="6"/>
      <c r="Y142" s="23"/>
      <c r="Z142" s="23"/>
      <c r="AA142" s="23"/>
      <c r="AB142" s="23"/>
      <c r="AC142" s="23"/>
      <c r="AD142" s="23"/>
      <c r="AE142" s="23"/>
      <c r="AF142" s="27" t="str">
        <f aca="true">IF($O142="","",IF(OR($AE142="Cancelled",$AE142="On hold",$AE142="Launched"),$AE142,IF(AND($Y142="Approved",OR($Z142="Yes",$Z142="N/A"),OR($AA142="Yes",$AA142="N/A"),OR($AB142="No",$AB142="N/A",AND($AB142="Yes",$AD142="Yes"))),"Ready",IF($O142&lt;TODAY(),"Overdue",IF($O142-TODAY()&lt;='Rules &amp; Guardrails'!$C$5,"At Risk","In Progress")))))</f>
        <v/>
      </c>
      <c r="AG142" s="28" t="str">
        <f aca="false">IF($O142="","",IF(OR($AE142="Launched",$AE142="Cancelled"),"",MID(IF($Y142&lt;&gt;"Approved",", Content approval","")&amp;IF(NOT(OR($Z142="Yes",$Z142="N/A")),", Assets","")&amp;IF(NOT(OR($AA142="Yes",$AA142="N/A")),", List","")&amp;IF($AB142="",", Ops decision",IF(AND($AB142="Yes",$AD142&lt;&gt;"Yes"),", Ops",""))&amp;IF($U142="",", Owner","")&amp;IF($K142="",", Segment",""),3,200)))</f>
        <v/>
      </c>
      <c r="AH142" s="29" t="str">
        <f aca="true">IF($O142="","",$O142-TODAY())</f>
        <v/>
      </c>
      <c r="AI142" s="26" t="str">
        <f aca="false">IF($O142="","",$O142-WEEKDAY($O142,3))</f>
        <v/>
      </c>
      <c r="AJ142" s="30" t="str">
        <f aca="false">IF($O142="","",DATE(YEAR($O142),MONTH($O142),1))</f>
        <v/>
      </c>
      <c r="AK142" s="31" t="str">
        <f aca="false">IF(OR($O142="",$K142=""),"",COUNTIFS('Comms Calendar'!$K$5:$K$504,$K142,'Comms Calendar'!$B$5:$B$504,$B142,'Comms Calendar'!$AI$5:$AI$504,$AI142,'Comms Calendar'!$AE$5:$AE$504,"&lt;&gt;Cancelled"))</f>
        <v/>
      </c>
      <c r="AL142" s="27" t="str">
        <f aca="false">IF($AK142="","",IF($AK142&gt;'Rules &amp; Guardrails'!$C$3,"Over cap","OK"))</f>
        <v/>
      </c>
      <c r="AM142" s="27" t="str">
        <f aca="false">IF(OR($O142="",$K142=""),"",IF(COUNTIFS('Comms Calendar'!$K$5:$K$504,$K142,'Comms Calendar'!$B$5:$B$504,$B142,'Comms Calendar'!$O$5:$O$504,$O142,'Comms Calendar'!$AE$5:$AE$504,"&lt;&gt;Cancelled")&gt;1,"Clash",""))</f>
        <v/>
      </c>
      <c r="AN142" s="27" t="str">
        <f aca="false">IF($O142="","",IF(IF($B142="Global",COUNTIF('Rules &amp; Guardrails'!$F$9:$F$60,$O142),COUNTIFS('Rules &amp; Guardrails'!$F$9:$F$60,$O142,'Rules &amp; Guardrails'!$G$9:$G$60,$B142)+COUNTIFS('Rules &amp; Guardrails'!$F$9:$F$60,$O142,'Rules &amp; Guardrails'!$G$9:$G$60,"Global"))&gt;0,"Blackout",""))</f>
        <v/>
      </c>
      <c r="AO142" s="6"/>
      <c r="AP142" s="25"/>
      <c r="AQ142" s="23"/>
      <c r="AR142" s="31" t="str">
        <f aca="false">IF($D142="","",IFERROR(VLOOKUP($D142,'Rules &amp; Guardrails'!$A$9:$D$24,2,0),"Other"))</f>
        <v/>
      </c>
      <c r="AS142" s="31" t="str">
        <f aca="false">IF($O142="","",$O142&amp;"|"&amp;$B142)</f>
        <v/>
      </c>
    </row>
    <row r="143" customFormat="false" ht="15" hidden="false" customHeight="false" outlineLevel="0" collapsed="false">
      <c r="A143" s="23"/>
      <c r="B143" s="23"/>
      <c r="C143" s="23"/>
      <c r="D143" s="23"/>
      <c r="E143" s="23"/>
      <c r="F143" s="23"/>
      <c r="G143" s="6"/>
      <c r="H143" s="6"/>
      <c r="I143" s="23"/>
      <c r="J143" s="23"/>
      <c r="K143" s="23"/>
      <c r="L143" s="6"/>
      <c r="M143" s="6"/>
      <c r="N143" s="24"/>
      <c r="O143" s="25"/>
      <c r="P143" s="23"/>
      <c r="Q143" s="23"/>
      <c r="R143" s="23"/>
      <c r="S143" s="23"/>
      <c r="T143" s="26" t="str">
        <f aca="false">IF(OR($O143="",$D143=""),"",WORKDAY($O143,-IFERROR(VLOOKUP($D143,'Rules &amp; Guardrails'!$A$9:$D$24,3,0),10)))</f>
        <v/>
      </c>
      <c r="U143" s="23"/>
      <c r="V143" s="23"/>
      <c r="W143" s="23"/>
      <c r="X143" s="6"/>
      <c r="Y143" s="23"/>
      <c r="Z143" s="23"/>
      <c r="AA143" s="23"/>
      <c r="AB143" s="23"/>
      <c r="AC143" s="23"/>
      <c r="AD143" s="23"/>
      <c r="AE143" s="23"/>
      <c r="AF143" s="27" t="str">
        <f aca="true">IF($O143="","",IF(OR($AE143="Cancelled",$AE143="On hold",$AE143="Launched"),$AE143,IF(AND($Y143="Approved",OR($Z143="Yes",$Z143="N/A"),OR($AA143="Yes",$AA143="N/A"),OR($AB143="No",$AB143="N/A",AND($AB143="Yes",$AD143="Yes"))),"Ready",IF($O143&lt;TODAY(),"Overdue",IF($O143-TODAY()&lt;='Rules &amp; Guardrails'!$C$5,"At Risk","In Progress")))))</f>
        <v/>
      </c>
      <c r="AG143" s="28" t="str">
        <f aca="false">IF($O143="","",IF(OR($AE143="Launched",$AE143="Cancelled"),"",MID(IF($Y143&lt;&gt;"Approved",", Content approval","")&amp;IF(NOT(OR($Z143="Yes",$Z143="N/A")),", Assets","")&amp;IF(NOT(OR($AA143="Yes",$AA143="N/A")),", List","")&amp;IF($AB143="",", Ops decision",IF(AND($AB143="Yes",$AD143&lt;&gt;"Yes"),", Ops",""))&amp;IF($U143="",", Owner","")&amp;IF($K143="",", Segment",""),3,200)))</f>
        <v/>
      </c>
      <c r="AH143" s="29" t="str">
        <f aca="true">IF($O143="","",$O143-TODAY())</f>
        <v/>
      </c>
      <c r="AI143" s="26" t="str">
        <f aca="false">IF($O143="","",$O143-WEEKDAY($O143,3))</f>
        <v/>
      </c>
      <c r="AJ143" s="30" t="str">
        <f aca="false">IF($O143="","",DATE(YEAR($O143),MONTH($O143),1))</f>
        <v/>
      </c>
      <c r="AK143" s="31" t="str">
        <f aca="false">IF(OR($O143="",$K143=""),"",COUNTIFS('Comms Calendar'!$K$5:$K$504,$K143,'Comms Calendar'!$B$5:$B$504,$B143,'Comms Calendar'!$AI$5:$AI$504,$AI143,'Comms Calendar'!$AE$5:$AE$504,"&lt;&gt;Cancelled"))</f>
        <v/>
      </c>
      <c r="AL143" s="27" t="str">
        <f aca="false">IF($AK143="","",IF($AK143&gt;'Rules &amp; Guardrails'!$C$3,"Over cap","OK"))</f>
        <v/>
      </c>
      <c r="AM143" s="27" t="str">
        <f aca="false">IF(OR($O143="",$K143=""),"",IF(COUNTIFS('Comms Calendar'!$K$5:$K$504,$K143,'Comms Calendar'!$B$5:$B$504,$B143,'Comms Calendar'!$O$5:$O$504,$O143,'Comms Calendar'!$AE$5:$AE$504,"&lt;&gt;Cancelled")&gt;1,"Clash",""))</f>
        <v/>
      </c>
      <c r="AN143" s="27" t="str">
        <f aca="false">IF($O143="","",IF(IF($B143="Global",COUNTIF('Rules &amp; Guardrails'!$F$9:$F$60,$O143),COUNTIFS('Rules &amp; Guardrails'!$F$9:$F$60,$O143,'Rules &amp; Guardrails'!$G$9:$G$60,$B143)+COUNTIFS('Rules &amp; Guardrails'!$F$9:$F$60,$O143,'Rules &amp; Guardrails'!$G$9:$G$60,"Global"))&gt;0,"Blackout",""))</f>
        <v/>
      </c>
      <c r="AO143" s="6"/>
      <c r="AP143" s="25"/>
      <c r="AQ143" s="23"/>
      <c r="AR143" s="31" t="str">
        <f aca="false">IF($D143="","",IFERROR(VLOOKUP($D143,'Rules &amp; Guardrails'!$A$9:$D$24,2,0),"Other"))</f>
        <v/>
      </c>
      <c r="AS143" s="31" t="str">
        <f aca="false">IF($O143="","",$O143&amp;"|"&amp;$B143)</f>
        <v/>
      </c>
    </row>
    <row r="144" customFormat="false" ht="15" hidden="false" customHeight="false" outlineLevel="0" collapsed="false">
      <c r="A144" s="23"/>
      <c r="B144" s="23"/>
      <c r="C144" s="23"/>
      <c r="D144" s="23"/>
      <c r="E144" s="23"/>
      <c r="F144" s="23"/>
      <c r="G144" s="6"/>
      <c r="H144" s="6"/>
      <c r="I144" s="23"/>
      <c r="J144" s="23"/>
      <c r="K144" s="23"/>
      <c r="L144" s="6"/>
      <c r="M144" s="6"/>
      <c r="N144" s="24"/>
      <c r="O144" s="25"/>
      <c r="P144" s="23"/>
      <c r="Q144" s="23"/>
      <c r="R144" s="23"/>
      <c r="S144" s="23"/>
      <c r="T144" s="26" t="str">
        <f aca="false">IF(OR($O144="",$D144=""),"",WORKDAY($O144,-IFERROR(VLOOKUP($D144,'Rules &amp; Guardrails'!$A$9:$D$24,3,0),10)))</f>
        <v/>
      </c>
      <c r="U144" s="23"/>
      <c r="V144" s="23"/>
      <c r="W144" s="23"/>
      <c r="X144" s="6"/>
      <c r="Y144" s="23"/>
      <c r="Z144" s="23"/>
      <c r="AA144" s="23"/>
      <c r="AB144" s="23"/>
      <c r="AC144" s="23"/>
      <c r="AD144" s="23"/>
      <c r="AE144" s="23"/>
      <c r="AF144" s="27" t="str">
        <f aca="true">IF($O144="","",IF(OR($AE144="Cancelled",$AE144="On hold",$AE144="Launched"),$AE144,IF(AND($Y144="Approved",OR($Z144="Yes",$Z144="N/A"),OR($AA144="Yes",$AA144="N/A"),OR($AB144="No",$AB144="N/A",AND($AB144="Yes",$AD144="Yes"))),"Ready",IF($O144&lt;TODAY(),"Overdue",IF($O144-TODAY()&lt;='Rules &amp; Guardrails'!$C$5,"At Risk","In Progress")))))</f>
        <v/>
      </c>
      <c r="AG144" s="28" t="str">
        <f aca="false">IF($O144="","",IF(OR($AE144="Launched",$AE144="Cancelled"),"",MID(IF($Y144&lt;&gt;"Approved",", Content approval","")&amp;IF(NOT(OR($Z144="Yes",$Z144="N/A")),", Assets","")&amp;IF(NOT(OR($AA144="Yes",$AA144="N/A")),", List","")&amp;IF($AB144="",", Ops decision",IF(AND($AB144="Yes",$AD144&lt;&gt;"Yes"),", Ops",""))&amp;IF($U144="",", Owner","")&amp;IF($K144="",", Segment",""),3,200)))</f>
        <v/>
      </c>
      <c r="AH144" s="29" t="str">
        <f aca="true">IF($O144="","",$O144-TODAY())</f>
        <v/>
      </c>
      <c r="AI144" s="26" t="str">
        <f aca="false">IF($O144="","",$O144-WEEKDAY($O144,3))</f>
        <v/>
      </c>
      <c r="AJ144" s="30" t="str">
        <f aca="false">IF($O144="","",DATE(YEAR($O144),MONTH($O144),1))</f>
        <v/>
      </c>
      <c r="AK144" s="31" t="str">
        <f aca="false">IF(OR($O144="",$K144=""),"",COUNTIFS('Comms Calendar'!$K$5:$K$504,$K144,'Comms Calendar'!$B$5:$B$504,$B144,'Comms Calendar'!$AI$5:$AI$504,$AI144,'Comms Calendar'!$AE$5:$AE$504,"&lt;&gt;Cancelled"))</f>
        <v/>
      </c>
      <c r="AL144" s="27" t="str">
        <f aca="false">IF($AK144="","",IF($AK144&gt;'Rules &amp; Guardrails'!$C$3,"Over cap","OK"))</f>
        <v/>
      </c>
      <c r="AM144" s="27" t="str">
        <f aca="false">IF(OR($O144="",$K144=""),"",IF(COUNTIFS('Comms Calendar'!$K$5:$K$504,$K144,'Comms Calendar'!$B$5:$B$504,$B144,'Comms Calendar'!$O$5:$O$504,$O144,'Comms Calendar'!$AE$5:$AE$504,"&lt;&gt;Cancelled")&gt;1,"Clash",""))</f>
        <v/>
      </c>
      <c r="AN144" s="27" t="str">
        <f aca="false">IF($O144="","",IF(IF($B144="Global",COUNTIF('Rules &amp; Guardrails'!$F$9:$F$60,$O144),COUNTIFS('Rules &amp; Guardrails'!$F$9:$F$60,$O144,'Rules &amp; Guardrails'!$G$9:$G$60,$B144)+COUNTIFS('Rules &amp; Guardrails'!$F$9:$F$60,$O144,'Rules &amp; Guardrails'!$G$9:$G$60,"Global"))&gt;0,"Blackout",""))</f>
        <v/>
      </c>
      <c r="AO144" s="6"/>
      <c r="AP144" s="25"/>
      <c r="AQ144" s="23"/>
      <c r="AR144" s="31" t="str">
        <f aca="false">IF($D144="","",IFERROR(VLOOKUP($D144,'Rules &amp; Guardrails'!$A$9:$D$24,2,0),"Other"))</f>
        <v/>
      </c>
      <c r="AS144" s="31" t="str">
        <f aca="false">IF($O144="","",$O144&amp;"|"&amp;$B144)</f>
        <v/>
      </c>
    </row>
    <row r="145" customFormat="false" ht="15" hidden="false" customHeight="false" outlineLevel="0" collapsed="false">
      <c r="A145" s="23"/>
      <c r="B145" s="23"/>
      <c r="C145" s="23"/>
      <c r="D145" s="23"/>
      <c r="E145" s="23"/>
      <c r="F145" s="23"/>
      <c r="G145" s="6"/>
      <c r="H145" s="6"/>
      <c r="I145" s="23"/>
      <c r="J145" s="23"/>
      <c r="K145" s="23"/>
      <c r="L145" s="6"/>
      <c r="M145" s="6"/>
      <c r="N145" s="24"/>
      <c r="O145" s="25"/>
      <c r="P145" s="23"/>
      <c r="Q145" s="23"/>
      <c r="R145" s="23"/>
      <c r="S145" s="23"/>
      <c r="T145" s="26" t="str">
        <f aca="false">IF(OR($O145="",$D145=""),"",WORKDAY($O145,-IFERROR(VLOOKUP($D145,'Rules &amp; Guardrails'!$A$9:$D$24,3,0),10)))</f>
        <v/>
      </c>
      <c r="U145" s="23"/>
      <c r="V145" s="23"/>
      <c r="W145" s="23"/>
      <c r="X145" s="6"/>
      <c r="Y145" s="23"/>
      <c r="Z145" s="23"/>
      <c r="AA145" s="23"/>
      <c r="AB145" s="23"/>
      <c r="AC145" s="23"/>
      <c r="AD145" s="23"/>
      <c r="AE145" s="23"/>
      <c r="AF145" s="27" t="str">
        <f aca="true">IF($O145="","",IF(OR($AE145="Cancelled",$AE145="On hold",$AE145="Launched"),$AE145,IF(AND($Y145="Approved",OR($Z145="Yes",$Z145="N/A"),OR($AA145="Yes",$AA145="N/A"),OR($AB145="No",$AB145="N/A",AND($AB145="Yes",$AD145="Yes"))),"Ready",IF($O145&lt;TODAY(),"Overdue",IF($O145-TODAY()&lt;='Rules &amp; Guardrails'!$C$5,"At Risk","In Progress")))))</f>
        <v/>
      </c>
      <c r="AG145" s="28" t="str">
        <f aca="false">IF($O145="","",IF(OR($AE145="Launched",$AE145="Cancelled"),"",MID(IF($Y145&lt;&gt;"Approved",", Content approval","")&amp;IF(NOT(OR($Z145="Yes",$Z145="N/A")),", Assets","")&amp;IF(NOT(OR($AA145="Yes",$AA145="N/A")),", List","")&amp;IF($AB145="",", Ops decision",IF(AND($AB145="Yes",$AD145&lt;&gt;"Yes"),", Ops",""))&amp;IF($U145="",", Owner","")&amp;IF($K145="",", Segment",""),3,200)))</f>
        <v/>
      </c>
      <c r="AH145" s="29" t="str">
        <f aca="true">IF($O145="","",$O145-TODAY())</f>
        <v/>
      </c>
      <c r="AI145" s="26" t="str">
        <f aca="false">IF($O145="","",$O145-WEEKDAY($O145,3))</f>
        <v/>
      </c>
      <c r="AJ145" s="30" t="str">
        <f aca="false">IF($O145="","",DATE(YEAR($O145),MONTH($O145),1))</f>
        <v/>
      </c>
      <c r="AK145" s="31" t="str">
        <f aca="false">IF(OR($O145="",$K145=""),"",COUNTIFS('Comms Calendar'!$K$5:$K$504,$K145,'Comms Calendar'!$B$5:$B$504,$B145,'Comms Calendar'!$AI$5:$AI$504,$AI145,'Comms Calendar'!$AE$5:$AE$504,"&lt;&gt;Cancelled"))</f>
        <v/>
      </c>
      <c r="AL145" s="27" t="str">
        <f aca="false">IF($AK145="","",IF($AK145&gt;'Rules &amp; Guardrails'!$C$3,"Over cap","OK"))</f>
        <v/>
      </c>
      <c r="AM145" s="27" t="str">
        <f aca="false">IF(OR($O145="",$K145=""),"",IF(COUNTIFS('Comms Calendar'!$K$5:$K$504,$K145,'Comms Calendar'!$B$5:$B$504,$B145,'Comms Calendar'!$O$5:$O$504,$O145,'Comms Calendar'!$AE$5:$AE$504,"&lt;&gt;Cancelled")&gt;1,"Clash",""))</f>
        <v/>
      </c>
      <c r="AN145" s="27" t="str">
        <f aca="false">IF($O145="","",IF(IF($B145="Global",COUNTIF('Rules &amp; Guardrails'!$F$9:$F$60,$O145),COUNTIFS('Rules &amp; Guardrails'!$F$9:$F$60,$O145,'Rules &amp; Guardrails'!$G$9:$G$60,$B145)+COUNTIFS('Rules &amp; Guardrails'!$F$9:$F$60,$O145,'Rules &amp; Guardrails'!$G$9:$G$60,"Global"))&gt;0,"Blackout",""))</f>
        <v/>
      </c>
      <c r="AO145" s="6"/>
      <c r="AP145" s="25"/>
      <c r="AQ145" s="23"/>
      <c r="AR145" s="31" t="str">
        <f aca="false">IF($D145="","",IFERROR(VLOOKUP($D145,'Rules &amp; Guardrails'!$A$9:$D$24,2,0),"Other"))</f>
        <v/>
      </c>
      <c r="AS145" s="31" t="str">
        <f aca="false">IF($O145="","",$O145&amp;"|"&amp;$B145)</f>
        <v/>
      </c>
    </row>
    <row r="146" customFormat="false" ht="15" hidden="false" customHeight="false" outlineLevel="0" collapsed="false">
      <c r="A146" s="23"/>
      <c r="B146" s="23"/>
      <c r="C146" s="23"/>
      <c r="D146" s="23"/>
      <c r="E146" s="23"/>
      <c r="F146" s="23"/>
      <c r="G146" s="6"/>
      <c r="H146" s="6"/>
      <c r="I146" s="23"/>
      <c r="J146" s="23"/>
      <c r="K146" s="23"/>
      <c r="L146" s="6"/>
      <c r="M146" s="6"/>
      <c r="N146" s="24"/>
      <c r="O146" s="25"/>
      <c r="P146" s="23"/>
      <c r="Q146" s="23"/>
      <c r="R146" s="23"/>
      <c r="S146" s="23"/>
      <c r="T146" s="26" t="str">
        <f aca="false">IF(OR($O146="",$D146=""),"",WORKDAY($O146,-IFERROR(VLOOKUP($D146,'Rules &amp; Guardrails'!$A$9:$D$24,3,0),10)))</f>
        <v/>
      </c>
      <c r="U146" s="23"/>
      <c r="V146" s="23"/>
      <c r="W146" s="23"/>
      <c r="X146" s="6"/>
      <c r="Y146" s="23"/>
      <c r="Z146" s="23"/>
      <c r="AA146" s="23"/>
      <c r="AB146" s="23"/>
      <c r="AC146" s="23"/>
      <c r="AD146" s="23"/>
      <c r="AE146" s="23"/>
      <c r="AF146" s="27" t="str">
        <f aca="true">IF($O146="","",IF(OR($AE146="Cancelled",$AE146="On hold",$AE146="Launched"),$AE146,IF(AND($Y146="Approved",OR($Z146="Yes",$Z146="N/A"),OR($AA146="Yes",$AA146="N/A"),OR($AB146="No",$AB146="N/A",AND($AB146="Yes",$AD146="Yes"))),"Ready",IF($O146&lt;TODAY(),"Overdue",IF($O146-TODAY()&lt;='Rules &amp; Guardrails'!$C$5,"At Risk","In Progress")))))</f>
        <v/>
      </c>
      <c r="AG146" s="28" t="str">
        <f aca="false">IF($O146="","",IF(OR($AE146="Launched",$AE146="Cancelled"),"",MID(IF($Y146&lt;&gt;"Approved",", Content approval","")&amp;IF(NOT(OR($Z146="Yes",$Z146="N/A")),", Assets","")&amp;IF(NOT(OR($AA146="Yes",$AA146="N/A")),", List","")&amp;IF($AB146="",", Ops decision",IF(AND($AB146="Yes",$AD146&lt;&gt;"Yes"),", Ops",""))&amp;IF($U146="",", Owner","")&amp;IF($K146="",", Segment",""),3,200)))</f>
        <v/>
      </c>
      <c r="AH146" s="29" t="str">
        <f aca="true">IF($O146="","",$O146-TODAY())</f>
        <v/>
      </c>
      <c r="AI146" s="26" t="str">
        <f aca="false">IF($O146="","",$O146-WEEKDAY($O146,3))</f>
        <v/>
      </c>
      <c r="AJ146" s="30" t="str">
        <f aca="false">IF($O146="","",DATE(YEAR($O146),MONTH($O146),1))</f>
        <v/>
      </c>
      <c r="AK146" s="31" t="str">
        <f aca="false">IF(OR($O146="",$K146=""),"",COUNTIFS('Comms Calendar'!$K$5:$K$504,$K146,'Comms Calendar'!$B$5:$B$504,$B146,'Comms Calendar'!$AI$5:$AI$504,$AI146,'Comms Calendar'!$AE$5:$AE$504,"&lt;&gt;Cancelled"))</f>
        <v/>
      </c>
      <c r="AL146" s="27" t="str">
        <f aca="false">IF($AK146="","",IF($AK146&gt;'Rules &amp; Guardrails'!$C$3,"Over cap","OK"))</f>
        <v/>
      </c>
      <c r="AM146" s="27" t="str">
        <f aca="false">IF(OR($O146="",$K146=""),"",IF(COUNTIFS('Comms Calendar'!$K$5:$K$504,$K146,'Comms Calendar'!$B$5:$B$504,$B146,'Comms Calendar'!$O$5:$O$504,$O146,'Comms Calendar'!$AE$5:$AE$504,"&lt;&gt;Cancelled")&gt;1,"Clash",""))</f>
        <v/>
      </c>
      <c r="AN146" s="27" t="str">
        <f aca="false">IF($O146="","",IF(IF($B146="Global",COUNTIF('Rules &amp; Guardrails'!$F$9:$F$60,$O146),COUNTIFS('Rules &amp; Guardrails'!$F$9:$F$60,$O146,'Rules &amp; Guardrails'!$G$9:$G$60,$B146)+COUNTIFS('Rules &amp; Guardrails'!$F$9:$F$60,$O146,'Rules &amp; Guardrails'!$G$9:$G$60,"Global"))&gt;0,"Blackout",""))</f>
        <v/>
      </c>
      <c r="AO146" s="6"/>
      <c r="AP146" s="25"/>
      <c r="AQ146" s="23"/>
      <c r="AR146" s="31" t="str">
        <f aca="false">IF($D146="","",IFERROR(VLOOKUP($D146,'Rules &amp; Guardrails'!$A$9:$D$24,2,0),"Other"))</f>
        <v/>
      </c>
      <c r="AS146" s="31" t="str">
        <f aca="false">IF($O146="","",$O146&amp;"|"&amp;$B146)</f>
        <v/>
      </c>
    </row>
    <row r="147" customFormat="false" ht="15" hidden="false" customHeight="false" outlineLevel="0" collapsed="false">
      <c r="A147" s="23"/>
      <c r="B147" s="23"/>
      <c r="C147" s="23"/>
      <c r="D147" s="23"/>
      <c r="E147" s="23"/>
      <c r="F147" s="23"/>
      <c r="G147" s="6"/>
      <c r="H147" s="6"/>
      <c r="I147" s="23"/>
      <c r="J147" s="23"/>
      <c r="K147" s="23"/>
      <c r="L147" s="6"/>
      <c r="M147" s="6"/>
      <c r="N147" s="24"/>
      <c r="O147" s="25"/>
      <c r="P147" s="23"/>
      <c r="Q147" s="23"/>
      <c r="R147" s="23"/>
      <c r="S147" s="23"/>
      <c r="T147" s="26" t="str">
        <f aca="false">IF(OR($O147="",$D147=""),"",WORKDAY($O147,-IFERROR(VLOOKUP($D147,'Rules &amp; Guardrails'!$A$9:$D$24,3,0),10)))</f>
        <v/>
      </c>
      <c r="U147" s="23"/>
      <c r="V147" s="23"/>
      <c r="W147" s="23"/>
      <c r="X147" s="6"/>
      <c r="Y147" s="23"/>
      <c r="Z147" s="23"/>
      <c r="AA147" s="23"/>
      <c r="AB147" s="23"/>
      <c r="AC147" s="23"/>
      <c r="AD147" s="23"/>
      <c r="AE147" s="23"/>
      <c r="AF147" s="27" t="str">
        <f aca="true">IF($O147="","",IF(OR($AE147="Cancelled",$AE147="On hold",$AE147="Launched"),$AE147,IF(AND($Y147="Approved",OR($Z147="Yes",$Z147="N/A"),OR($AA147="Yes",$AA147="N/A"),OR($AB147="No",$AB147="N/A",AND($AB147="Yes",$AD147="Yes"))),"Ready",IF($O147&lt;TODAY(),"Overdue",IF($O147-TODAY()&lt;='Rules &amp; Guardrails'!$C$5,"At Risk","In Progress")))))</f>
        <v/>
      </c>
      <c r="AG147" s="28" t="str">
        <f aca="false">IF($O147="","",IF(OR($AE147="Launched",$AE147="Cancelled"),"",MID(IF($Y147&lt;&gt;"Approved",", Content approval","")&amp;IF(NOT(OR($Z147="Yes",$Z147="N/A")),", Assets","")&amp;IF(NOT(OR($AA147="Yes",$AA147="N/A")),", List","")&amp;IF($AB147="",", Ops decision",IF(AND($AB147="Yes",$AD147&lt;&gt;"Yes"),", Ops",""))&amp;IF($U147="",", Owner","")&amp;IF($K147="",", Segment",""),3,200)))</f>
        <v/>
      </c>
      <c r="AH147" s="29" t="str">
        <f aca="true">IF($O147="","",$O147-TODAY())</f>
        <v/>
      </c>
      <c r="AI147" s="26" t="str">
        <f aca="false">IF($O147="","",$O147-WEEKDAY($O147,3))</f>
        <v/>
      </c>
      <c r="AJ147" s="30" t="str">
        <f aca="false">IF($O147="","",DATE(YEAR($O147),MONTH($O147),1))</f>
        <v/>
      </c>
      <c r="AK147" s="31" t="str">
        <f aca="false">IF(OR($O147="",$K147=""),"",COUNTIFS('Comms Calendar'!$K$5:$K$504,$K147,'Comms Calendar'!$B$5:$B$504,$B147,'Comms Calendar'!$AI$5:$AI$504,$AI147,'Comms Calendar'!$AE$5:$AE$504,"&lt;&gt;Cancelled"))</f>
        <v/>
      </c>
      <c r="AL147" s="27" t="str">
        <f aca="false">IF($AK147="","",IF($AK147&gt;'Rules &amp; Guardrails'!$C$3,"Over cap","OK"))</f>
        <v/>
      </c>
      <c r="AM147" s="27" t="str">
        <f aca="false">IF(OR($O147="",$K147=""),"",IF(COUNTIFS('Comms Calendar'!$K$5:$K$504,$K147,'Comms Calendar'!$B$5:$B$504,$B147,'Comms Calendar'!$O$5:$O$504,$O147,'Comms Calendar'!$AE$5:$AE$504,"&lt;&gt;Cancelled")&gt;1,"Clash",""))</f>
        <v/>
      </c>
      <c r="AN147" s="27" t="str">
        <f aca="false">IF($O147="","",IF(IF($B147="Global",COUNTIF('Rules &amp; Guardrails'!$F$9:$F$60,$O147),COUNTIFS('Rules &amp; Guardrails'!$F$9:$F$60,$O147,'Rules &amp; Guardrails'!$G$9:$G$60,$B147)+COUNTIFS('Rules &amp; Guardrails'!$F$9:$F$60,$O147,'Rules &amp; Guardrails'!$G$9:$G$60,"Global"))&gt;0,"Blackout",""))</f>
        <v/>
      </c>
      <c r="AO147" s="6"/>
      <c r="AP147" s="25"/>
      <c r="AQ147" s="23"/>
      <c r="AR147" s="31" t="str">
        <f aca="false">IF($D147="","",IFERROR(VLOOKUP($D147,'Rules &amp; Guardrails'!$A$9:$D$24,2,0),"Other"))</f>
        <v/>
      </c>
      <c r="AS147" s="31" t="str">
        <f aca="false">IF($O147="","",$O147&amp;"|"&amp;$B147)</f>
        <v/>
      </c>
    </row>
    <row r="148" customFormat="false" ht="15" hidden="false" customHeight="false" outlineLevel="0" collapsed="false">
      <c r="A148" s="23"/>
      <c r="B148" s="23"/>
      <c r="C148" s="23"/>
      <c r="D148" s="23"/>
      <c r="E148" s="23"/>
      <c r="F148" s="23"/>
      <c r="G148" s="6"/>
      <c r="H148" s="6"/>
      <c r="I148" s="23"/>
      <c r="J148" s="23"/>
      <c r="K148" s="23"/>
      <c r="L148" s="6"/>
      <c r="M148" s="6"/>
      <c r="N148" s="24"/>
      <c r="O148" s="25"/>
      <c r="P148" s="23"/>
      <c r="Q148" s="23"/>
      <c r="R148" s="23"/>
      <c r="S148" s="23"/>
      <c r="T148" s="26" t="str">
        <f aca="false">IF(OR($O148="",$D148=""),"",WORKDAY($O148,-IFERROR(VLOOKUP($D148,'Rules &amp; Guardrails'!$A$9:$D$24,3,0),10)))</f>
        <v/>
      </c>
      <c r="U148" s="23"/>
      <c r="V148" s="23"/>
      <c r="W148" s="23"/>
      <c r="X148" s="6"/>
      <c r="Y148" s="23"/>
      <c r="Z148" s="23"/>
      <c r="AA148" s="23"/>
      <c r="AB148" s="23"/>
      <c r="AC148" s="23"/>
      <c r="AD148" s="23"/>
      <c r="AE148" s="23"/>
      <c r="AF148" s="27" t="str">
        <f aca="true">IF($O148="","",IF(OR($AE148="Cancelled",$AE148="On hold",$AE148="Launched"),$AE148,IF(AND($Y148="Approved",OR($Z148="Yes",$Z148="N/A"),OR($AA148="Yes",$AA148="N/A"),OR($AB148="No",$AB148="N/A",AND($AB148="Yes",$AD148="Yes"))),"Ready",IF($O148&lt;TODAY(),"Overdue",IF($O148-TODAY()&lt;='Rules &amp; Guardrails'!$C$5,"At Risk","In Progress")))))</f>
        <v/>
      </c>
      <c r="AG148" s="28" t="str">
        <f aca="false">IF($O148="","",IF(OR($AE148="Launched",$AE148="Cancelled"),"",MID(IF($Y148&lt;&gt;"Approved",", Content approval","")&amp;IF(NOT(OR($Z148="Yes",$Z148="N/A")),", Assets","")&amp;IF(NOT(OR($AA148="Yes",$AA148="N/A")),", List","")&amp;IF($AB148="",", Ops decision",IF(AND($AB148="Yes",$AD148&lt;&gt;"Yes"),", Ops",""))&amp;IF($U148="",", Owner","")&amp;IF($K148="",", Segment",""),3,200)))</f>
        <v/>
      </c>
      <c r="AH148" s="29" t="str">
        <f aca="true">IF($O148="","",$O148-TODAY())</f>
        <v/>
      </c>
      <c r="AI148" s="26" t="str">
        <f aca="false">IF($O148="","",$O148-WEEKDAY($O148,3))</f>
        <v/>
      </c>
      <c r="AJ148" s="30" t="str">
        <f aca="false">IF($O148="","",DATE(YEAR($O148),MONTH($O148),1))</f>
        <v/>
      </c>
      <c r="AK148" s="31" t="str">
        <f aca="false">IF(OR($O148="",$K148=""),"",COUNTIFS('Comms Calendar'!$K$5:$K$504,$K148,'Comms Calendar'!$B$5:$B$504,$B148,'Comms Calendar'!$AI$5:$AI$504,$AI148,'Comms Calendar'!$AE$5:$AE$504,"&lt;&gt;Cancelled"))</f>
        <v/>
      </c>
      <c r="AL148" s="27" t="str">
        <f aca="false">IF($AK148="","",IF($AK148&gt;'Rules &amp; Guardrails'!$C$3,"Over cap","OK"))</f>
        <v/>
      </c>
      <c r="AM148" s="27" t="str">
        <f aca="false">IF(OR($O148="",$K148=""),"",IF(COUNTIFS('Comms Calendar'!$K$5:$K$504,$K148,'Comms Calendar'!$B$5:$B$504,$B148,'Comms Calendar'!$O$5:$O$504,$O148,'Comms Calendar'!$AE$5:$AE$504,"&lt;&gt;Cancelled")&gt;1,"Clash",""))</f>
        <v/>
      </c>
      <c r="AN148" s="27" t="str">
        <f aca="false">IF($O148="","",IF(IF($B148="Global",COUNTIF('Rules &amp; Guardrails'!$F$9:$F$60,$O148),COUNTIFS('Rules &amp; Guardrails'!$F$9:$F$60,$O148,'Rules &amp; Guardrails'!$G$9:$G$60,$B148)+COUNTIFS('Rules &amp; Guardrails'!$F$9:$F$60,$O148,'Rules &amp; Guardrails'!$G$9:$G$60,"Global"))&gt;0,"Blackout",""))</f>
        <v/>
      </c>
      <c r="AO148" s="6"/>
      <c r="AP148" s="25"/>
      <c r="AQ148" s="23"/>
      <c r="AR148" s="31" t="str">
        <f aca="false">IF($D148="","",IFERROR(VLOOKUP($D148,'Rules &amp; Guardrails'!$A$9:$D$24,2,0),"Other"))</f>
        <v/>
      </c>
      <c r="AS148" s="31" t="str">
        <f aca="false">IF($O148="","",$O148&amp;"|"&amp;$B148)</f>
        <v/>
      </c>
    </row>
    <row r="149" customFormat="false" ht="15" hidden="false" customHeight="false" outlineLevel="0" collapsed="false">
      <c r="A149" s="23"/>
      <c r="B149" s="23"/>
      <c r="C149" s="23"/>
      <c r="D149" s="23"/>
      <c r="E149" s="23"/>
      <c r="F149" s="23"/>
      <c r="G149" s="6"/>
      <c r="H149" s="6"/>
      <c r="I149" s="23"/>
      <c r="J149" s="23"/>
      <c r="K149" s="23"/>
      <c r="L149" s="6"/>
      <c r="M149" s="6"/>
      <c r="N149" s="24"/>
      <c r="O149" s="25"/>
      <c r="P149" s="23"/>
      <c r="Q149" s="23"/>
      <c r="R149" s="23"/>
      <c r="S149" s="23"/>
      <c r="T149" s="26" t="str">
        <f aca="false">IF(OR($O149="",$D149=""),"",WORKDAY($O149,-IFERROR(VLOOKUP($D149,'Rules &amp; Guardrails'!$A$9:$D$24,3,0),10)))</f>
        <v/>
      </c>
      <c r="U149" s="23"/>
      <c r="V149" s="23"/>
      <c r="W149" s="23"/>
      <c r="X149" s="6"/>
      <c r="Y149" s="23"/>
      <c r="Z149" s="23"/>
      <c r="AA149" s="23"/>
      <c r="AB149" s="23"/>
      <c r="AC149" s="23"/>
      <c r="AD149" s="23"/>
      <c r="AE149" s="23"/>
      <c r="AF149" s="27" t="str">
        <f aca="true">IF($O149="","",IF(OR($AE149="Cancelled",$AE149="On hold",$AE149="Launched"),$AE149,IF(AND($Y149="Approved",OR($Z149="Yes",$Z149="N/A"),OR($AA149="Yes",$AA149="N/A"),OR($AB149="No",$AB149="N/A",AND($AB149="Yes",$AD149="Yes"))),"Ready",IF($O149&lt;TODAY(),"Overdue",IF($O149-TODAY()&lt;='Rules &amp; Guardrails'!$C$5,"At Risk","In Progress")))))</f>
        <v/>
      </c>
      <c r="AG149" s="28" t="str">
        <f aca="false">IF($O149="","",IF(OR($AE149="Launched",$AE149="Cancelled"),"",MID(IF($Y149&lt;&gt;"Approved",", Content approval","")&amp;IF(NOT(OR($Z149="Yes",$Z149="N/A")),", Assets","")&amp;IF(NOT(OR($AA149="Yes",$AA149="N/A")),", List","")&amp;IF($AB149="",", Ops decision",IF(AND($AB149="Yes",$AD149&lt;&gt;"Yes"),", Ops",""))&amp;IF($U149="",", Owner","")&amp;IF($K149="",", Segment",""),3,200)))</f>
        <v/>
      </c>
      <c r="AH149" s="29" t="str">
        <f aca="true">IF($O149="","",$O149-TODAY())</f>
        <v/>
      </c>
      <c r="AI149" s="26" t="str">
        <f aca="false">IF($O149="","",$O149-WEEKDAY($O149,3))</f>
        <v/>
      </c>
      <c r="AJ149" s="30" t="str">
        <f aca="false">IF($O149="","",DATE(YEAR($O149),MONTH($O149),1))</f>
        <v/>
      </c>
      <c r="AK149" s="31" t="str">
        <f aca="false">IF(OR($O149="",$K149=""),"",COUNTIFS('Comms Calendar'!$K$5:$K$504,$K149,'Comms Calendar'!$B$5:$B$504,$B149,'Comms Calendar'!$AI$5:$AI$504,$AI149,'Comms Calendar'!$AE$5:$AE$504,"&lt;&gt;Cancelled"))</f>
        <v/>
      </c>
      <c r="AL149" s="27" t="str">
        <f aca="false">IF($AK149="","",IF($AK149&gt;'Rules &amp; Guardrails'!$C$3,"Over cap","OK"))</f>
        <v/>
      </c>
      <c r="AM149" s="27" t="str">
        <f aca="false">IF(OR($O149="",$K149=""),"",IF(COUNTIFS('Comms Calendar'!$K$5:$K$504,$K149,'Comms Calendar'!$B$5:$B$504,$B149,'Comms Calendar'!$O$5:$O$504,$O149,'Comms Calendar'!$AE$5:$AE$504,"&lt;&gt;Cancelled")&gt;1,"Clash",""))</f>
        <v/>
      </c>
      <c r="AN149" s="27" t="str">
        <f aca="false">IF($O149="","",IF(IF($B149="Global",COUNTIF('Rules &amp; Guardrails'!$F$9:$F$60,$O149),COUNTIFS('Rules &amp; Guardrails'!$F$9:$F$60,$O149,'Rules &amp; Guardrails'!$G$9:$G$60,$B149)+COUNTIFS('Rules &amp; Guardrails'!$F$9:$F$60,$O149,'Rules &amp; Guardrails'!$G$9:$G$60,"Global"))&gt;0,"Blackout",""))</f>
        <v/>
      </c>
      <c r="AO149" s="6"/>
      <c r="AP149" s="25"/>
      <c r="AQ149" s="23"/>
      <c r="AR149" s="31" t="str">
        <f aca="false">IF($D149="","",IFERROR(VLOOKUP($D149,'Rules &amp; Guardrails'!$A$9:$D$24,2,0),"Other"))</f>
        <v/>
      </c>
      <c r="AS149" s="31" t="str">
        <f aca="false">IF($O149="","",$O149&amp;"|"&amp;$B149)</f>
        <v/>
      </c>
    </row>
    <row r="150" customFormat="false" ht="15" hidden="false" customHeight="false" outlineLevel="0" collapsed="false">
      <c r="A150" s="23"/>
      <c r="B150" s="23"/>
      <c r="C150" s="23"/>
      <c r="D150" s="23"/>
      <c r="E150" s="23"/>
      <c r="F150" s="23"/>
      <c r="G150" s="6"/>
      <c r="H150" s="6"/>
      <c r="I150" s="23"/>
      <c r="J150" s="23"/>
      <c r="K150" s="23"/>
      <c r="L150" s="6"/>
      <c r="M150" s="6"/>
      <c r="N150" s="24"/>
      <c r="O150" s="25"/>
      <c r="P150" s="23"/>
      <c r="Q150" s="23"/>
      <c r="R150" s="23"/>
      <c r="S150" s="23"/>
      <c r="T150" s="26" t="str">
        <f aca="false">IF(OR($O150="",$D150=""),"",WORKDAY($O150,-IFERROR(VLOOKUP($D150,'Rules &amp; Guardrails'!$A$9:$D$24,3,0),10)))</f>
        <v/>
      </c>
      <c r="U150" s="23"/>
      <c r="V150" s="23"/>
      <c r="W150" s="23"/>
      <c r="X150" s="6"/>
      <c r="Y150" s="23"/>
      <c r="Z150" s="23"/>
      <c r="AA150" s="23"/>
      <c r="AB150" s="23"/>
      <c r="AC150" s="23"/>
      <c r="AD150" s="23"/>
      <c r="AE150" s="23"/>
      <c r="AF150" s="27" t="str">
        <f aca="true">IF($O150="","",IF(OR($AE150="Cancelled",$AE150="On hold",$AE150="Launched"),$AE150,IF(AND($Y150="Approved",OR($Z150="Yes",$Z150="N/A"),OR($AA150="Yes",$AA150="N/A"),OR($AB150="No",$AB150="N/A",AND($AB150="Yes",$AD150="Yes"))),"Ready",IF($O150&lt;TODAY(),"Overdue",IF($O150-TODAY()&lt;='Rules &amp; Guardrails'!$C$5,"At Risk","In Progress")))))</f>
        <v/>
      </c>
      <c r="AG150" s="28" t="str">
        <f aca="false">IF($O150="","",IF(OR($AE150="Launched",$AE150="Cancelled"),"",MID(IF($Y150&lt;&gt;"Approved",", Content approval","")&amp;IF(NOT(OR($Z150="Yes",$Z150="N/A")),", Assets","")&amp;IF(NOT(OR($AA150="Yes",$AA150="N/A")),", List","")&amp;IF($AB150="",", Ops decision",IF(AND($AB150="Yes",$AD150&lt;&gt;"Yes"),", Ops",""))&amp;IF($U150="",", Owner","")&amp;IF($K150="",", Segment",""),3,200)))</f>
        <v/>
      </c>
      <c r="AH150" s="29" t="str">
        <f aca="true">IF($O150="","",$O150-TODAY())</f>
        <v/>
      </c>
      <c r="AI150" s="26" t="str">
        <f aca="false">IF($O150="","",$O150-WEEKDAY($O150,3))</f>
        <v/>
      </c>
      <c r="AJ150" s="30" t="str">
        <f aca="false">IF($O150="","",DATE(YEAR($O150),MONTH($O150),1))</f>
        <v/>
      </c>
      <c r="AK150" s="31" t="str">
        <f aca="false">IF(OR($O150="",$K150=""),"",COUNTIFS('Comms Calendar'!$K$5:$K$504,$K150,'Comms Calendar'!$B$5:$B$504,$B150,'Comms Calendar'!$AI$5:$AI$504,$AI150,'Comms Calendar'!$AE$5:$AE$504,"&lt;&gt;Cancelled"))</f>
        <v/>
      </c>
      <c r="AL150" s="27" t="str">
        <f aca="false">IF($AK150="","",IF($AK150&gt;'Rules &amp; Guardrails'!$C$3,"Over cap","OK"))</f>
        <v/>
      </c>
      <c r="AM150" s="27" t="str">
        <f aca="false">IF(OR($O150="",$K150=""),"",IF(COUNTIFS('Comms Calendar'!$K$5:$K$504,$K150,'Comms Calendar'!$B$5:$B$504,$B150,'Comms Calendar'!$O$5:$O$504,$O150,'Comms Calendar'!$AE$5:$AE$504,"&lt;&gt;Cancelled")&gt;1,"Clash",""))</f>
        <v/>
      </c>
      <c r="AN150" s="27" t="str">
        <f aca="false">IF($O150="","",IF(IF($B150="Global",COUNTIF('Rules &amp; Guardrails'!$F$9:$F$60,$O150),COUNTIFS('Rules &amp; Guardrails'!$F$9:$F$60,$O150,'Rules &amp; Guardrails'!$G$9:$G$60,$B150)+COUNTIFS('Rules &amp; Guardrails'!$F$9:$F$60,$O150,'Rules &amp; Guardrails'!$G$9:$G$60,"Global"))&gt;0,"Blackout",""))</f>
        <v/>
      </c>
      <c r="AO150" s="6"/>
      <c r="AP150" s="25"/>
      <c r="AQ150" s="23"/>
      <c r="AR150" s="31" t="str">
        <f aca="false">IF($D150="","",IFERROR(VLOOKUP($D150,'Rules &amp; Guardrails'!$A$9:$D$24,2,0),"Other"))</f>
        <v/>
      </c>
      <c r="AS150" s="31" t="str">
        <f aca="false">IF($O150="","",$O150&amp;"|"&amp;$B150)</f>
        <v/>
      </c>
    </row>
    <row r="151" customFormat="false" ht="15" hidden="false" customHeight="false" outlineLevel="0" collapsed="false">
      <c r="A151" s="23"/>
      <c r="B151" s="23"/>
      <c r="C151" s="23"/>
      <c r="D151" s="23"/>
      <c r="E151" s="23"/>
      <c r="F151" s="23"/>
      <c r="G151" s="6"/>
      <c r="H151" s="6"/>
      <c r="I151" s="23"/>
      <c r="J151" s="23"/>
      <c r="K151" s="23"/>
      <c r="L151" s="6"/>
      <c r="M151" s="6"/>
      <c r="N151" s="24"/>
      <c r="O151" s="25"/>
      <c r="P151" s="23"/>
      <c r="Q151" s="23"/>
      <c r="R151" s="23"/>
      <c r="S151" s="23"/>
      <c r="T151" s="26" t="str">
        <f aca="false">IF(OR($O151="",$D151=""),"",WORKDAY($O151,-IFERROR(VLOOKUP($D151,'Rules &amp; Guardrails'!$A$9:$D$24,3,0),10)))</f>
        <v/>
      </c>
      <c r="U151" s="23"/>
      <c r="V151" s="23"/>
      <c r="W151" s="23"/>
      <c r="X151" s="6"/>
      <c r="Y151" s="23"/>
      <c r="Z151" s="23"/>
      <c r="AA151" s="23"/>
      <c r="AB151" s="23"/>
      <c r="AC151" s="23"/>
      <c r="AD151" s="23"/>
      <c r="AE151" s="23"/>
      <c r="AF151" s="27" t="str">
        <f aca="true">IF($O151="","",IF(OR($AE151="Cancelled",$AE151="On hold",$AE151="Launched"),$AE151,IF(AND($Y151="Approved",OR($Z151="Yes",$Z151="N/A"),OR($AA151="Yes",$AA151="N/A"),OR($AB151="No",$AB151="N/A",AND($AB151="Yes",$AD151="Yes"))),"Ready",IF($O151&lt;TODAY(),"Overdue",IF($O151-TODAY()&lt;='Rules &amp; Guardrails'!$C$5,"At Risk","In Progress")))))</f>
        <v/>
      </c>
      <c r="AG151" s="28" t="str">
        <f aca="false">IF($O151="","",IF(OR($AE151="Launched",$AE151="Cancelled"),"",MID(IF($Y151&lt;&gt;"Approved",", Content approval","")&amp;IF(NOT(OR($Z151="Yes",$Z151="N/A")),", Assets","")&amp;IF(NOT(OR($AA151="Yes",$AA151="N/A")),", List","")&amp;IF($AB151="",", Ops decision",IF(AND($AB151="Yes",$AD151&lt;&gt;"Yes"),", Ops",""))&amp;IF($U151="",", Owner","")&amp;IF($K151="",", Segment",""),3,200)))</f>
        <v/>
      </c>
      <c r="AH151" s="29" t="str">
        <f aca="true">IF($O151="","",$O151-TODAY())</f>
        <v/>
      </c>
      <c r="AI151" s="26" t="str">
        <f aca="false">IF($O151="","",$O151-WEEKDAY($O151,3))</f>
        <v/>
      </c>
      <c r="AJ151" s="30" t="str">
        <f aca="false">IF($O151="","",DATE(YEAR($O151),MONTH($O151),1))</f>
        <v/>
      </c>
      <c r="AK151" s="31" t="str">
        <f aca="false">IF(OR($O151="",$K151=""),"",COUNTIFS('Comms Calendar'!$K$5:$K$504,$K151,'Comms Calendar'!$B$5:$B$504,$B151,'Comms Calendar'!$AI$5:$AI$504,$AI151,'Comms Calendar'!$AE$5:$AE$504,"&lt;&gt;Cancelled"))</f>
        <v/>
      </c>
      <c r="AL151" s="27" t="str">
        <f aca="false">IF($AK151="","",IF($AK151&gt;'Rules &amp; Guardrails'!$C$3,"Over cap","OK"))</f>
        <v/>
      </c>
      <c r="AM151" s="27" t="str">
        <f aca="false">IF(OR($O151="",$K151=""),"",IF(COUNTIFS('Comms Calendar'!$K$5:$K$504,$K151,'Comms Calendar'!$B$5:$B$504,$B151,'Comms Calendar'!$O$5:$O$504,$O151,'Comms Calendar'!$AE$5:$AE$504,"&lt;&gt;Cancelled")&gt;1,"Clash",""))</f>
        <v/>
      </c>
      <c r="AN151" s="27" t="str">
        <f aca="false">IF($O151="","",IF(IF($B151="Global",COUNTIF('Rules &amp; Guardrails'!$F$9:$F$60,$O151),COUNTIFS('Rules &amp; Guardrails'!$F$9:$F$60,$O151,'Rules &amp; Guardrails'!$G$9:$G$60,$B151)+COUNTIFS('Rules &amp; Guardrails'!$F$9:$F$60,$O151,'Rules &amp; Guardrails'!$G$9:$G$60,"Global"))&gt;0,"Blackout",""))</f>
        <v/>
      </c>
      <c r="AO151" s="6"/>
      <c r="AP151" s="25"/>
      <c r="AQ151" s="23"/>
      <c r="AR151" s="31" t="str">
        <f aca="false">IF($D151="","",IFERROR(VLOOKUP($D151,'Rules &amp; Guardrails'!$A$9:$D$24,2,0),"Other"))</f>
        <v/>
      </c>
      <c r="AS151" s="31" t="str">
        <f aca="false">IF($O151="","",$O151&amp;"|"&amp;$B151)</f>
        <v/>
      </c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  <c r="G152" s="6"/>
      <c r="H152" s="6"/>
      <c r="I152" s="23"/>
      <c r="J152" s="23"/>
      <c r="K152" s="23"/>
      <c r="L152" s="6"/>
      <c r="M152" s="6"/>
      <c r="N152" s="24"/>
      <c r="O152" s="25"/>
      <c r="P152" s="23"/>
      <c r="Q152" s="23"/>
      <c r="R152" s="23"/>
      <c r="S152" s="23"/>
      <c r="T152" s="26" t="str">
        <f aca="false">IF(OR($O152="",$D152=""),"",WORKDAY($O152,-IFERROR(VLOOKUP($D152,'Rules &amp; Guardrails'!$A$9:$D$24,3,0),10)))</f>
        <v/>
      </c>
      <c r="U152" s="23"/>
      <c r="V152" s="23"/>
      <c r="W152" s="23"/>
      <c r="X152" s="6"/>
      <c r="Y152" s="23"/>
      <c r="Z152" s="23"/>
      <c r="AA152" s="23"/>
      <c r="AB152" s="23"/>
      <c r="AC152" s="23"/>
      <c r="AD152" s="23"/>
      <c r="AE152" s="23"/>
      <c r="AF152" s="27" t="str">
        <f aca="true">IF($O152="","",IF(OR($AE152="Cancelled",$AE152="On hold",$AE152="Launched"),$AE152,IF(AND($Y152="Approved",OR($Z152="Yes",$Z152="N/A"),OR($AA152="Yes",$AA152="N/A"),OR($AB152="No",$AB152="N/A",AND($AB152="Yes",$AD152="Yes"))),"Ready",IF($O152&lt;TODAY(),"Overdue",IF($O152-TODAY()&lt;='Rules &amp; Guardrails'!$C$5,"At Risk","In Progress")))))</f>
        <v/>
      </c>
      <c r="AG152" s="28" t="str">
        <f aca="false">IF($O152="","",IF(OR($AE152="Launched",$AE152="Cancelled"),"",MID(IF($Y152&lt;&gt;"Approved",", Content approval","")&amp;IF(NOT(OR($Z152="Yes",$Z152="N/A")),", Assets","")&amp;IF(NOT(OR($AA152="Yes",$AA152="N/A")),", List","")&amp;IF($AB152="",", Ops decision",IF(AND($AB152="Yes",$AD152&lt;&gt;"Yes"),", Ops",""))&amp;IF($U152="",", Owner","")&amp;IF($K152="",", Segment",""),3,200)))</f>
        <v/>
      </c>
      <c r="AH152" s="29" t="str">
        <f aca="true">IF($O152="","",$O152-TODAY())</f>
        <v/>
      </c>
      <c r="AI152" s="26" t="str">
        <f aca="false">IF($O152="","",$O152-WEEKDAY($O152,3))</f>
        <v/>
      </c>
      <c r="AJ152" s="30" t="str">
        <f aca="false">IF($O152="","",DATE(YEAR($O152),MONTH($O152),1))</f>
        <v/>
      </c>
      <c r="AK152" s="31" t="str">
        <f aca="false">IF(OR($O152="",$K152=""),"",COUNTIFS('Comms Calendar'!$K$5:$K$504,$K152,'Comms Calendar'!$B$5:$B$504,$B152,'Comms Calendar'!$AI$5:$AI$504,$AI152,'Comms Calendar'!$AE$5:$AE$504,"&lt;&gt;Cancelled"))</f>
        <v/>
      </c>
      <c r="AL152" s="27" t="str">
        <f aca="false">IF($AK152="","",IF($AK152&gt;'Rules &amp; Guardrails'!$C$3,"Over cap","OK"))</f>
        <v/>
      </c>
      <c r="AM152" s="27" t="str">
        <f aca="false">IF(OR($O152="",$K152=""),"",IF(COUNTIFS('Comms Calendar'!$K$5:$K$504,$K152,'Comms Calendar'!$B$5:$B$504,$B152,'Comms Calendar'!$O$5:$O$504,$O152,'Comms Calendar'!$AE$5:$AE$504,"&lt;&gt;Cancelled")&gt;1,"Clash",""))</f>
        <v/>
      </c>
      <c r="AN152" s="27" t="str">
        <f aca="false">IF($O152="","",IF(IF($B152="Global",COUNTIF('Rules &amp; Guardrails'!$F$9:$F$60,$O152),COUNTIFS('Rules &amp; Guardrails'!$F$9:$F$60,$O152,'Rules &amp; Guardrails'!$G$9:$G$60,$B152)+COUNTIFS('Rules &amp; Guardrails'!$F$9:$F$60,$O152,'Rules &amp; Guardrails'!$G$9:$G$60,"Global"))&gt;0,"Blackout",""))</f>
        <v/>
      </c>
      <c r="AO152" s="6"/>
      <c r="AP152" s="25"/>
      <c r="AQ152" s="23"/>
      <c r="AR152" s="31" t="str">
        <f aca="false">IF($D152="","",IFERROR(VLOOKUP($D152,'Rules &amp; Guardrails'!$A$9:$D$24,2,0),"Other"))</f>
        <v/>
      </c>
      <c r="AS152" s="31" t="str">
        <f aca="false">IF($O152="","",$O152&amp;"|"&amp;$B152)</f>
        <v/>
      </c>
    </row>
    <row r="153" customFormat="false" ht="15" hidden="false" customHeight="false" outlineLevel="0" collapsed="false">
      <c r="A153" s="23"/>
      <c r="B153" s="23"/>
      <c r="C153" s="23"/>
      <c r="D153" s="23"/>
      <c r="E153" s="23"/>
      <c r="F153" s="23"/>
      <c r="G153" s="6"/>
      <c r="H153" s="6"/>
      <c r="I153" s="23"/>
      <c r="J153" s="23"/>
      <c r="K153" s="23"/>
      <c r="L153" s="6"/>
      <c r="M153" s="6"/>
      <c r="N153" s="24"/>
      <c r="O153" s="25"/>
      <c r="P153" s="23"/>
      <c r="Q153" s="23"/>
      <c r="R153" s="23"/>
      <c r="S153" s="23"/>
      <c r="T153" s="26" t="str">
        <f aca="false">IF(OR($O153="",$D153=""),"",WORKDAY($O153,-IFERROR(VLOOKUP($D153,'Rules &amp; Guardrails'!$A$9:$D$24,3,0),10)))</f>
        <v/>
      </c>
      <c r="U153" s="23"/>
      <c r="V153" s="23"/>
      <c r="W153" s="23"/>
      <c r="X153" s="6"/>
      <c r="Y153" s="23"/>
      <c r="Z153" s="23"/>
      <c r="AA153" s="23"/>
      <c r="AB153" s="23"/>
      <c r="AC153" s="23"/>
      <c r="AD153" s="23"/>
      <c r="AE153" s="23"/>
      <c r="AF153" s="27" t="str">
        <f aca="true">IF($O153="","",IF(OR($AE153="Cancelled",$AE153="On hold",$AE153="Launched"),$AE153,IF(AND($Y153="Approved",OR($Z153="Yes",$Z153="N/A"),OR($AA153="Yes",$AA153="N/A"),OR($AB153="No",$AB153="N/A",AND($AB153="Yes",$AD153="Yes"))),"Ready",IF($O153&lt;TODAY(),"Overdue",IF($O153-TODAY()&lt;='Rules &amp; Guardrails'!$C$5,"At Risk","In Progress")))))</f>
        <v/>
      </c>
      <c r="AG153" s="28" t="str">
        <f aca="false">IF($O153="","",IF(OR($AE153="Launched",$AE153="Cancelled"),"",MID(IF($Y153&lt;&gt;"Approved",", Content approval","")&amp;IF(NOT(OR($Z153="Yes",$Z153="N/A")),", Assets","")&amp;IF(NOT(OR($AA153="Yes",$AA153="N/A")),", List","")&amp;IF($AB153="",", Ops decision",IF(AND($AB153="Yes",$AD153&lt;&gt;"Yes"),", Ops",""))&amp;IF($U153="",", Owner","")&amp;IF($K153="",", Segment",""),3,200)))</f>
        <v/>
      </c>
      <c r="AH153" s="29" t="str">
        <f aca="true">IF($O153="","",$O153-TODAY())</f>
        <v/>
      </c>
      <c r="AI153" s="26" t="str">
        <f aca="false">IF($O153="","",$O153-WEEKDAY($O153,3))</f>
        <v/>
      </c>
      <c r="AJ153" s="30" t="str">
        <f aca="false">IF($O153="","",DATE(YEAR($O153),MONTH($O153),1))</f>
        <v/>
      </c>
      <c r="AK153" s="31" t="str">
        <f aca="false">IF(OR($O153="",$K153=""),"",COUNTIFS('Comms Calendar'!$K$5:$K$504,$K153,'Comms Calendar'!$B$5:$B$504,$B153,'Comms Calendar'!$AI$5:$AI$504,$AI153,'Comms Calendar'!$AE$5:$AE$504,"&lt;&gt;Cancelled"))</f>
        <v/>
      </c>
      <c r="AL153" s="27" t="str">
        <f aca="false">IF($AK153="","",IF($AK153&gt;'Rules &amp; Guardrails'!$C$3,"Over cap","OK"))</f>
        <v/>
      </c>
      <c r="AM153" s="27" t="str">
        <f aca="false">IF(OR($O153="",$K153=""),"",IF(COUNTIFS('Comms Calendar'!$K$5:$K$504,$K153,'Comms Calendar'!$B$5:$B$504,$B153,'Comms Calendar'!$O$5:$O$504,$O153,'Comms Calendar'!$AE$5:$AE$504,"&lt;&gt;Cancelled")&gt;1,"Clash",""))</f>
        <v/>
      </c>
      <c r="AN153" s="27" t="str">
        <f aca="false">IF($O153="","",IF(IF($B153="Global",COUNTIF('Rules &amp; Guardrails'!$F$9:$F$60,$O153),COUNTIFS('Rules &amp; Guardrails'!$F$9:$F$60,$O153,'Rules &amp; Guardrails'!$G$9:$G$60,$B153)+COUNTIFS('Rules &amp; Guardrails'!$F$9:$F$60,$O153,'Rules &amp; Guardrails'!$G$9:$G$60,"Global"))&gt;0,"Blackout",""))</f>
        <v/>
      </c>
      <c r="AO153" s="6"/>
      <c r="AP153" s="25"/>
      <c r="AQ153" s="23"/>
      <c r="AR153" s="31" t="str">
        <f aca="false">IF($D153="","",IFERROR(VLOOKUP($D153,'Rules &amp; Guardrails'!$A$9:$D$24,2,0),"Other"))</f>
        <v/>
      </c>
      <c r="AS153" s="31" t="str">
        <f aca="false">IF($O153="","",$O153&amp;"|"&amp;$B153)</f>
        <v/>
      </c>
    </row>
    <row r="154" customFormat="false" ht="15" hidden="false" customHeight="false" outlineLevel="0" collapsed="false">
      <c r="A154" s="23"/>
      <c r="B154" s="23"/>
      <c r="C154" s="23"/>
      <c r="D154" s="23"/>
      <c r="E154" s="23"/>
      <c r="F154" s="23"/>
      <c r="G154" s="6"/>
      <c r="H154" s="6"/>
      <c r="I154" s="23"/>
      <c r="J154" s="23"/>
      <c r="K154" s="23"/>
      <c r="L154" s="6"/>
      <c r="M154" s="6"/>
      <c r="N154" s="24"/>
      <c r="O154" s="25"/>
      <c r="P154" s="23"/>
      <c r="Q154" s="23"/>
      <c r="R154" s="23"/>
      <c r="S154" s="23"/>
      <c r="T154" s="26" t="str">
        <f aca="false">IF(OR($O154="",$D154=""),"",WORKDAY($O154,-IFERROR(VLOOKUP($D154,'Rules &amp; Guardrails'!$A$9:$D$24,3,0),10)))</f>
        <v/>
      </c>
      <c r="U154" s="23"/>
      <c r="V154" s="23"/>
      <c r="W154" s="23"/>
      <c r="X154" s="6"/>
      <c r="Y154" s="23"/>
      <c r="Z154" s="23"/>
      <c r="AA154" s="23"/>
      <c r="AB154" s="23"/>
      <c r="AC154" s="23"/>
      <c r="AD154" s="23"/>
      <c r="AE154" s="23"/>
      <c r="AF154" s="27" t="str">
        <f aca="true">IF($O154="","",IF(OR($AE154="Cancelled",$AE154="On hold",$AE154="Launched"),$AE154,IF(AND($Y154="Approved",OR($Z154="Yes",$Z154="N/A"),OR($AA154="Yes",$AA154="N/A"),OR($AB154="No",$AB154="N/A",AND($AB154="Yes",$AD154="Yes"))),"Ready",IF($O154&lt;TODAY(),"Overdue",IF($O154-TODAY()&lt;='Rules &amp; Guardrails'!$C$5,"At Risk","In Progress")))))</f>
        <v/>
      </c>
      <c r="AG154" s="28" t="str">
        <f aca="false">IF($O154="","",IF(OR($AE154="Launched",$AE154="Cancelled"),"",MID(IF($Y154&lt;&gt;"Approved",", Content approval","")&amp;IF(NOT(OR($Z154="Yes",$Z154="N/A")),", Assets","")&amp;IF(NOT(OR($AA154="Yes",$AA154="N/A")),", List","")&amp;IF($AB154="",", Ops decision",IF(AND($AB154="Yes",$AD154&lt;&gt;"Yes"),", Ops",""))&amp;IF($U154="",", Owner","")&amp;IF($K154="",", Segment",""),3,200)))</f>
        <v/>
      </c>
      <c r="AH154" s="29" t="str">
        <f aca="true">IF($O154="","",$O154-TODAY())</f>
        <v/>
      </c>
      <c r="AI154" s="26" t="str">
        <f aca="false">IF($O154="","",$O154-WEEKDAY($O154,3))</f>
        <v/>
      </c>
      <c r="AJ154" s="30" t="str">
        <f aca="false">IF($O154="","",DATE(YEAR($O154),MONTH($O154),1))</f>
        <v/>
      </c>
      <c r="AK154" s="31" t="str">
        <f aca="false">IF(OR($O154="",$K154=""),"",COUNTIFS('Comms Calendar'!$K$5:$K$504,$K154,'Comms Calendar'!$B$5:$B$504,$B154,'Comms Calendar'!$AI$5:$AI$504,$AI154,'Comms Calendar'!$AE$5:$AE$504,"&lt;&gt;Cancelled"))</f>
        <v/>
      </c>
      <c r="AL154" s="27" t="str">
        <f aca="false">IF($AK154="","",IF($AK154&gt;'Rules &amp; Guardrails'!$C$3,"Over cap","OK"))</f>
        <v/>
      </c>
      <c r="AM154" s="27" t="str">
        <f aca="false">IF(OR($O154="",$K154=""),"",IF(COUNTIFS('Comms Calendar'!$K$5:$K$504,$K154,'Comms Calendar'!$B$5:$B$504,$B154,'Comms Calendar'!$O$5:$O$504,$O154,'Comms Calendar'!$AE$5:$AE$504,"&lt;&gt;Cancelled")&gt;1,"Clash",""))</f>
        <v/>
      </c>
      <c r="AN154" s="27" t="str">
        <f aca="false">IF($O154="","",IF(IF($B154="Global",COUNTIF('Rules &amp; Guardrails'!$F$9:$F$60,$O154),COUNTIFS('Rules &amp; Guardrails'!$F$9:$F$60,$O154,'Rules &amp; Guardrails'!$G$9:$G$60,$B154)+COUNTIFS('Rules &amp; Guardrails'!$F$9:$F$60,$O154,'Rules &amp; Guardrails'!$G$9:$G$60,"Global"))&gt;0,"Blackout",""))</f>
        <v/>
      </c>
      <c r="AO154" s="6"/>
      <c r="AP154" s="25"/>
      <c r="AQ154" s="23"/>
      <c r="AR154" s="31" t="str">
        <f aca="false">IF($D154="","",IFERROR(VLOOKUP($D154,'Rules &amp; Guardrails'!$A$9:$D$24,2,0),"Other"))</f>
        <v/>
      </c>
      <c r="AS154" s="31" t="str">
        <f aca="false">IF($O154="","",$O154&amp;"|"&amp;$B154)</f>
        <v/>
      </c>
    </row>
    <row r="155" customFormat="false" ht="15" hidden="false" customHeight="false" outlineLevel="0" collapsed="false">
      <c r="A155" s="23"/>
      <c r="B155" s="23"/>
      <c r="C155" s="23"/>
      <c r="D155" s="23"/>
      <c r="E155" s="23"/>
      <c r="F155" s="23"/>
      <c r="G155" s="6"/>
      <c r="H155" s="6"/>
      <c r="I155" s="23"/>
      <c r="J155" s="23"/>
      <c r="K155" s="23"/>
      <c r="L155" s="6"/>
      <c r="M155" s="6"/>
      <c r="N155" s="24"/>
      <c r="O155" s="25"/>
      <c r="P155" s="23"/>
      <c r="Q155" s="23"/>
      <c r="R155" s="23"/>
      <c r="S155" s="23"/>
      <c r="T155" s="26" t="str">
        <f aca="false">IF(OR($O155="",$D155=""),"",WORKDAY($O155,-IFERROR(VLOOKUP($D155,'Rules &amp; Guardrails'!$A$9:$D$24,3,0),10)))</f>
        <v/>
      </c>
      <c r="U155" s="23"/>
      <c r="V155" s="23"/>
      <c r="W155" s="23"/>
      <c r="X155" s="6"/>
      <c r="Y155" s="23"/>
      <c r="Z155" s="23"/>
      <c r="AA155" s="23"/>
      <c r="AB155" s="23"/>
      <c r="AC155" s="23"/>
      <c r="AD155" s="23"/>
      <c r="AE155" s="23"/>
      <c r="AF155" s="27" t="str">
        <f aca="true">IF($O155="","",IF(OR($AE155="Cancelled",$AE155="On hold",$AE155="Launched"),$AE155,IF(AND($Y155="Approved",OR($Z155="Yes",$Z155="N/A"),OR($AA155="Yes",$AA155="N/A"),OR($AB155="No",$AB155="N/A",AND($AB155="Yes",$AD155="Yes"))),"Ready",IF($O155&lt;TODAY(),"Overdue",IF($O155-TODAY()&lt;='Rules &amp; Guardrails'!$C$5,"At Risk","In Progress")))))</f>
        <v/>
      </c>
      <c r="AG155" s="28" t="str">
        <f aca="false">IF($O155="","",IF(OR($AE155="Launched",$AE155="Cancelled"),"",MID(IF($Y155&lt;&gt;"Approved",", Content approval","")&amp;IF(NOT(OR($Z155="Yes",$Z155="N/A")),", Assets","")&amp;IF(NOT(OR($AA155="Yes",$AA155="N/A")),", List","")&amp;IF($AB155="",", Ops decision",IF(AND($AB155="Yes",$AD155&lt;&gt;"Yes"),", Ops",""))&amp;IF($U155="",", Owner","")&amp;IF($K155="",", Segment",""),3,200)))</f>
        <v/>
      </c>
      <c r="AH155" s="29" t="str">
        <f aca="true">IF($O155="","",$O155-TODAY())</f>
        <v/>
      </c>
      <c r="AI155" s="26" t="str">
        <f aca="false">IF($O155="","",$O155-WEEKDAY($O155,3))</f>
        <v/>
      </c>
      <c r="AJ155" s="30" t="str">
        <f aca="false">IF($O155="","",DATE(YEAR($O155),MONTH($O155),1))</f>
        <v/>
      </c>
      <c r="AK155" s="31" t="str">
        <f aca="false">IF(OR($O155="",$K155=""),"",COUNTIFS('Comms Calendar'!$K$5:$K$504,$K155,'Comms Calendar'!$B$5:$B$504,$B155,'Comms Calendar'!$AI$5:$AI$504,$AI155,'Comms Calendar'!$AE$5:$AE$504,"&lt;&gt;Cancelled"))</f>
        <v/>
      </c>
      <c r="AL155" s="27" t="str">
        <f aca="false">IF($AK155="","",IF($AK155&gt;'Rules &amp; Guardrails'!$C$3,"Over cap","OK"))</f>
        <v/>
      </c>
      <c r="AM155" s="27" t="str">
        <f aca="false">IF(OR($O155="",$K155=""),"",IF(COUNTIFS('Comms Calendar'!$K$5:$K$504,$K155,'Comms Calendar'!$B$5:$B$504,$B155,'Comms Calendar'!$O$5:$O$504,$O155,'Comms Calendar'!$AE$5:$AE$504,"&lt;&gt;Cancelled")&gt;1,"Clash",""))</f>
        <v/>
      </c>
      <c r="AN155" s="27" t="str">
        <f aca="false">IF($O155="","",IF(IF($B155="Global",COUNTIF('Rules &amp; Guardrails'!$F$9:$F$60,$O155),COUNTIFS('Rules &amp; Guardrails'!$F$9:$F$60,$O155,'Rules &amp; Guardrails'!$G$9:$G$60,$B155)+COUNTIFS('Rules &amp; Guardrails'!$F$9:$F$60,$O155,'Rules &amp; Guardrails'!$G$9:$G$60,"Global"))&gt;0,"Blackout",""))</f>
        <v/>
      </c>
      <c r="AO155" s="6"/>
      <c r="AP155" s="25"/>
      <c r="AQ155" s="23"/>
      <c r="AR155" s="31" t="str">
        <f aca="false">IF($D155="","",IFERROR(VLOOKUP($D155,'Rules &amp; Guardrails'!$A$9:$D$24,2,0),"Other"))</f>
        <v/>
      </c>
      <c r="AS155" s="31" t="str">
        <f aca="false">IF($O155="","",$O155&amp;"|"&amp;$B155)</f>
        <v/>
      </c>
    </row>
    <row r="156" customFormat="false" ht="15" hidden="false" customHeight="false" outlineLevel="0" collapsed="false">
      <c r="A156" s="23"/>
      <c r="B156" s="23"/>
      <c r="C156" s="23"/>
      <c r="D156" s="23"/>
      <c r="E156" s="23"/>
      <c r="F156" s="23"/>
      <c r="G156" s="6"/>
      <c r="H156" s="6"/>
      <c r="I156" s="23"/>
      <c r="J156" s="23"/>
      <c r="K156" s="23"/>
      <c r="L156" s="6"/>
      <c r="M156" s="6"/>
      <c r="N156" s="24"/>
      <c r="O156" s="25"/>
      <c r="P156" s="23"/>
      <c r="Q156" s="23"/>
      <c r="R156" s="23"/>
      <c r="S156" s="23"/>
      <c r="T156" s="26" t="str">
        <f aca="false">IF(OR($O156="",$D156=""),"",WORKDAY($O156,-IFERROR(VLOOKUP($D156,'Rules &amp; Guardrails'!$A$9:$D$24,3,0),10)))</f>
        <v/>
      </c>
      <c r="U156" s="23"/>
      <c r="V156" s="23"/>
      <c r="W156" s="23"/>
      <c r="X156" s="6"/>
      <c r="Y156" s="23"/>
      <c r="Z156" s="23"/>
      <c r="AA156" s="23"/>
      <c r="AB156" s="23"/>
      <c r="AC156" s="23"/>
      <c r="AD156" s="23"/>
      <c r="AE156" s="23"/>
      <c r="AF156" s="27" t="str">
        <f aca="true">IF($O156="","",IF(OR($AE156="Cancelled",$AE156="On hold",$AE156="Launched"),$AE156,IF(AND($Y156="Approved",OR($Z156="Yes",$Z156="N/A"),OR($AA156="Yes",$AA156="N/A"),OR($AB156="No",$AB156="N/A",AND($AB156="Yes",$AD156="Yes"))),"Ready",IF($O156&lt;TODAY(),"Overdue",IF($O156-TODAY()&lt;='Rules &amp; Guardrails'!$C$5,"At Risk","In Progress")))))</f>
        <v/>
      </c>
      <c r="AG156" s="28" t="str">
        <f aca="false">IF($O156="","",IF(OR($AE156="Launched",$AE156="Cancelled"),"",MID(IF($Y156&lt;&gt;"Approved",", Content approval","")&amp;IF(NOT(OR($Z156="Yes",$Z156="N/A")),", Assets","")&amp;IF(NOT(OR($AA156="Yes",$AA156="N/A")),", List","")&amp;IF($AB156="",", Ops decision",IF(AND($AB156="Yes",$AD156&lt;&gt;"Yes"),", Ops",""))&amp;IF($U156="",", Owner","")&amp;IF($K156="",", Segment",""),3,200)))</f>
        <v/>
      </c>
      <c r="AH156" s="29" t="str">
        <f aca="true">IF($O156="","",$O156-TODAY())</f>
        <v/>
      </c>
      <c r="AI156" s="26" t="str">
        <f aca="false">IF($O156="","",$O156-WEEKDAY($O156,3))</f>
        <v/>
      </c>
      <c r="AJ156" s="30" t="str">
        <f aca="false">IF($O156="","",DATE(YEAR($O156),MONTH($O156),1))</f>
        <v/>
      </c>
      <c r="AK156" s="31" t="str">
        <f aca="false">IF(OR($O156="",$K156=""),"",COUNTIFS('Comms Calendar'!$K$5:$K$504,$K156,'Comms Calendar'!$B$5:$B$504,$B156,'Comms Calendar'!$AI$5:$AI$504,$AI156,'Comms Calendar'!$AE$5:$AE$504,"&lt;&gt;Cancelled"))</f>
        <v/>
      </c>
      <c r="AL156" s="27" t="str">
        <f aca="false">IF($AK156="","",IF($AK156&gt;'Rules &amp; Guardrails'!$C$3,"Over cap","OK"))</f>
        <v/>
      </c>
      <c r="AM156" s="27" t="str">
        <f aca="false">IF(OR($O156="",$K156=""),"",IF(COUNTIFS('Comms Calendar'!$K$5:$K$504,$K156,'Comms Calendar'!$B$5:$B$504,$B156,'Comms Calendar'!$O$5:$O$504,$O156,'Comms Calendar'!$AE$5:$AE$504,"&lt;&gt;Cancelled")&gt;1,"Clash",""))</f>
        <v/>
      </c>
      <c r="AN156" s="27" t="str">
        <f aca="false">IF($O156="","",IF(IF($B156="Global",COUNTIF('Rules &amp; Guardrails'!$F$9:$F$60,$O156),COUNTIFS('Rules &amp; Guardrails'!$F$9:$F$60,$O156,'Rules &amp; Guardrails'!$G$9:$G$60,$B156)+COUNTIFS('Rules &amp; Guardrails'!$F$9:$F$60,$O156,'Rules &amp; Guardrails'!$G$9:$G$60,"Global"))&gt;0,"Blackout",""))</f>
        <v/>
      </c>
      <c r="AO156" s="6"/>
      <c r="AP156" s="25"/>
      <c r="AQ156" s="23"/>
      <c r="AR156" s="31" t="str">
        <f aca="false">IF($D156="","",IFERROR(VLOOKUP($D156,'Rules &amp; Guardrails'!$A$9:$D$24,2,0),"Other"))</f>
        <v/>
      </c>
      <c r="AS156" s="31" t="str">
        <f aca="false">IF($O156="","",$O156&amp;"|"&amp;$B156)</f>
        <v/>
      </c>
    </row>
    <row r="157" customFormat="false" ht="15" hidden="false" customHeight="false" outlineLevel="0" collapsed="false">
      <c r="A157" s="23"/>
      <c r="B157" s="23"/>
      <c r="C157" s="23"/>
      <c r="D157" s="23"/>
      <c r="E157" s="23"/>
      <c r="F157" s="23"/>
      <c r="G157" s="6"/>
      <c r="H157" s="6"/>
      <c r="I157" s="23"/>
      <c r="J157" s="23"/>
      <c r="K157" s="23"/>
      <c r="L157" s="6"/>
      <c r="M157" s="6"/>
      <c r="N157" s="24"/>
      <c r="O157" s="25"/>
      <c r="P157" s="23"/>
      <c r="Q157" s="23"/>
      <c r="R157" s="23"/>
      <c r="S157" s="23"/>
      <c r="T157" s="26" t="str">
        <f aca="false">IF(OR($O157="",$D157=""),"",WORKDAY($O157,-IFERROR(VLOOKUP($D157,'Rules &amp; Guardrails'!$A$9:$D$24,3,0),10)))</f>
        <v/>
      </c>
      <c r="U157" s="23"/>
      <c r="V157" s="23"/>
      <c r="W157" s="23"/>
      <c r="X157" s="6"/>
      <c r="Y157" s="23"/>
      <c r="Z157" s="23"/>
      <c r="AA157" s="23"/>
      <c r="AB157" s="23"/>
      <c r="AC157" s="23"/>
      <c r="AD157" s="23"/>
      <c r="AE157" s="23"/>
      <c r="AF157" s="27" t="str">
        <f aca="true">IF($O157="","",IF(OR($AE157="Cancelled",$AE157="On hold",$AE157="Launched"),$AE157,IF(AND($Y157="Approved",OR($Z157="Yes",$Z157="N/A"),OR($AA157="Yes",$AA157="N/A"),OR($AB157="No",$AB157="N/A",AND($AB157="Yes",$AD157="Yes"))),"Ready",IF($O157&lt;TODAY(),"Overdue",IF($O157-TODAY()&lt;='Rules &amp; Guardrails'!$C$5,"At Risk","In Progress")))))</f>
        <v/>
      </c>
      <c r="AG157" s="28" t="str">
        <f aca="false">IF($O157="","",IF(OR($AE157="Launched",$AE157="Cancelled"),"",MID(IF($Y157&lt;&gt;"Approved",", Content approval","")&amp;IF(NOT(OR($Z157="Yes",$Z157="N/A")),", Assets","")&amp;IF(NOT(OR($AA157="Yes",$AA157="N/A")),", List","")&amp;IF($AB157="",", Ops decision",IF(AND($AB157="Yes",$AD157&lt;&gt;"Yes"),", Ops",""))&amp;IF($U157="",", Owner","")&amp;IF($K157="",", Segment",""),3,200)))</f>
        <v/>
      </c>
      <c r="AH157" s="29" t="str">
        <f aca="true">IF($O157="","",$O157-TODAY())</f>
        <v/>
      </c>
      <c r="AI157" s="26" t="str">
        <f aca="false">IF($O157="","",$O157-WEEKDAY($O157,3))</f>
        <v/>
      </c>
      <c r="AJ157" s="30" t="str">
        <f aca="false">IF($O157="","",DATE(YEAR($O157),MONTH($O157),1))</f>
        <v/>
      </c>
      <c r="AK157" s="31" t="str">
        <f aca="false">IF(OR($O157="",$K157=""),"",COUNTIFS('Comms Calendar'!$K$5:$K$504,$K157,'Comms Calendar'!$B$5:$B$504,$B157,'Comms Calendar'!$AI$5:$AI$504,$AI157,'Comms Calendar'!$AE$5:$AE$504,"&lt;&gt;Cancelled"))</f>
        <v/>
      </c>
      <c r="AL157" s="27" t="str">
        <f aca="false">IF($AK157="","",IF($AK157&gt;'Rules &amp; Guardrails'!$C$3,"Over cap","OK"))</f>
        <v/>
      </c>
      <c r="AM157" s="27" t="str">
        <f aca="false">IF(OR($O157="",$K157=""),"",IF(COUNTIFS('Comms Calendar'!$K$5:$K$504,$K157,'Comms Calendar'!$B$5:$B$504,$B157,'Comms Calendar'!$O$5:$O$504,$O157,'Comms Calendar'!$AE$5:$AE$504,"&lt;&gt;Cancelled")&gt;1,"Clash",""))</f>
        <v/>
      </c>
      <c r="AN157" s="27" t="str">
        <f aca="false">IF($O157="","",IF(IF($B157="Global",COUNTIF('Rules &amp; Guardrails'!$F$9:$F$60,$O157),COUNTIFS('Rules &amp; Guardrails'!$F$9:$F$60,$O157,'Rules &amp; Guardrails'!$G$9:$G$60,$B157)+COUNTIFS('Rules &amp; Guardrails'!$F$9:$F$60,$O157,'Rules &amp; Guardrails'!$G$9:$G$60,"Global"))&gt;0,"Blackout",""))</f>
        <v/>
      </c>
      <c r="AO157" s="6"/>
      <c r="AP157" s="25"/>
      <c r="AQ157" s="23"/>
      <c r="AR157" s="31" t="str">
        <f aca="false">IF($D157="","",IFERROR(VLOOKUP($D157,'Rules &amp; Guardrails'!$A$9:$D$24,2,0),"Other"))</f>
        <v/>
      </c>
      <c r="AS157" s="31" t="str">
        <f aca="false">IF($O157="","",$O157&amp;"|"&amp;$B157)</f>
        <v/>
      </c>
    </row>
    <row r="158" customFormat="false" ht="15" hidden="false" customHeight="false" outlineLevel="0" collapsed="false">
      <c r="A158" s="23"/>
      <c r="B158" s="23"/>
      <c r="C158" s="23"/>
      <c r="D158" s="23"/>
      <c r="E158" s="23"/>
      <c r="F158" s="23"/>
      <c r="G158" s="6"/>
      <c r="H158" s="6"/>
      <c r="I158" s="23"/>
      <c r="J158" s="23"/>
      <c r="K158" s="23"/>
      <c r="L158" s="6"/>
      <c r="M158" s="6"/>
      <c r="N158" s="24"/>
      <c r="O158" s="25"/>
      <c r="P158" s="23"/>
      <c r="Q158" s="23"/>
      <c r="R158" s="23"/>
      <c r="S158" s="23"/>
      <c r="T158" s="26" t="str">
        <f aca="false">IF(OR($O158="",$D158=""),"",WORKDAY($O158,-IFERROR(VLOOKUP($D158,'Rules &amp; Guardrails'!$A$9:$D$24,3,0),10)))</f>
        <v/>
      </c>
      <c r="U158" s="23"/>
      <c r="V158" s="23"/>
      <c r="W158" s="23"/>
      <c r="X158" s="6"/>
      <c r="Y158" s="23"/>
      <c r="Z158" s="23"/>
      <c r="AA158" s="23"/>
      <c r="AB158" s="23"/>
      <c r="AC158" s="23"/>
      <c r="AD158" s="23"/>
      <c r="AE158" s="23"/>
      <c r="AF158" s="27" t="str">
        <f aca="true">IF($O158="","",IF(OR($AE158="Cancelled",$AE158="On hold",$AE158="Launched"),$AE158,IF(AND($Y158="Approved",OR($Z158="Yes",$Z158="N/A"),OR($AA158="Yes",$AA158="N/A"),OR($AB158="No",$AB158="N/A",AND($AB158="Yes",$AD158="Yes"))),"Ready",IF($O158&lt;TODAY(),"Overdue",IF($O158-TODAY()&lt;='Rules &amp; Guardrails'!$C$5,"At Risk","In Progress")))))</f>
        <v/>
      </c>
      <c r="AG158" s="28" t="str">
        <f aca="false">IF($O158="","",IF(OR($AE158="Launched",$AE158="Cancelled"),"",MID(IF($Y158&lt;&gt;"Approved",", Content approval","")&amp;IF(NOT(OR($Z158="Yes",$Z158="N/A")),", Assets","")&amp;IF(NOT(OR($AA158="Yes",$AA158="N/A")),", List","")&amp;IF($AB158="",", Ops decision",IF(AND($AB158="Yes",$AD158&lt;&gt;"Yes"),", Ops",""))&amp;IF($U158="",", Owner","")&amp;IF($K158="",", Segment",""),3,200)))</f>
        <v/>
      </c>
      <c r="AH158" s="29" t="str">
        <f aca="true">IF($O158="","",$O158-TODAY())</f>
        <v/>
      </c>
      <c r="AI158" s="26" t="str">
        <f aca="false">IF($O158="","",$O158-WEEKDAY($O158,3))</f>
        <v/>
      </c>
      <c r="AJ158" s="30" t="str">
        <f aca="false">IF($O158="","",DATE(YEAR($O158),MONTH($O158),1))</f>
        <v/>
      </c>
      <c r="AK158" s="31" t="str">
        <f aca="false">IF(OR($O158="",$K158=""),"",COUNTIFS('Comms Calendar'!$K$5:$K$504,$K158,'Comms Calendar'!$B$5:$B$504,$B158,'Comms Calendar'!$AI$5:$AI$504,$AI158,'Comms Calendar'!$AE$5:$AE$504,"&lt;&gt;Cancelled"))</f>
        <v/>
      </c>
      <c r="AL158" s="27" t="str">
        <f aca="false">IF($AK158="","",IF($AK158&gt;'Rules &amp; Guardrails'!$C$3,"Over cap","OK"))</f>
        <v/>
      </c>
      <c r="AM158" s="27" t="str">
        <f aca="false">IF(OR($O158="",$K158=""),"",IF(COUNTIFS('Comms Calendar'!$K$5:$K$504,$K158,'Comms Calendar'!$B$5:$B$504,$B158,'Comms Calendar'!$O$5:$O$504,$O158,'Comms Calendar'!$AE$5:$AE$504,"&lt;&gt;Cancelled")&gt;1,"Clash",""))</f>
        <v/>
      </c>
      <c r="AN158" s="27" t="str">
        <f aca="false">IF($O158="","",IF(IF($B158="Global",COUNTIF('Rules &amp; Guardrails'!$F$9:$F$60,$O158),COUNTIFS('Rules &amp; Guardrails'!$F$9:$F$60,$O158,'Rules &amp; Guardrails'!$G$9:$G$60,$B158)+COUNTIFS('Rules &amp; Guardrails'!$F$9:$F$60,$O158,'Rules &amp; Guardrails'!$G$9:$G$60,"Global"))&gt;0,"Blackout",""))</f>
        <v/>
      </c>
      <c r="AO158" s="6"/>
      <c r="AP158" s="25"/>
      <c r="AQ158" s="23"/>
      <c r="AR158" s="31" t="str">
        <f aca="false">IF($D158="","",IFERROR(VLOOKUP($D158,'Rules &amp; Guardrails'!$A$9:$D$24,2,0),"Other"))</f>
        <v/>
      </c>
      <c r="AS158" s="31" t="str">
        <f aca="false">IF($O158="","",$O158&amp;"|"&amp;$B158)</f>
        <v/>
      </c>
    </row>
    <row r="159" customFormat="false" ht="15" hidden="false" customHeight="false" outlineLevel="0" collapsed="false">
      <c r="A159" s="23"/>
      <c r="B159" s="23"/>
      <c r="C159" s="23"/>
      <c r="D159" s="23"/>
      <c r="E159" s="23"/>
      <c r="F159" s="23"/>
      <c r="G159" s="6"/>
      <c r="H159" s="6"/>
      <c r="I159" s="23"/>
      <c r="J159" s="23"/>
      <c r="K159" s="23"/>
      <c r="L159" s="6"/>
      <c r="M159" s="6"/>
      <c r="N159" s="24"/>
      <c r="O159" s="25"/>
      <c r="P159" s="23"/>
      <c r="Q159" s="23"/>
      <c r="R159" s="23"/>
      <c r="S159" s="23"/>
      <c r="T159" s="26" t="str">
        <f aca="false">IF(OR($O159="",$D159=""),"",WORKDAY($O159,-IFERROR(VLOOKUP($D159,'Rules &amp; Guardrails'!$A$9:$D$24,3,0),10)))</f>
        <v/>
      </c>
      <c r="U159" s="23"/>
      <c r="V159" s="23"/>
      <c r="W159" s="23"/>
      <c r="X159" s="6"/>
      <c r="Y159" s="23"/>
      <c r="Z159" s="23"/>
      <c r="AA159" s="23"/>
      <c r="AB159" s="23"/>
      <c r="AC159" s="23"/>
      <c r="AD159" s="23"/>
      <c r="AE159" s="23"/>
      <c r="AF159" s="27" t="str">
        <f aca="true">IF($O159="","",IF(OR($AE159="Cancelled",$AE159="On hold",$AE159="Launched"),$AE159,IF(AND($Y159="Approved",OR($Z159="Yes",$Z159="N/A"),OR($AA159="Yes",$AA159="N/A"),OR($AB159="No",$AB159="N/A",AND($AB159="Yes",$AD159="Yes"))),"Ready",IF($O159&lt;TODAY(),"Overdue",IF($O159-TODAY()&lt;='Rules &amp; Guardrails'!$C$5,"At Risk","In Progress")))))</f>
        <v/>
      </c>
      <c r="AG159" s="28" t="str">
        <f aca="false">IF($O159="","",IF(OR($AE159="Launched",$AE159="Cancelled"),"",MID(IF($Y159&lt;&gt;"Approved",", Content approval","")&amp;IF(NOT(OR($Z159="Yes",$Z159="N/A")),", Assets","")&amp;IF(NOT(OR($AA159="Yes",$AA159="N/A")),", List","")&amp;IF($AB159="",", Ops decision",IF(AND($AB159="Yes",$AD159&lt;&gt;"Yes"),", Ops",""))&amp;IF($U159="",", Owner","")&amp;IF($K159="",", Segment",""),3,200)))</f>
        <v/>
      </c>
      <c r="AH159" s="29" t="str">
        <f aca="true">IF($O159="","",$O159-TODAY())</f>
        <v/>
      </c>
      <c r="AI159" s="26" t="str">
        <f aca="false">IF($O159="","",$O159-WEEKDAY($O159,3))</f>
        <v/>
      </c>
      <c r="AJ159" s="30" t="str">
        <f aca="false">IF($O159="","",DATE(YEAR($O159),MONTH($O159),1))</f>
        <v/>
      </c>
      <c r="AK159" s="31" t="str">
        <f aca="false">IF(OR($O159="",$K159=""),"",COUNTIFS('Comms Calendar'!$K$5:$K$504,$K159,'Comms Calendar'!$B$5:$B$504,$B159,'Comms Calendar'!$AI$5:$AI$504,$AI159,'Comms Calendar'!$AE$5:$AE$504,"&lt;&gt;Cancelled"))</f>
        <v/>
      </c>
      <c r="AL159" s="27" t="str">
        <f aca="false">IF($AK159="","",IF($AK159&gt;'Rules &amp; Guardrails'!$C$3,"Over cap","OK"))</f>
        <v/>
      </c>
      <c r="AM159" s="27" t="str">
        <f aca="false">IF(OR($O159="",$K159=""),"",IF(COUNTIFS('Comms Calendar'!$K$5:$K$504,$K159,'Comms Calendar'!$B$5:$B$504,$B159,'Comms Calendar'!$O$5:$O$504,$O159,'Comms Calendar'!$AE$5:$AE$504,"&lt;&gt;Cancelled")&gt;1,"Clash",""))</f>
        <v/>
      </c>
      <c r="AN159" s="27" t="str">
        <f aca="false">IF($O159="","",IF(IF($B159="Global",COUNTIF('Rules &amp; Guardrails'!$F$9:$F$60,$O159),COUNTIFS('Rules &amp; Guardrails'!$F$9:$F$60,$O159,'Rules &amp; Guardrails'!$G$9:$G$60,$B159)+COUNTIFS('Rules &amp; Guardrails'!$F$9:$F$60,$O159,'Rules &amp; Guardrails'!$G$9:$G$60,"Global"))&gt;0,"Blackout",""))</f>
        <v/>
      </c>
      <c r="AO159" s="6"/>
      <c r="AP159" s="25"/>
      <c r="AQ159" s="23"/>
      <c r="AR159" s="31" t="str">
        <f aca="false">IF($D159="","",IFERROR(VLOOKUP($D159,'Rules &amp; Guardrails'!$A$9:$D$24,2,0),"Other"))</f>
        <v/>
      </c>
      <c r="AS159" s="31" t="str">
        <f aca="false">IF($O159="","",$O159&amp;"|"&amp;$B159)</f>
        <v/>
      </c>
    </row>
    <row r="160" customFormat="false" ht="15" hidden="false" customHeight="false" outlineLevel="0" collapsed="false">
      <c r="A160" s="23"/>
      <c r="B160" s="23"/>
      <c r="C160" s="23"/>
      <c r="D160" s="23"/>
      <c r="E160" s="23"/>
      <c r="F160" s="23"/>
      <c r="G160" s="6"/>
      <c r="H160" s="6"/>
      <c r="I160" s="23"/>
      <c r="J160" s="23"/>
      <c r="K160" s="23"/>
      <c r="L160" s="6"/>
      <c r="M160" s="6"/>
      <c r="N160" s="24"/>
      <c r="O160" s="25"/>
      <c r="P160" s="23"/>
      <c r="Q160" s="23"/>
      <c r="R160" s="23"/>
      <c r="S160" s="23"/>
      <c r="T160" s="26" t="str">
        <f aca="false">IF(OR($O160="",$D160=""),"",WORKDAY($O160,-IFERROR(VLOOKUP($D160,'Rules &amp; Guardrails'!$A$9:$D$24,3,0),10)))</f>
        <v/>
      </c>
      <c r="U160" s="23"/>
      <c r="V160" s="23"/>
      <c r="W160" s="23"/>
      <c r="X160" s="6"/>
      <c r="Y160" s="23"/>
      <c r="Z160" s="23"/>
      <c r="AA160" s="23"/>
      <c r="AB160" s="23"/>
      <c r="AC160" s="23"/>
      <c r="AD160" s="23"/>
      <c r="AE160" s="23"/>
      <c r="AF160" s="27" t="str">
        <f aca="true">IF($O160="","",IF(OR($AE160="Cancelled",$AE160="On hold",$AE160="Launched"),$AE160,IF(AND($Y160="Approved",OR($Z160="Yes",$Z160="N/A"),OR($AA160="Yes",$AA160="N/A"),OR($AB160="No",$AB160="N/A",AND($AB160="Yes",$AD160="Yes"))),"Ready",IF($O160&lt;TODAY(),"Overdue",IF($O160-TODAY()&lt;='Rules &amp; Guardrails'!$C$5,"At Risk","In Progress")))))</f>
        <v/>
      </c>
      <c r="AG160" s="28" t="str">
        <f aca="false">IF($O160="","",IF(OR($AE160="Launched",$AE160="Cancelled"),"",MID(IF($Y160&lt;&gt;"Approved",", Content approval","")&amp;IF(NOT(OR($Z160="Yes",$Z160="N/A")),", Assets","")&amp;IF(NOT(OR($AA160="Yes",$AA160="N/A")),", List","")&amp;IF($AB160="",", Ops decision",IF(AND($AB160="Yes",$AD160&lt;&gt;"Yes"),", Ops",""))&amp;IF($U160="",", Owner","")&amp;IF($K160="",", Segment",""),3,200)))</f>
        <v/>
      </c>
      <c r="AH160" s="29" t="str">
        <f aca="true">IF($O160="","",$O160-TODAY())</f>
        <v/>
      </c>
      <c r="AI160" s="26" t="str">
        <f aca="false">IF($O160="","",$O160-WEEKDAY($O160,3))</f>
        <v/>
      </c>
      <c r="AJ160" s="30" t="str">
        <f aca="false">IF($O160="","",DATE(YEAR($O160),MONTH($O160),1))</f>
        <v/>
      </c>
      <c r="AK160" s="31" t="str">
        <f aca="false">IF(OR($O160="",$K160=""),"",COUNTIFS('Comms Calendar'!$K$5:$K$504,$K160,'Comms Calendar'!$B$5:$B$504,$B160,'Comms Calendar'!$AI$5:$AI$504,$AI160,'Comms Calendar'!$AE$5:$AE$504,"&lt;&gt;Cancelled"))</f>
        <v/>
      </c>
      <c r="AL160" s="27" t="str">
        <f aca="false">IF($AK160="","",IF($AK160&gt;'Rules &amp; Guardrails'!$C$3,"Over cap","OK"))</f>
        <v/>
      </c>
      <c r="AM160" s="27" t="str">
        <f aca="false">IF(OR($O160="",$K160=""),"",IF(COUNTIFS('Comms Calendar'!$K$5:$K$504,$K160,'Comms Calendar'!$B$5:$B$504,$B160,'Comms Calendar'!$O$5:$O$504,$O160,'Comms Calendar'!$AE$5:$AE$504,"&lt;&gt;Cancelled")&gt;1,"Clash",""))</f>
        <v/>
      </c>
      <c r="AN160" s="27" t="str">
        <f aca="false">IF($O160="","",IF(IF($B160="Global",COUNTIF('Rules &amp; Guardrails'!$F$9:$F$60,$O160),COUNTIFS('Rules &amp; Guardrails'!$F$9:$F$60,$O160,'Rules &amp; Guardrails'!$G$9:$G$60,$B160)+COUNTIFS('Rules &amp; Guardrails'!$F$9:$F$60,$O160,'Rules &amp; Guardrails'!$G$9:$G$60,"Global"))&gt;0,"Blackout",""))</f>
        <v/>
      </c>
      <c r="AO160" s="6"/>
      <c r="AP160" s="25"/>
      <c r="AQ160" s="23"/>
      <c r="AR160" s="31" t="str">
        <f aca="false">IF($D160="","",IFERROR(VLOOKUP($D160,'Rules &amp; Guardrails'!$A$9:$D$24,2,0),"Other"))</f>
        <v/>
      </c>
      <c r="AS160" s="31" t="str">
        <f aca="false">IF($O160="","",$O160&amp;"|"&amp;$B160)</f>
        <v/>
      </c>
    </row>
    <row r="161" customFormat="false" ht="15" hidden="false" customHeight="false" outlineLevel="0" collapsed="false">
      <c r="A161" s="23"/>
      <c r="B161" s="23"/>
      <c r="C161" s="23"/>
      <c r="D161" s="23"/>
      <c r="E161" s="23"/>
      <c r="F161" s="23"/>
      <c r="G161" s="6"/>
      <c r="H161" s="6"/>
      <c r="I161" s="23"/>
      <c r="J161" s="23"/>
      <c r="K161" s="23"/>
      <c r="L161" s="6"/>
      <c r="M161" s="6"/>
      <c r="N161" s="24"/>
      <c r="O161" s="25"/>
      <c r="P161" s="23"/>
      <c r="Q161" s="23"/>
      <c r="R161" s="23"/>
      <c r="S161" s="23"/>
      <c r="T161" s="26" t="str">
        <f aca="false">IF(OR($O161="",$D161=""),"",WORKDAY($O161,-IFERROR(VLOOKUP($D161,'Rules &amp; Guardrails'!$A$9:$D$24,3,0),10)))</f>
        <v/>
      </c>
      <c r="U161" s="23"/>
      <c r="V161" s="23"/>
      <c r="W161" s="23"/>
      <c r="X161" s="6"/>
      <c r="Y161" s="23"/>
      <c r="Z161" s="23"/>
      <c r="AA161" s="23"/>
      <c r="AB161" s="23"/>
      <c r="AC161" s="23"/>
      <c r="AD161" s="23"/>
      <c r="AE161" s="23"/>
      <c r="AF161" s="27" t="str">
        <f aca="true">IF($O161="","",IF(OR($AE161="Cancelled",$AE161="On hold",$AE161="Launched"),$AE161,IF(AND($Y161="Approved",OR($Z161="Yes",$Z161="N/A"),OR($AA161="Yes",$AA161="N/A"),OR($AB161="No",$AB161="N/A",AND($AB161="Yes",$AD161="Yes"))),"Ready",IF($O161&lt;TODAY(),"Overdue",IF($O161-TODAY()&lt;='Rules &amp; Guardrails'!$C$5,"At Risk","In Progress")))))</f>
        <v/>
      </c>
      <c r="AG161" s="28" t="str">
        <f aca="false">IF($O161="","",IF(OR($AE161="Launched",$AE161="Cancelled"),"",MID(IF($Y161&lt;&gt;"Approved",", Content approval","")&amp;IF(NOT(OR($Z161="Yes",$Z161="N/A")),", Assets","")&amp;IF(NOT(OR($AA161="Yes",$AA161="N/A")),", List","")&amp;IF($AB161="",", Ops decision",IF(AND($AB161="Yes",$AD161&lt;&gt;"Yes"),", Ops",""))&amp;IF($U161="",", Owner","")&amp;IF($K161="",", Segment",""),3,200)))</f>
        <v/>
      </c>
      <c r="AH161" s="29" t="str">
        <f aca="true">IF($O161="","",$O161-TODAY())</f>
        <v/>
      </c>
      <c r="AI161" s="26" t="str">
        <f aca="false">IF($O161="","",$O161-WEEKDAY($O161,3))</f>
        <v/>
      </c>
      <c r="AJ161" s="30" t="str">
        <f aca="false">IF($O161="","",DATE(YEAR($O161),MONTH($O161),1))</f>
        <v/>
      </c>
      <c r="AK161" s="31" t="str">
        <f aca="false">IF(OR($O161="",$K161=""),"",COUNTIFS('Comms Calendar'!$K$5:$K$504,$K161,'Comms Calendar'!$B$5:$B$504,$B161,'Comms Calendar'!$AI$5:$AI$504,$AI161,'Comms Calendar'!$AE$5:$AE$504,"&lt;&gt;Cancelled"))</f>
        <v/>
      </c>
      <c r="AL161" s="27" t="str">
        <f aca="false">IF($AK161="","",IF($AK161&gt;'Rules &amp; Guardrails'!$C$3,"Over cap","OK"))</f>
        <v/>
      </c>
      <c r="AM161" s="27" t="str">
        <f aca="false">IF(OR($O161="",$K161=""),"",IF(COUNTIFS('Comms Calendar'!$K$5:$K$504,$K161,'Comms Calendar'!$B$5:$B$504,$B161,'Comms Calendar'!$O$5:$O$504,$O161,'Comms Calendar'!$AE$5:$AE$504,"&lt;&gt;Cancelled")&gt;1,"Clash",""))</f>
        <v/>
      </c>
      <c r="AN161" s="27" t="str">
        <f aca="false">IF($O161="","",IF(IF($B161="Global",COUNTIF('Rules &amp; Guardrails'!$F$9:$F$60,$O161),COUNTIFS('Rules &amp; Guardrails'!$F$9:$F$60,$O161,'Rules &amp; Guardrails'!$G$9:$G$60,$B161)+COUNTIFS('Rules &amp; Guardrails'!$F$9:$F$60,$O161,'Rules &amp; Guardrails'!$G$9:$G$60,"Global"))&gt;0,"Blackout",""))</f>
        <v/>
      </c>
      <c r="AO161" s="6"/>
      <c r="AP161" s="25"/>
      <c r="AQ161" s="23"/>
      <c r="AR161" s="31" t="str">
        <f aca="false">IF($D161="","",IFERROR(VLOOKUP($D161,'Rules &amp; Guardrails'!$A$9:$D$24,2,0),"Other"))</f>
        <v/>
      </c>
      <c r="AS161" s="31" t="str">
        <f aca="false">IF($O161="","",$O161&amp;"|"&amp;$B161)</f>
        <v/>
      </c>
    </row>
    <row r="162" customFormat="false" ht="15" hidden="false" customHeight="false" outlineLevel="0" collapsed="false">
      <c r="A162" s="23"/>
      <c r="B162" s="23"/>
      <c r="C162" s="23"/>
      <c r="D162" s="23"/>
      <c r="E162" s="23"/>
      <c r="F162" s="23"/>
      <c r="G162" s="6"/>
      <c r="H162" s="6"/>
      <c r="I162" s="23"/>
      <c r="J162" s="23"/>
      <c r="K162" s="23"/>
      <c r="L162" s="6"/>
      <c r="M162" s="6"/>
      <c r="N162" s="24"/>
      <c r="O162" s="25"/>
      <c r="P162" s="23"/>
      <c r="Q162" s="23"/>
      <c r="R162" s="23"/>
      <c r="S162" s="23"/>
      <c r="T162" s="26" t="str">
        <f aca="false">IF(OR($O162="",$D162=""),"",WORKDAY($O162,-IFERROR(VLOOKUP($D162,'Rules &amp; Guardrails'!$A$9:$D$24,3,0),10)))</f>
        <v/>
      </c>
      <c r="U162" s="23"/>
      <c r="V162" s="23"/>
      <c r="W162" s="23"/>
      <c r="X162" s="6"/>
      <c r="Y162" s="23"/>
      <c r="Z162" s="23"/>
      <c r="AA162" s="23"/>
      <c r="AB162" s="23"/>
      <c r="AC162" s="23"/>
      <c r="AD162" s="23"/>
      <c r="AE162" s="23"/>
      <c r="AF162" s="27" t="str">
        <f aca="true">IF($O162="","",IF(OR($AE162="Cancelled",$AE162="On hold",$AE162="Launched"),$AE162,IF(AND($Y162="Approved",OR($Z162="Yes",$Z162="N/A"),OR($AA162="Yes",$AA162="N/A"),OR($AB162="No",$AB162="N/A",AND($AB162="Yes",$AD162="Yes"))),"Ready",IF($O162&lt;TODAY(),"Overdue",IF($O162-TODAY()&lt;='Rules &amp; Guardrails'!$C$5,"At Risk","In Progress")))))</f>
        <v/>
      </c>
      <c r="AG162" s="28" t="str">
        <f aca="false">IF($O162="","",IF(OR($AE162="Launched",$AE162="Cancelled"),"",MID(IF($Y162&lt;&gt;"Approved",", Content approval","")&amp;IF(NOT(OR($Z162="Yes",$Z162="N/A")),", Assets","")&amp;IF(NOT(OR($AA162="Yes",$AA162="N/A")),", List","")&amp;IF($AB162="",", Ops decision",IF(AND($AB162="Yes",$AD162&lt;&gt;"Yes"),", Ops",""))&amp;IF($U162="",", Owner","")&amp;IF($K162="",", Segment",""),3,200)))</f>
        <v/>
      </c>
      <c r="AH162" s="29" t="str">
        <f aca="true">IF($O162="","",$O162-TODAY())</f>
        <v/>
      </c>
      <c r="AI162" s="26" t="str">
        <f aca="false">IF($O162="","",$O162-WEEKDAY($O162,3))</f>
        <v/>
      </c>
      <c r="AJ162" s="30" t="str">
        <f aca="false">IF($O162="","",DATE(YEAR($O162),MONTH($O162),1))</f>
        <v/>
      </c>
      <c r="AK162" s="31" t="str">
        <f aca="false">IF(OR($O162="",$K162=""),"",COUNTIFS('Comms Calendar'!$K$5:$K$504,$K162,'Comms Calendar'!$B$5:$B$504,$B162,'Comms Calendar'!$AI$5:$AI$504,$AI162,'Comms Calendar'!$AE$5:$AE$504,"&lt;&gt;Cancelled"))</f>
        <v/>
      </c>
      <c r="AL162" s="27" t="str">
        <f aca="false">IF($AK162="","",IF($AK162&gt;'Rules &amp; Guardrails'!$C$3,"Over cap","OK"))</f>
        <v/>
      </c>
      <c r="AM162" s="27" t="str">
        <f aca="false">IF(OR($O162="",$K162=""),"",IF(COUNTIFS('Comms Calendar'!$K$5:$K$504,$K162,'Comms Calendar'!$B$5:$B$504,$B162,'Comms Calendar'!$O$5:$O$504,$O162,'Comms Calendar'!$AE$5:$AE$504,"&lt;&gt;Cancelled")&gt;1,"Clash",""))</f>
        <v/>
      </c>
      <c r="AN162" s="27" t="str">
        <f aca="false">IF($O162="","",IF(IF($B162="Global",COUNTIF('Rules &amp; Guardrails'!$F$9:$F$60,$O162),COUNTIFS('Rules &amp; Guardrails'!$F$9:$F$60,$O162,'Rules &amp; Guardrails'!$G$9:$G$60,$B162)+COUNTIFS('Rules &amp; Guardrails'!$F$9:$F$60,$O162,'Rules &amp; Guardrails'!$G$9:$G$60,"Global"))&gt;0,"Blackout",""))</f>
        <v/>
      </c>
      <c r="AO162" s="6"/>
      <c r="AP162" s="25"/>
      <c r="AQ162" s="23"/>
      <c r="AR162" s="31" t="str">
        <f aca="false">IF($D162="","",IFERROR(VLOOKUP($D162,'Rules &amp; Guardrails'!$A$9:$D$24,2,0),"Other"))</f>
        <v/>
      </c>
      <c r="AS162" s="31" t="str">
        <f aca="false">IF($O162="","",$O162&amp;"|"&amp;$B162)</f>
        <v/>
      </c>
    </row>
    <row r="163" customFormat="false" ht="15" hidden="false" customHeight="false" outlineLevel="0" collapsed="false">
      <c r="A163" s="23"/>
      <c r="B163" s="23"/>
      <c r="C163" s="23"/>
      <c r="D163" s="23"/>
      <c r="E163" s="23"/>
      <c r="F163" s="23"/>
      <c r="G163" s="6"/>
      <c r="H163" s="6"/>
      <c r="I163" s="23"/>
      <c r="J163" s="23"/>
      <c r="K163" s="23"/>
      <c r="L163" s="6"/>
      <c r="M163" s="6"/>
      <c r="N163" s="24"/>
      <c r="O163" s="25"/>
      <c r="P163" s="23"/>
      <c r="Q163" s="23"/>
      <c r="R163" s="23"/>
      <c r="S163" s="23"/>
      <c r="T163" s="26" t="str">
        <f aca="false">IF(OR($O163="",$D163=""),"",WORKDAY($O163,-IFERROR(VLOOKUP($D163,'Rules &amp; Guardrails'!$A$9:$D$24,3,0),10)))</f>
        <v/>
      </c>
      <c r="U163" s="23"/>
      <c r="V163" s="23"/>
      <c r="W163" s="23"/>
      <c r="X163" s="6"/>
      <c r="Y163" s="23"/>
      <c r="Z163" s="23"/>
      <c r="AA163" s="23"/>
      <c r="AB163" s="23"/>
      <c r="AC163" s="23"/>
      <c r="AD163" s="23"/>
      <c r="AE163" s="23"/>
      <c r="AF163" s="27" t="str">
        <f aca="true">IF($O163="","",IF(OR($AE163="Cancelled",$AE163="On hold",$AE163="Launched"),$AE163,IF(AND($Y163="Approved",OR($Z163="Yes",$Z163="N/A"),OR($AA163="Yes",$AA163="N/A"),OR($AB163="No",$AB163="N/A",AND($AB163="Yes",$AD163="Yes"))),"Ready",IF($O163&lt;TODAY(),"Overdue",IF($O163-TODAY()&lt;='Rules &amp; Guardrails'!$C$5,"At Risk","In Progress")))))</f>
        <v/>
      </c>
      <c r="AG163" s="28" t="str">
        <f aca="false">IF($O163="","",IF(OR($AE163="Launched",$AE163="Cancelled"),"",MID(IF($Y163&lt;&gt;"Approved",", Content approval","")&amp;IF(NOT(OR($Z163="Yes",$Z163="N/A")),", Assets","")&amp;IF(NOT(OR($AA163="Yes",$AA163="N/A")),", List","")&amp;IF($AB163="",", Ops decision",IF(AND($AB163="Yes",$AD163&lt;&gt;"Yes"),", Ops",""))&amp;IF($U163="",", Owner","")&amp;IF($K163="",", Segment",""),3,200)))</f>
        <v/>
      </c>
      <c r="AH163" s="29" t="str">
        <f aca="true">IF($O163="","",$O163-TODAY())</f>
        <v/>
      </c>
      <c r="AI163" s="26" t="str">
        <f aca="false">IF($O163="","",$O163-WEEKDAY($O163,3))</f>
        <v/>
      </c>
      <c r="AJ163" s="30" t="str">
        <f aca="false">IF($O163="","",DATE(YEAR($O163),MONTH($O163),1))</f>
        <v/>
      </c>
      <c r="AK163" s="31" t="str">
        <f aca="false">IF(OR($O163="",$K163=""),"",COUNTIFS('Comms Calendar'!$K$5:$K$504,$K163,'Comms Calendar'!$B$5:$B$504,$B163,'Comms Calendar'!$AI$5:$AI$504,$AI163,'Comms Calendar'!$AE$5:$AE$504,"&lt;&gt;Cancelled"))</f>
        <v/>
      </c>
      <c r="AL163" s="27" t="str">
        <f aca="false">IF($AK163="","",IF($AK163&gt;'Rules &amp; Guardrails'!$C$3,"Over cap","OK"))</f>
        <v/>
      </c>
      <c r="AM163" s="27" t="str">
        <f aca="false">IF(OR($O163="",$K163=""),"",IF(COUNTIFS('Comms Calendar'!$K$5:$K$504,$K163,'Comms Calendar'!$B$5:$B$504,$B163,'Comms Calendar'!$O$5:$O$504,$O163,'Comms Calendar'!$AE$5:$AE$504,"&lt;&gt;Cancelled")&gt;1,"Clash",""))</f>
        <v/>
      </c>
      <c r="AN163" s="27" t="str">
        <f aca="false">IF($O163="","",IF(IF($B163="Global",COUNTIF('Rules &amp; Guardrails'!$F$9:$F$60,$O163),COUNTIFS('Rules &amp; Guardrails'!$F$9:$F$60,$O163,'Rules &amp; Guardrails'!$G$9:$G$60,$B163)+COUNTIFS('Rules &amp; Guardrails'!$F$9:$F$60,$O163,'Rules &amp; Guardrails'!$G$9:$G$60,"Global"))&gt;0,"Blackout",""))</f>
        <v/>
      </c>
      <c r="AO163" s="6"/>
      <c r="AP163" s="25"/>
      <c r="AQ163" s="23"/>
      <c r="AR163" s="31" t="str">
        <f aca="false">IF($D163="","",IFERROR(VLOOKUP($D163,'Rules &amp; Guardrails'!$A$9:$D$24,2,0),"Other"))</f>
        <v/>
      </c>
      <c r="AS163" s="31" t="str">
        <f aca="false">IF($O163="","",$O163&amp;"|"&amp;$B163)</f>
        <v/>
      </c>
    </row>
    <row r="164" customFormat="false" ht="15" hidden="false" customHeight="false" outlineLevel="0" collapsed="false">
      <c r="A164" s="23"/>
      <c r="B164" s="23"/>
      <c r="C164" s="23"/>
      <c r="D164" s="23"/>
      <c r="E164" s="23"/>
      <c r="F164" s="23"/>
      <c r="G164" s="6"/>
      <c r="H164" s="6"/>
      <c r="I164" s="23"/>
      <c r="J164" s="23"/>
      <c r="K164" s="23"/>
      <c r="L164" s="6"/>
      <c r="M164" s="6"/>
      <c r="N164" s="24"/>
      <c r="O164" s="25"/>
      <c r="P164" s="23"/>
      <c r="Q164" s="23"/>
      <c r="R164" s="23"/>
      <c r="S164" s="23"/>
      <c r="T164" s="26" t="str">
        <f aca="false">IF(OR($O164="",$D164=""),"",WORKDAY($O164,-IFERROR(VLOOKUP($D164,'Rules &amp; Guardrails'!$A$9:$D$24,3,0),10)))</f>
        <v/>
      </c>
      <c r="U164" s="23"/>
      <c r="V164" s="23"/>
      <c r="W164" s="23"/>
      <c r="X164" s="6"/>
      <c r="Y164" s="23"/>
      <c r="Z164" s="23"/>
      <c r="AA164" s="23"/>
      <c r="AB164" s="23"/>
      <c r="AC164" s="23"/>
      <c r="AD164" s="23"/>
      <c r="AE164" s="23"/>
      <c r="AF164" s="27" t="str">
        <f aca="true">IF($O164="","",IF(OR($AE164="Cancelled",$AE164="On hold",$AE164="Launched"),$AE164,IF(AND($Y164="Approved",OR($Z164="Yes",$Z164="N/A"),OR($AA164="Yes",$AA164="N/A"),OR($AB164="No",$AB164="N/A",AND($AB164="Yes",$AD164="Yes"))),"Ready",IF($O164&lt;TODAY(),"Overdue",IF($O164-TODAY()&lt;='Rules &amp; Guardrails'!$C$5,"At Risk","In Progress")))))</f>
        <v/>
      </c>
      <c r="AG164" s="28" t="str">
        <f aca="false">IF($O164="","",IF(OR($AE164="Launched",$AE164="Cancelled"),"",MID(IF($Y164&lt;&gt;"Approved",", Content approval","")&amp;IF(NOT(OR($Z164="Yes",$Z164="N/A")),", Assets","")&amp;IF(NOT(OR($AA164="Yes",$AA164="N/A")),", List","")&amp;IF($AB164="",", Ops decision",IF(AND($AB164="Yes",$AD164&lt;&gt;"Yes"),", Ops",""))&amp;IF($U164="",", Owner","")&amp;IF($K164="",", Segment",""),3,200)))</f>
        <v/>
      </c>
      <c r="AH164" s="29" t="str">
        <f aca="true">IF($O164="","",$O164-TODAY())</f>
        <v/>
      </c>
      <c r="AI164" s="26" t="str">
        <f aca="false">IF($O164="","",$O164-WEEKDAY($O164,3))</f>
        <v/>
      </c>
      <c r="AJ164" s="30" t="str">
        <f aca="false">IF($O164="","",DATE(YEAR($O164),MONTH($O164),1))</f>
        <v/>
      </c>
      <c r="AK164" s="31" t="str">
        <f aca="false">IF(OR($O164="",$K164=""),"",COUNTIFS('Comms Calendar'!$K$5:$K$504,$K164,'Comms Calendar'!$B$5:$B$504,$B164,'Comms Calendar'!$AI$5:$AI$504,$AI164,'Comms Calendar'!$AE$5:$AE$504,"&lt;&gt;Cancelled"))</f>
        <v/>
      </c>
      <c r="AL164" s="27" t="str">
        <f aca="false">IF($AK164="","",IF($AK164&gt;'Rules &amp; Guardrails'!$C$3,"Over cap","OK"))</f>
        <v/>
      </c>
      <c r="AM164" s="27" t="str">
        <f aca="false">IF(OR($O164="",$K164=""),"",IF(COUNTIFS('Comms Calendar'!$K$5:$K$504,$K164,'Comms Calendar'!$B$5:$B$504,$B164,'Comms Calendar'!$O$5:$O$504,$O164,'Comms Calendar'!$AE$5:$AE$504,"&lt;&gt;Cancelled")&gt;1,"Clash",""))</f>
        <v/>
      </c>
      <c r="AN164" s="27" t="str">
        <f aca="false">IF($O164="","",IF(IF($B164="Global",COUNTIF('Rules &amp; Guardrails'!$F$9:$F$60,$O164),COUNTIFS('Rules &amp; Guardrails'!$F$9:$F$60,$O164,'Rules &amp; Guardrails'!$G$9:$G$60,$B164)+COUNTIFS('Rules &amp; Guardrails'!$F$9:$F$60,$O164,'Rules &amp; Guardrails'!$G$9:$G$60,"Global"))&gt;0,"Blackout",""))</f>
        <v/>
      </c>
      <c r="AO164" s="6"/>
      <c r="AP164" s="25"/>
      <c r="AQ164" s="23"/>
      <c r="AR164" s="31" t="str">
        <f aca="false">IF($D164="","",IFERROR(VLOOKUP($D164,'Rules &amp; Guardrails'!$A$9:$D$24,2,0),"Other"))</f>
        <v/>
      </c>
      <c r="AS164" s="31" t="str">
        <f aca="false">IF($O164="","",$O164&amp;"|"&amp;$B164)</f>
        <v/>
      </c>
    </row>
    <row r="165" customFormat="false" ht="15" hidden="false" customHeight="false" outlineLevel="0" collapsed="false">
      <c r="A165" s="23"/>
      <c r="B165" s="23"/>
      <c r="C165" s="23"/>
      <c r="D165" s="23"/>
      <c r="E165" s="23"/>
      <c r="F165" s="23"/>
      <c r="G165" s="6"/>
      <c r="H165" s="6"/>
      <c r="I165" s="23"/>
      <c r="J165" s="23"/>
      <c r="K165" s="23"/>
      <c r="L165" s="6"/>
      <c r="M165" s="6"/>
      <c r="N165" s="24"/>
      <c r="O165" s="25"/>
      <c r="P165" s="23"/>
      <c r="Q165" s="23"/>
      <c r="R165" s="23"/>
      <c r="S165" s="23"/>
      <c r="T165" s="26" t="str">
        <f aca="false">IF(OR($O165="",$D165=""),"",WORKDAY($O165,-IFERROR(VLOOKUP($D165,'Rules &amp; Guardrails'!$A$9:$D$24,3,0),10)))</f>
        <v/>
      </c>
      <c r="U165" s="23"/>
      <c r="V165" s="23"/>
      <c r="W165" s="23"/>
      <c r="X165" s="6"/>
      <c r="Y165" s="23"/>
      <c r="Z165" s="23"/>
      <c r="AA165" s="23"/>
      <c r="AB165" s="23"/>
      <c r="AC165" s="23"/>
      <c r="AD165" s="23"/>
      <c r="AE165" s="23"/>
      <c r="AF165" s="27" t="str">
        <f aca="true">IF($O165="","",IF(OR($AE165="Cancelled",$AE165="On hold",$AE165="Launched"),$AE165,IF(AND($Y165="Approved",OR($Z165="Yes",$Z165="N/A"),OR($AA165="Yes",$AA165="N/A"),OR($AB165="No",$AB165="N/A",AND($AB165="Yes",$AD165="Yes"))),"Ready",IF($O165&lt;TODAY(),"Overdue",IF($O165-TODAY()&lt;='Rules &amp; Guardrails'!$C$5,"At Risk","In Progress")))))</f>
        <v/>
      </c>
      <c r="AG165" s="28" t="str">
        <f aca="false">IF($O165="","",IF(OR($AE165="Launched",$AE165="Cancelled"),"",MID(IF($Y165&lt;&gt;"Approved",", Content approval","")&amp;IF(NOT(OR($Z165="Yes",$Z165="N/A")),", Assets","")&amp;IF(NOT(OR($AA165="Yes",$AA165="N/A")),", List","")&amp;IF($AB165="",", Ops decision",IF(AND($AB165="Yes",$AD165&lt;&gt;"Yes"),", Ops",""))&amp;IF($U165="",", Owner","")&amp;IF($K165="",", Segment",""),3,200)))</f>
        <v/>
      </c>
      <c r="AH165" s="29" t="str">
        <f aca="true">IF($O165="","",$O165-TODAY())</f>
        <v/>
      </c>
      <c r="AI165" s="26" t="str">
        <f aca="false">IF($O165="","",$O165-WEEKDAY($O165,3))</f>
        <v/>
      </c>
      <c r="AJ165" s="30" t="str">
        <f aca="false">IF($O165="","",DATE(YEAR($O165),MONTH($O165),1))</f>
        <v/>
      </c>
      <c r="AK165" s="31" t="str">
        <f aca="false">IF(OR($O165="",$K165=""),"",COUNTIFS('Comms Calendar'!$K$5:$K$504,$K165,'Comms Calendar'!$B$5:$B$504,$B165,'Comms Calendar'!$AI$5:$AI$504,$AI165,'Comms Calendar'!$AE$5:$AE$504,"&lt;&gt;Cancelled"))</f>
        <v/>
      </c>
      <c r="AL165" s="27" t="str">
        <f aca="false">IF($AK165="","",IF($AK165&gt;'Rules &amp; Guardrails'!$C$3,"Over cap","OK"))</f>
        <v/>
      </c>
      <c r="AM165" s="27" t="str">
        <f aca="false">IF(OR($O165="",$K165=""),"",IF(COUNTIFS('Comms Calendar'!$K$5:$K$504,$K165,'Comms Calendar'!$B$5:$B$504,$B165,'Comms Calendar'!$O$5:$O$504,$O165,'Comms Calendar'!$AE$5:$AE$504,"&lt;&gt;Cancelled")&gt;1,"Clash",""))</f>
        <v/>
      </c>
      <c r="AN165" s="27" t="str">
        <f aca="false">IF($O165="","",IF(IF($B165="Global",COUNTIF('Rules &amp; Guardrails'!$F$9:$F$60,$O165),COUNTIFS('Rules &amp; Guardrails'!$F$9:$F$60,$O165,'Rules &amp; Guardrails'!$G$9:$G$60,$B165)+COUNTIFS('Rules &amp; Guardrails'!$F$9:$F$60,$O165,'Rules &amp; Guardrails'!$G$9:$G$60,"Global"))&gt;0,"Blackout",""))</f>
        <v/>
      </c>
      <c r="AO165" s="6"/>
      <c r="AP165" s="25"/>
      <c r="AQ165" s="23"/>
      <c r="AR165" s="31" t="str">
        <f aca="false">IF($D165="","",IFERROR(VLOOKUP($D165,'Rules &amp; Guardrails'!$A$9:$D$24,2,0),"Other"))</f>
        <v/>
      </c>
      <c r="AS165" s="31" t="str">
        <f aca="false">IF($O165="","",$O165&amp;"|"&amp;$B165)</f>
        <v/>
      </c>
    </row>
    <row r="166" customFormat="false" ht="15" hidden="false" customHeight="false" outlineLevel="0" collapsed="false">
      <c r="A166" s="23"/>
      <c r="B166" s="23"/>
      <c r="C166" s="23"/>
      <c r="D166" s="23"/>
      <c r="E166" s="23"/>
      <c r="F166" s="23"/>
      <c r="G166" s="6"/>
      <c r="H166" s="6"/>
      <c r="I166" s="23"/>
      <c r="J166" s="23"/>
      <c r="K166" s="23"/>
      <c r="L166" s="6"/>
      <c r="M166" s="6"/>
      <c r="N166" s="24"/>
      <c r="O166" s="25"/>
      <c r="P166" s="23"/>
      <c r="Q166" s="23"/>
      <c r="R166" s="23"/>
      <c r="S166" s="23"/>
      <c r="T166" s="26" t="str">
        <f aca="false">IF(OR($O166="",$D166=""),"",WORKDAY($O166,-IFERROR(VLOOKUP($D166,'Rules &amp; Guardrails'!$A$9:$D$24,3,0),10)))</f>
        <v/>
      </c>
      <c r="U166" s="23"/>
      <c r="V166" s="23"/>
      <c r="W166" s="23"/>
      <c r="X166" s="6"/>
      <c r="Y166" s="23"/>
      <c r="Z166" s="23"/>
      <c r="AA166" s="23"/>
      <c r="AB166" s="23"/>
      <c r="AC166" s="23"/>
      <c r="AD166" s="23"/>
      <c r="AE166" s="23"/>
      <c r="AF166" s="27" t="str">
        <f aca="true">IF($O166="","",IF(OR($AE166="Cancelled",$AE166="On hold",$AE166="Launched"),$AE166,IF(AND($Y166="Approved",OR($Z166="Yes",$Z166="N/A"),OR($AA166="Yes",$AA166="N/A"),OR($AB166="No",$AB166="N/A",AND($AB166="Yes",$AD166="Yes"))),"Ready",IF($O166&lt;TODAY(),"Overdue",IF($O166-TODAY()&lt;='Rules &amp; Guardrails'!$C$5,"At Risk","In Progress")))))</f>
        <v/>
      </c>
      <c r="AG166" s="28" t="str">
        <f aca="false">IF($O166="","",IF(OR($AE166="Launched",$AE166="Cancelled"),"",MID(IF($Y166&lt;&gt;"Approved",", Content approval","")&amp;IF(NOT(OR($Z166="Yes",$Z166="N/A")),", Assets","")&amp;IF(NOT(OR($AA166="Yes",$AA166="N/A")),", List","")&amp;IF($AB166="",", Ops decision",IF(AND($AB166="Yes",$AD166&lt;&gt;"Yes"),", Ops",""))&amp;IF($U166="",", Owner","")&amp;IF($K166="",", Segment",""),3,200)))</f>
        <v/>
      </c>
      <c r="AH166" s="29" t="str">
        <f aca="true">IF($O166="","",$O166-TODAY())</f>
        <v/>
      </c>
      <c r="AI166" s="26" t="str">
        <f aca="false">IF($O166="","",$O166-WEEKDAY($O166,3))</f>
        <v/>
      </c>
      <c r="AJ166" s="30" t="str">
        <f aca="false">IF($O166="","",DATE(YEAR($O166),MONTH($O166),1))</f>
        <v/>
      </c>
      <c r="AK166" s="31" t="str">
        <f aca="false">IF(OR($O166="",$K166=""),"",COUNTIFS('Comms Calendar'!$K$5:$K$504,$K166,'Comms Calendar'!$B$5:$B$504,$B166,'Comms Calendar'!$AI$5:$AI$504,$AI166,'Comms Calendar'!$AE$5:$AE$504,"&lt;&gt;Cancelled"))</f>
        <v/>
      </c>
      <c r="AL166" s="27" t="str">
        <f aca="false">IF($AK166="","",IF($AK166&gt;'Rules &amp; Guardrails'!$C$3,"Over cap","OK"))</f>
        <v/>
      </c>
      <c r="AM166" s="27" t="str">
        <f aca="false">IF(OR($O166="",$K166=""),"",IF(COUNTIFS('Comms Calendar'!$K$5:$K$504,$K166,'Comms Calendar'!$B$5:$B$504,$B166,'Comms Calendar'!$O$5:$O$504,$O166,'Comms Calendar'!$AE$5:$AE$504,"&lt;&gt;Cancelled")&gt;1,"Clash",""))</f>
        <v/>
      </c>
      <c r="AN166" s="27" t="str">
        <f aca="false">IF($O166="","",IF(IF($B166="Global",COUNTIF('Rules &amp; Guardrails'!$F$9:$F$60,$O166),COUNTIFS('Rules &amp; Guardrails'!$F$9:$F$60,$O166,'Rules &amp; Guardrails'!$G$9:$G$60,$B166)+COUNTIFS('Rules &amp; Guardrails'!$F$9:$F$60,$O166,'Rules &amp; Guardrails'!$G$9:$G$60,"Global"))&gt;0,"Blackout",""))</f>
        <v/>
      </c>
      <c r="AO166" s="6"/>
      <c r="AP166" s="25"/>
      <c r="AQ166" s="23"/>
      <c r="AR166" s="31" t="str">
        <f aca="false">IF($D166="","",IFERROR(VLOOKUP($D166,'Rules &amp; Guardrails'!$A$9:$D$24,2,0),"Other"))</f>
        <v/>
      </c>
      <c r="AS166" s="31" t="str">
        <f aca="false">IF($O166="","",$O166&amp;"|"&amp;$B166)</f>
        <v/>
      </c>
    </row>
    <row r="167" customFormat="false" ht="15" hidden="false" customHeight="false" outlineLevel="0" collapsed="false">
      <c r="A167" s="23"/>
      <c r="B167" s="23"/>
      <c r="C167" s="23"/>
      <c r="D167" s="23"/>
      <c r="E167" s="23"/>
      <c r="F167" s="23"/>
      <c r="G167" s="6"/>
      <c r="H167" s="6"/>
      <c r="I167" s="23"/>
      <c r="J167" s="23"/>
      <c r="K167" s="23"/>
      <c r="L167" s="6"/>
      <c r="M167" s="6"/>
      <c r="N167" s="24"/>
      <c r="O167" s="25"/>
      <c r="P167" s="23"/>
      <c r="Q167" s="23"/>
      <c r="R167" s="23"/>
      <c r="S167" s="23"/>
      <c r="T167" s="26" t="str">
        <f aca="false">IF(OR($O167="",$D167=""),"",WORKDAY($O167,-IFERROR(VLOOKUP($D167,'Rules &amp; Guardrails'!$A$9:$D$24,3,0),10)))</f>
        <v/>
      </c>
      <c r="U167" s="23"/>
      <c r="V167" s="23"/>
      <c r="W167" s="23"/>
      <c r="X167" s="6"/>
      <c r="Y167" s="23"/>
      <c r="Z167" s="23"/>
      <c r="AA167" s="23"/>
      <c r="AB167" s="23"/>
      <c r="AC167" s="23"/>
      <c r="AD167" s="23"/>
      <c r="AE167" s="23"/>
      <c r="AF167" s="27" t="str">
        <f aca="true">IF($O167="","",IF(OR($AE167="Cancelled",$AE167="On hold",$AE167="Launched"),$AE167,IF(AND($Y167="Approved",OR($Z167="Yes",$Z167="N/A"),OR($AA167="Yes",$AA167="N/A"),OR($AB167="No",$AB167="N/A",AND($AB167="Yes",$AD167="Yes"))),"Ready",IF($O167&lt;TODAY(),"Overdue",IF($O167-TODAY()&lt;='Rules &amp; Guardrails'!$C$5,"At Risk","In Progress")))))</f>
        <v/>
      </c>
      <c r="AG167" s="28" t="str">
        <f aca="false">IF($O167="","",IF(OR($AE167="Launched",$AE167="Cancelled"),"",MID(IF($Y167&lt;&gt;"Approved",", Content approval","")&amp;IF(NOT(OR($Z167="Yes",$Z167="N/A")),", Assets","")&amp;IF(NOT(OR($AA167="Yes",$AA167="N/A")),", List","")&amp;IF($AB167="",", Ops decision",IF(AND($AB167="Yes",$AD167&lt;&gt;"Yes"),", Ops",""))&amp;IF($U167="",", Owner","")&amp;IF($K167="",", Segment",""),3,200)))</f>
        <v/>
      </c>
      <c r="AH167" s="29" t="str">
        <f aca="true">IF($O167="","",$O167-TODAY())</f>
        <v/>
      </c>
      <c r="AI167" s="26" t="str">
        <f aca="false">IF($O167="","",$O167-WEEKDAY($O167,3))</f>
        <v/>
      </c>
      <c r="AJ167" s="30" t="str">
        <f aca="false">IF($O167="","",DATE(YEAR($O167),MONTH($O167),1))</f>
        <v/>
      </c>
      <c r="AK167" s="31" t="str">
        <f aca="false">IF(OR($O167="",$K167=""),"",COUNTIFS('Comms Calendar'!$K$5:$K$504,$K167,'Comms Calendar'!$B$5:$B$504,$B167,'Comms Calendar'!$AI$5:$AI$504,$AI167,'Comms Calendar'!$AE$5:$AE$504,"&lt;&gt;Cancelled"))</f>
        <v/>
      </c>
      <c r="AL167" s="27" t="str">
        <f aca="false">IF($AK167="","",IF($AK167&gt;'Rules &amp; Guardrails'!$C$3,"Over cap","OK"))</f>
        <v/>
      </c>
      <c r="AM167" s="27" t="str">
        <f aca="false">IF(OR($O167="",$K167=""),"",IF(COUNTIFS('Comms Calendar'!$K$5:$K$504,$K167,'Comms Calendar'!$B$5:$B$504,$B167,'Comms Calendar'!$O$5:$O$504,$O167,'Comms Calendar'!$AE$5:$AE$504,"&lt;&gt;Cancelled")&gt;1,"Clash",""))</f>
        <v/>
      </c>
      <c r="AN167" s="27" t="str">
        <f aca="false">IF($O167="","",IF(IF($B167="Global",COUNTIF('Rules &amp; Guardrails'!$F$9:$F$60,$O167),COUNTIFS('Rules &amp; Guardrails'!$F$9:$F$60,$O167,'Rules &amp; Guardrails'!$G$9:$G$60,$B167)+COUNTIFS('Rules &amp; Guardrails'!$F$9:$F$60,$O167,'Rules &amp; Guardrails'!$G$9:$G$60,"Global"))&gt;0,"Blackout",""))</f>
        <v/>
      </c>
      <c r="AO167" s="6"/>
      <c r="AP167" s="25"/>
      <c r="AQ167" s="23"/>
      <c r="AR167" s="31" t="str">
        <f aca="false">IF($D167="","",IFERROR(VLOOKUP($D167,'Rules &amp; Guardrails'!$A$9:$D$24,2,0),"Other"))</f>
        <v/>
      </c>
      <c r="AS167" s="31" t="str">
        <f aca="false">IF($O167="","",$O167&amp;"|"&amp;$B167)</f>
        <v/>
      </c>
    </row>
    <row r="168" customFormat="false" ht="15" hidden="false" customHeight="false" outlineLevel="0" collapsed="false">
      <c r="A168" s="23"/>
      <c r="B168" s="23"/>
      <c r="C168" s="23"/>
      <c r="D168" s="23"/>
      <c r="E168" s="23"/>
      <c r="F168" s="23"/>
      <c r="G168" s="6"/>
      <c r="H168" s="6"/>
      <c r="I168" s="23"/>
      <c r="J168" s="23"/>
      <c r="K168" s="23"/>
      <c r="L168" s="6"/>
      <c r="M168" s="6"/>
      <c r="N168" s="24"/>
      <c r="O168" s="25"/>
      <c r="P168" s="23"/>
      <c r="Q168" s="23"/>
      <c r="R168" s="23"/>
      <c r="S168" s="23"/>
      <c r="T168" s="26" t="str">
        <f aca="false">IF(OR($O168="",$D168=""),"",WORKDAY($O168,-IFERROR(VLOOKUP($D168,'Rules &amp; Guardrails'!$A$9:$D$24,3,0),10)))</f>
        <v/>
      </c>
      <c r="U168" s="23"/>
      <c r="V168" s="23"/>
      <c r="W168" s="23"/>
      <c r="X168" s="6"/>
      <c r="Y168" s="23"/>
      <c r="Z168" s="23"/>
      <c r="AA168" s="23"/>
      <c r="AB168" s="23"/>
      <c r="AC168" s="23"/>
      <c r="AD168" s="23"/>
      <c r="AE168" s="23"/>
      <c r="AF168" s="27" t="str">
        <f aca="true">IF($O168="","",IF(OR($AE168="Cancelled",$AE168="On hold",$AE168="Launched"),$AE168,IF(AND($Y168="Approved",OR($Z168="Yes",$Z168="N/A"),OR($AA168="Yes",$AA168="N/A"),OR($AB168="No",$AB168="N/A",AND($AB168="Yes",$AD168="Yes"))),"Ready",IF($O168&lt;TODAY(),"Overdue",IF($O168-TODAY()&lt;='Rules &amp; Guardrails'!$C$5,"At Risk","In Progress")))))</f>
        <v/>
      </c>
      <c r="AG168" s="28" t="str">
        <f aca="false">IF($O168="","",IF(OR($AE168="Launched",$AE168="Cancelled"),"",MID(IF($Y168&lt;&gt;"Approved",", Content approval","")&amp;IF(NOT(OR($Z168="Yes",$Z168="N/A")),", Assets","")&amp;IF(NOT(OR($AA168="Yes",$AA168="N/A")),", List","")&amp;IF($AB168="",", Ops decision",IF(AND($AB168="Yes",$AD168&lt;&gt;"Yes"),", Ops",""))&amp;IF($U168="",", Owner","")&amp;IF($K168="",", Segment",""),3,200)))</f>
        <v/>
      </c>
      <c r="AH168" s="29" t="str">
        <f aca="true">IF($O168="","",$O168-TODAY())</f>
        <v/>
      </c>
      <c r="AI168" s="26" t="str">
        <f aca="false">IF($O168="","",$O168-WEEKDAY($O168,3))</f>
        <v/>
      </c>
      <c r="AJ168" s="30" t="str">
        <f aca="false">IF($O168="","",DATE(YEAR($O168),MONTH($O168),1))</f>
        <v/>
      </c>
      <c r="AK168" s="31" t="str">
        <f aca="false">IF(OR($O168="",$K168=""),"",COUNTIFS('Comms Calendar'!$K$5:$K$504,$K168,'Comms Calendar'!$B$5:$B$504,$B168,'Comms Calendar'!$AI$5:$AI$504,$AI168,'Comms Calendar'!$AE$5:$AE$504,"&lt;&gt;Cancelled"))</f>
        <v/>
      </c>
      <c r="AL168" s="27" t="str">
        <f aca="false">IF($AK168="","",IF($AK168&gt;'Rules &amp; Guardrails'!$C$3,"Over cap","OK"))</f>
        <v/>
      </c>
      <c r="AM168" s="27" t="str">
        <f aca="false">IF(OR($O168="",$K168=""),"",IF(COUNTIFS('Comms Calendar'!$K$5:$K$504,$K168,'Comms Calendar'!$B$5:$B$504,$B168,'Comms Calendar'!$O$5:$O$504,$O168,'Comms Calendar'!$AE$5:$AE$504,"&lt;&gt;Cancelled")&gt;1,"Clash",""))</f>
        <v/>
      </c>
      <c r="AN168" s="27" t="str">
        <f aca="false">IF($O168="","",IF(IF($B168="Global",COUNTIF('Rules &amp; Guardrails'!$F$9:$F$60,$O168),COUNTIFS('Rules &amp; Guardrails'!$F$9:$F$60,$O168,'Rules &amp; Guardrails'!$G$9:$G$60,$B168)+COUNTIFS('Rules &amp; Guardrails'!$F$9:$F$60,$O168,'Rules &amp; Guardrails'!$G$9:$G$60,"Global"))&gt;0,"Blackout",""))</f>
        <v/>
      </c>
      <c r="AO168" s="6"/>
      <c r="AP168" s="25"/>
      <c r="AQ168" s="23"/>
      <c r="AR168" s="31" t="str">
        <f aca="false">IF($D168="","",IFERROR(VLOOKUP($D168,'Rules &amp; Guardrails'!$A$9:$D$24,2,0),"Other"))</f>
        <v/>
      </c>
      <c r="AS168" s="31" t="str">
        <f aca="false">IF($O168="","",$O168&amp;"|"&amp;$B168)</f>
        <v/>
      </c>
    </row>
    <row r="169" customFormat="false" ht="15" hidden="false" customHeight="false" outlineLevel="0" collapsed="false">
      <c r="A169" s="23"/>
      <c r="B169" s="23"/>
      <c r="C169" s="23"/>
      <c r="D169" s="23"/>
      <c r="E169" s="23"/>
      <c r="F169" s="23"/>
      <c r="G169" s="6"/>
      <c r="H169" s="6"/>
      <c r="I169" s="23"/>
      <c r="J169" s="23"/>
      <c r="K169" s="23"/>
      <c r="L169" s="6"/>
      <c r="M169" s="6"/>
      <c r="N169" s="24"/>
      <c r="O169" s="25"/>
      <c r="P169" s="23"/>
      <c r="Q169" s="23"/>
      <c r="R169" s="23"/>
      <c r="S169" s="23"/>
      <c r="T169" s="26" t="str">
        <f aca="false">IF(OR($O169="",$D169=""),"",WORKDAY($O169,-IFERROR(VLOOKUP($D169,'Rules &amp; Guardrails'!$A$9:$D$24,3,0),10)))</f>
        <v/>
      </c>
      <c r="U169" s="23"/>
      <c r="V169" s="23"/>
      <c r="W169" s="23"/>
      <c r="X169" s="6"/>
      <c r="Y169" s="23"/>
      <c r="Z169" s="23"/>
      <c r="AA169" s="23"/>
      <c r="AB169" s="23"/>
      <c r="AC169" s="23"/>
      <c r="AD169" s="23"/>
      <c r="AE169" s="23"/>
      <c r="AF169" s="27" t="str">
        <f aca="true">IF($O169="","",IF(OR($AE169="Cancelled",$AE169="On hold",$AE169="Launched"),$AE169,IF(AND($Y169="Approved",OR($Z169="Yes",$Z169="N/A"),OR($AA169="Yes",$AA169="N/A"),OR($AB169="No",$AB169="N/A",AND($AB169="Yes",$AD169="Yes"))),"Ready",IF($O169&lt;TODAY(),"Overdue",IF($O169-TODAY()&lt;='Rules &amp; Guardrails'!$C$5,"At Risk","In Progress")))))</f>
        <v/>
      </c>
      <c r="AG169" s="28" t="str">
        <f aca="false">IF($O169="","",IF(OR($AE169="Launched",$AE169="Cancelled"),"",MID(IF($Y169&lt;&gt;"Approved",", Content approval","")&amp;IF(NOT(OR($Z169="Yes",$Z169="N/A")),", Assets","")&amp;IF(NOT(OR($AA169="Yes",$AA169="N/A")),", List","")&amp;IF($AB169="",", Ops decision",IF(AND($AB169="Yes",$AD169&lt;&gt;"Yes"),", Ops",""))&amp;IF($U169="",", Owner","")&amp;IF($K169="",", Segment",""),3,200)))</f>
        <v/>
      </c>
      <c r="AH169" s="29" t="str">
        <f aca="true">IF($O169="","",$O169-TODAY())</f>
        <v/>
      </c>
      <c r="AI169" s="26" t="str">
        <f aca="false">IF($O169="","",$O169-WEEKDAY($O169,3))</f>
        <v/>
      </c>
      <c r="AJ169" s="30" t="str">
        <f aca="false">IF($O169="","",DATE(YEAR($O169),MONTH($O169),1))</f>
        <v/>
      </c>
      <c r="AK169" s="31" t="str">
        <f aca="false">IF(OR($O169="",$K169=""),"",COUNTIFS('Comms Calendar'!$K$5:$K$504,$K169,'Comms Calendar'!$B$5:$B$504,$B169,'Comms Calendar'!$AI$5:$AI$504,$AI169,'Comms Calendar'!$AE$5:$AE$504,"&lt;&gt;Cancelled"))</f>
        <v/>
      </c>
      <c r="AL169" s="27" t="str">
        <f aca="false">IF($AK169="","",IF($AK169&gt;'Rules &amp; Guardrails'!$C$3,"Over cap","OK"))</f>
        <v/>
      </c>
      <c r="AM169" s="27" t="str">
        <f aca="false">IF(OR($O169="",$K169=""),"",IF(COUNTIFS('Comms Calendar'!$K$5:$K$504,$K169,'Comms Calendar'!$B$5:$B$504,$B169,'Comms Calendar'!$O$5:$O$504,$O169,'Comms Calendar'!$AE$5:$AE$504,"&lt;&gt;Cancelled")&gt;1,"Clash",""))</f>
        <v/>
      </c>
      <c r="AN169" s="27" t="str">
        <f aca="false">IF($O169="","",IF(IF($B169="Global",COUNTIF('Rules &amp; Guardrails'!$F$9:$F$60,$O169),COUNTIFS('Rules &amp; Guardrails'!$F$9:$F$60,$O169,'Rules &amp; Guardrails'!$G$9:$G$60,$B169)+COUNTIFS('Rules &amp; Guardrails'!$F$9:$F$60,$O169,'Rules &amp; Guardrails'!$G$9:$G$60,"Global"))&gt;0,"Blackout",""))</f>
        <v/>
      </c>
      <c r="AO169" s="6"/>
      <c r="AP169" s="25"/>
      <c r="AQ169" s="23"/>
      <c r="AR169" s="31" t="str">
        <f aca="false">IF($D169="","",IFERROR(VLOOKUP($D169,'Rules &amp; Guardrails'!$A$9:$D$24,2,0),"Other"))</f>
        <v/>
      </c>
      <c r="AS169" s="31" t="str">
        <f aca="false">IF($O169="","",$O169&amp;"|"&amp;$B169)</f>
        <v/>
      </c>
    </row>
    <row r="170" customFormat="false" ht="15" hidden="false" customHeight="false" outlineLevel="0" collapsed="false">
      <c r="A170" s="23"/>
      <c r="B170" s="23"/>
      <c r="C170" s="23"/>
      <c r="D170" s="23"/>
      <c r="E170" s="23"/>
      <c r="F170" s="23"/>
      <c r="G170" s="6"/>
      <c r="H170" s="6"/>
      <c r="I170" s="23"/>
      <c r="J170" s="23"/>
      <c r="K170" s="23"/>
      <c r="L170" s="6"/>
      <c r="M170" s="6"/>
      <c r="N170" s="24"/>
      <c r="O170" s="25"/>
      <c r="P170" s="23"/>
      <c r="Q170" s="23"/>
      <c r="R170" s="23"/>
      <c r="S170" s="23"/>
      <c r="T170" s="26" t="str">
        <f aca="false">IF(OR($O170="",$D170=""),"",WORKDAY($O170,-IFERROR(VLOOKUP($D170,'Rules &amp; Guardrails'!$A$9:$D$24,3,0),10)))</f>
        <v/>
      </c>
      <c r="U170" s="23"/>
      <c r="V170" s="23"/>
      <c r="W170" s="23"/>
      <c r="X170" s="6"/>
      <c r="Y170" s="23"/>
      <c r="Z170" s="23"/>
      <c r="AA170" s="23"/>
      <c r="AB170" s="23"/>
      <c r="AC170" s="23"/>
      <c r="AD170" s="23"/>
      <c r="AE170" s="23"/>
      <c r="AF170" s="27" t="str">
        <f aca="true">IF($O170="","",IF(OR($AE170="Cancelled",$AE170="On hold",$AE170="Launched"),$AE170,IF(AND($Y170="Approved",OR($Z170="Yes",$Z170="N/A"),OR($AA170="Yes",$AA170="N/A"),OR($AB170="No",$AB170="N/A",AND($AB170="Yes",$AD170="Yes"))),"Ready",IF($O170&lt;TODAY(),"Overdue",IF($O170-TODAY()&lt;='Rules &amp; Guardrails'!$C$5,"At Risk","In Progress")))))</f>
        <v/>
      </c>
      <c r="AG170" s="28" t="str">
        <f aca="false">IF($O170="","",IF(OR($AE170="Launched",$AE170="Cancelled"),"",MID(IF($Y170&lt;&gt;"Approved",", Content approval","")&amp;IF(NOT(OR($Z170="Yes",$Z170="N/A")),", Assets","")&amp;IF(NOT(OR($AA170="Yes",$AA170="N/A")),", List","")&amp;IF($AB170="",", Ops decision",IF(AND($AB170="Yes",$AD170&lt;&gt;"Yes"),", Ops",""))&amp;IF($U170="",", Owner","")&amp;IF($K170="",", Segment",""),3,200)))</f>
        <v/>
      </c>
      <c r="AH170" s="29" t="str">
        <f aca="true">IF($O170="","",$O170-TODAY())</f>
        <v/>
      </c>
      <c r="AI170" s="26" t="str">
        <f aca="false">IF($O170="","",$O170-WEEKDAY($O170,3))</f>
        <v/>
      </c>
      <c r="AJ170" s="30" t="str">
        <f aca="false">IF($O170="","",DATE(YEAR($O170),MONTH($O170),1))</f>
        <v/>
      </c>
      <c r="AK170" s="31" t="str">
        <f aca="false">IF(OR($O170="",$K170=""),"",COUNTIFS('Comms Calendar'!$K$5:$K$504,$K170,'Comms Calendar'!$B$5:$B$504,$B170,'Comms Calendar'!$AI$5:$AI$504,$AI170,'Comms Calendar'!$AE$5:$AE$504,"&lt;&gt;Cancelled"))</f>
        <v/>
      </c>
      <c r="AL170" s="27" t="str">
        <f aca="false">IF($AK170="","",IF($AK170&gt;'Rules &amp; Guardrails'!$C$3,"Over cap","OK"))</f>
        <v/>
      </c>
      <c r="AM170" s="27" t="str">
        <f aca="false">IF(OR($O170="",$K170=""),"",IF(COUNTIFS('Comms Calendar'!$K$5:$K$504,$K170,'Comms Calendar'!$B$5:$B$504,$B170,'Comms Calendar'!$O$5:$O$504,$O170,'Comms Calendar'!$AE$5:$AE$504,"&lt;&gt;Cancelled")&gt;1,"Clash",""))</f>
        <v/>
      </c>
      <c r="AN170" s="27" t="str">
        <f aca="false">IF($O170="","",IF(IF($B170="Global",COUNTIF('Rules &amp; Guardrails'!$F$9:$F$60,$O170),COUNTIFS('Rules &amp; Guardrails'!$F$9:$F$60,$O170,'Rules &amp; Guardrails'!$G$9:$G$60,$B170)+COUNTIFS('Rules &amp; Guardrails'!$F$9:$F$60,$O170,'Rules &amp; Guardrails'!$G$9:$G$60,"Global"))&gt;0,"Blackout",""))</f>
        <v/>
      </c>
      <c r="AO170" s="6"/>
      <c r="AP170" s="25"/>
      <c r="AQ170" s="23"/>
      <c r="AR170" s="31" t="str">
        <f aca="false">IF($D170="","",IFERROR(VLOOKUP($D170,'Rules &amp; Guardrails'!$A$9:$D$24,2,0),"Other"))</f>
        <v/>
      </c>
      <c r="AS170" s="31" t="str">
        <f aca="false">IF($O170="","",$O170&amp;"|"&amp;$B170)</f>
        <v/>
      </c>
    </row>
    <row r="171" customFormat="false" ht="15" hidden="false" customHeight="false" outlineLevel="0" collapsed="false">
      <c r="A171" s="23"/>
      <c r="B171" s="23"/>
      <c r="C171" s="23"/>
      <c r="D171" s="23"/>
      <c r="E171" s="23"/>
      <c r="F171" s="23"/>
      <c r="G171" s="6"/>
      <c r="H171" s="6"/>
      <c r="I171" s="23"/>
      <c r="J171" s="23"/>
      <c r="K171" s="23"/>
      <c r="L171" s="6"/>
      <c r="M171" s="6"/>
      <c r="N171" s="24"/>
      <c r="O171" s="25"/>
      <c r="P171" s="23"/>
      <c r="Q171" s="23"/>
      <c r="R171" s="23"/>
      <c r="S171" s="23"/>
      <c r="T171" s="26" t="str">
        <f aca="false">IF(OR($O171="",$D171=""),"",WORKDAY($O171,-IFERROR(VLOOKUP($D171,'Rules &amp; Guardrails'!$A$9:$D$24,3,0),10)))</f>
        <v/>
      </c>
      <c r="U171" s="23"/>
      <c r="V171" s="23"/>
      <c r="W171" s="23"/>
      <c r="X171" s="6"/>
      <c r="Y171" s="23"/>
      <c r="Z171" s="23"/>
      <c r="AA171" s="23"/>
      <c r="AB171" s="23"/>
      <c r="AC171" s="23"/>
      <c r="AD171" s="23"/>
      <c r="AE171" s="23"/>
      <c r="AF171" s="27" t="str">
        <f aca="true">IF($O171="","",IF(OR($AE171="Cancelled",$AE171="On hold",$AE171="Launched"),$AE171,IF(AND($Y171="Approved",OR($Z171="Yes",$Z171="N/A"),OR($AA171="Yes",$AA171="N/A"),OR($AB171="No",$AB171="N/A",AND($AB171="Yes",$AD171="Yes"))),"Ready",IF($O171&lt;TODAY(),"Overdue",IF($O171-TODAY()&lt;='Rules &amp; Guardrails'!$C$5,"At Risk","In Progress")))))</f>
        <v/>
      </c>
      <c r="AG171" s="28" t="str">
        <f aca="false">IF($O171="","",IF(OR($AE171="Launched",$AE171="Cancelled"),"",MID(IF($Y171&lt;&gt;"Approved",", Content approval","")&amp;IF(NOT(OR($Z171="Yes",$Z171="N/A")),", Assets","")&amp;IF(NOT(OR($AA171="Yes",$AA171="N/A")),", List","")&amp;IF($AB171="",", Ops decision",IF(AND($AB171="Yes",$AD171&lt;&gt;"Yes"),", Ops",""))&amp;IF($U171="",", Owner","")&amp;IF($K171="",", Segment",""),3,200)))</f>
        <v/>
      </c>
      <c r="AH171" s="29" t="str">
        <f aca="true">IF($O171="","",$O171-TODAY())</f>
        <v/>
      </c>
      <c r="AI171" s="26" t="str">
        <f aca="false">IF($O171="","",$O171-WEEKDAY($O171,3))</f>
        <v/>
      </c>
      <c r="AJ171" s="30" t="str">
        <f aca="false">IF($O171="","",DATE(YEAR($O171),MONTH($O171),1))</f>
        <v/>
      </c>
      <c r="AK171" s="31" t="str">
        <f aca="false">IF(OR($O171="",$K171=""),"",COUNTIFS('Comms Calendar'!$K$5:$K$504,$K171,'Comms Calendar'!$B$5:$B$504,$B171,'Comms Calendar'!$AI$5:$AI$504,$AI171,'Comms Calendar'!$AE$5:$AE$504,"&lt;&gt;Cancelled"))</f>
        <v/>
      </c>
      <c r="AL171" s="27" t="str">
        <f aca="false">IF($AK171="","",IF($AK171&gt;'Rules &amp; Guardrails'!$C$3,"Over cap","OK"))</f>
        <v/>
      </c>
      <c r="AM171" s="27" t="str">
        <f aca="false">IF(OR($O171="",$K171=""),"",IF(COUNTIFS('Comms Calendar'!$K$5:$K$504,$K171,'Comms Calendar'!$B$5:$B$504,$B171,'Comms Calendar'!$O$5:$O$504,$O171,'Comms Calendar'!$AE$5:$AE$504,"&lt;&gt;Cancelled")&gt;1,"Clash",""))</f>
        <v/>
      </c>
      <c r="AN171" s="27" t="str">
        <f aca="false">IF($O171="","",IF(IF($B171="Global",COUNTIF('Rules &amp; Guardrails'!$F$9:$F$60,$O171),COUNTIFS('Rules &amp; Guardrails'!$F$9:$F$60,$O171,'Rules &amp; Guardrails'!$G$9:$G$60,$B171)+COUNTIFS('Rules &amp; Guardrails'!$F$9:$F$60,$O171,'Rules &amp; Guardrails'!$G$9:$G$60,"Global"))&gt;0,"Blackout",""))</f>
        <v/>
      </c>
      <c r="AO171" s="6"/>
      <c r="AP171" s="25"/>
      <c r="AQ171" s="23"/>
      <c r="AR171" s="31" t="str">
        <f aca="false">IF($D171="","",IFERROR(VLOOKUP($D171,'Rules &amp; Guardrails'!$A$9:$D$24,2,0),"Other"))</f>
        <v/>
      </c>
      <c r="AS171" s="31" t="str">
        <f aca="false">IF($O171="","",$O171&amp;"|"&amp;$B171)</f>
        <v/>
      </c>
    </row>
    <row r="172" customFormat="false" ht="15" hidden="false" customHeight="false" outlineLevel="0" collapsed="false">
      <c r="A172" s="23"/>
      <c r="B172" s="23"/>
      <c r="C172" s="23"/>
      <c r="D172" s="23"/>
      <c r="E172" s="23"/>
      <c r="F172" s="23"/>
      <c r="G172" s="6"/>
      <c r="H172" s="6"/>
      <c r="I172" s="23"/>
      <c r="J172" s="23"/>
      <c r="K172" s="23"/>
      <c r="L172" s="6"/>
      <c r="M172" s="6"/>
      <c r="N172" s="24"/>
      <c r="O172" s="25"/>
      <c r="P172" s="23"/>
      <c r="Q172" s="23"/>
      <c r="R172" s="23"/>
      <c r="S172" s="23"/>
      <c r="T172" s="26" t="str">
        <f aca="false">IF(OR($O172="",$D172=""),"",WORKDAY($O172,-IFERROR(VLOOKUP($D172,'Rules &amp; Guardrails'!$A$9:$D$24,3,0),10)))</f>
        <v/>
      </c>
      <c r="U172" s="23"/>
      <c r="V172" s="23"/>
      <c r="W172" s="23"/>
      <c r="X172" s="6"/>
      <c r="Y172" s="23"/>
      <c r="Z172" s="23"/>
      <c r="AA172" s="23"/>
      <c r="AB172" s="23"/>
      <c r="AC172" s="23"/>
      <c r="AD172" s="23"/>
      <c r="AE172" s="23"/>
      <c r="AF172" s="27" t="str">
        <f aca="true">IF($O172="","",IF(OR($AE172="Cancelled",$AE172="On hold",$AE172="Launched"),$AE172,IF(AND($Y172="Approved",OR($Z172="Yes",$Z172="N/A"),OR($AA172="Yes",$AA172="N/A"),OR($AB172="No",$AB172="N/A",AND($AB172="Yes",$AD172="Yes"))),"Ready",IF($O172&lt;TODAY(),"Overdue",IF($O172-TODAY()&lt;='Rules &amp; Guardrails'!$C$5,"At Risk","In Progress")))))</f>
        <v/>
      </c>
      <c r="AG172" s="28" t="str">
        <f aca="false">IF($O172="","",IF(OR($AE172="Launched",$AE172="Cancelled"),"",MID(IF($Y172&lt;&gt;"Approved",", Content approval","")&amp;IF(NOT(OR($Z172="Yes",$Z172="N/A")),", Assets","")&amp;IF(NOT(OR($AA172="Yes",$AA172="N/A")),", List","")&amp;IF($AB172="",", Ops decision",IF(AND($AB172="Yes",$AD172&lt;&gt;"Yes"),", Ops",""))&amp;IF($U172="",", Owner","")&amp;IF($K172="",", Segment",""),3,200)))</f>
        <v/>
      </c>
      <c r="AH172" s="29" t="str">
        <f aca="true">IF($O172="","",$O172-TODAY())</f>
        <v/>
      </c>
      <c r="AI172" s="26" t="str">
        <f aca="false">IF($O172="","",$O172-WEEKDAY($O172,3))</f>
        <v/>
      </c>
      <c r="AJ172" s="30" t="str">
        <f aca="false">IF($O172="","",DATE(YEAR($O172),MONTH($O172),1))</f>
        <v/>
      </c>
      <c r="AK172" s="31" t="str">
        <f aca="false">IF(OR($O172="",$K172=""),"",COUNTIFS('Comms Calendar'!$K$5:$K$504,$K172,'Comms Calendar'!$B$5:$B$504,$B172,'Comms Calendar'!$AI$5:$AI$504,$AI172,'Comms Calendar'!$AE$5:$AE$504,"&lt;&gt;Cancelled"))</f>
        <v/>
      </c>
      <c r="AL172" s="27" t="str">
        <f aca="false">IF($AK172="","",IF($AK172&gt;'Rules &amp; Guardrails'!$C$3,"Over cap","OK"))</f>
        <v/>
      </c>
      <c r="AM172" s="27" t="str">
        <f aca="false">IF(OR($O172="",$K172=""),"",IF(COUNTIFS('Comms Calendar'!$K$5:$K$504,$K172,'Comms Calendar'!$B$5:$B$504,$B172,'Comms Calendar'!$O$5:$O$504,$O172,'Comms Calendar'!$AE$5:$AE$504,"&lt;&gt;Cancelled")&gt;1,"Clash",""))</f>
        <v/>
      </c>
      <c r="AN172" s="27" t="str">
        <f aca="false">IF($O172="","",IF(IF($B172="Global",COUNTIF('Rules &amp; Guardrails'!$F$9:$F$60,$O172),COUNTIFS('Rules &amp; Guardrails'!$F$9:$F$60,$O172,'Rules &amp; Guardrails'!$G$9:$G$60,$B172)+COUNTIFS('Rules &amp; Guardrails'!$F$9:$F$60,$O172,'Rules &amp; Guardrails'!$G$9:$G$60,"Global"))&gt;0,"Blackout",""))</f>
        <v/>
      </c>
      <c r="AO172" s="6"/>
      <c r="AP172" s="25"/>
      <c r="AQ172" s="23"/>
      <c r="AR172" s="31" t="str">
        <f aca="false">IF($D172="","",IFERROR(VLOOKUP($D172,'Rules &amp; Guardrails'!$A$9:$D$24,2,0),"Other"))</f>
        <v/>
      </c>
      <c r="AS172" s="31" t="str">
        <f aca="false">IF($O172="","",$O172&amp;"|"&amp;$B172)</f>
        <v/>
      </c>
    </row>
    <row r="173" customFormat="false" ht="15" hidden="false" customHeight="false" outlineLevel="0" collapsed="false">
      <c r="A173" s="23"/>
      <c r="B173" s="23"/>
      <c r="C173" s="23"/>
      <c r="D173" s="23"/>
      <c r="E173" s="23"/>
      <c r="F173" s="23"/>
      <c r="G173" s="6"/>
      <c r="H173" s="6"/>
      <c r="I173" s="23"/>
      <c r="J173" s="23"/>
      <c r="K173" s="23"/>
      <c r="L173" s="6"/>
      <c r="M173" s="6"/>
      <c r="N173" s="24"/>
      <c r="O173" s="25"/>
      <c r="P173" s="23"/>
      <c r="Q173" s="23"/>
      <c r="R173" s="23"/>
      <c r="S173" s="23"/>
      <c r="T173" s="26" t="str">
        <f aca="false">IF(OR($O173="",$D173=""),"",WORKDAY($O173,-IFERROR(VLOOKUP($D173,'Rules &amp; Guardrails'!$A$9:$D$24,3,0),10)))</f>
        <v/>
      </c>
      <c r="U173" s="23"/>
      <c r="V173" s="23"/>
      <c r="W173" s="23"/>
      <c r="X173" s="6"/>
      <c r="Y173" s="23"/>
      <c r="Z173" s="23"/>
      <c r="AA173" s="23"/>
      <c r="AB173" s="23"/>
      <c r="AC173" s="23"/>
      <c r="AD173" s="23"/>
      <c r="AE173" s="23"/>
      <c r="AF173" s="27" t="str">
        <f aca="true">IF($O173="","",IF(OR($AE173="Cancelled",$AE173="On hold",$AE173="Launched"),$AE173,IF(AND($Y173="Approved",OR($Z173="Yes",$Z173="N/A"),OR($AA173="Yes",$AA173="N/A"),OR($AB173="No",$AB173="N/A",AND($AB173="Yes",$AD173="Yes"))),"Ready",IF($O173&lt;TODAY(),"Overdue",IF($O173-TODAY()&lt;='Rules &amp; Guardrails'!$C$5,"At Risk","In Progress")))))</f>
        <v/>
      </c>
      <c r="AG173" s="28" t="str">
        <f aca="false">IF($O173="","",IF(OR($AE173="Launched",$AE173="Cancelled"),"",MID(IF($Y173&lt;&gt;"Approved",", Content approval","")&amp;IF(NOT(OR($Z173="Yes",$Z173="N/A")),", Assets","")&amp;IF(NOT(OR($AA173="Yes",$AA173="N/A")),", List","")&amp;IF($AB173="",", Ops decision",IF(AND($AB173="Yes",$AD173&lt;&gt;"Yes"),", Ops",""))&amp;IF($U173="",", Owner","")&amp;IF($K173="",", Segment",""),3,200)))</f>
        <v/>
      </c>
      <c r="AH173" s="29" t="str">
        <f aca="true">IF($O173="","",$O173-TODAY())</f>
        <v/>
      </c>
      <c r="AI173" s="26" t="str">
        <f aca="false">IF($O173="","",$O173-WEEKDAY($O173,3))</f>
        <v/>
      </c>
      <c r="AJ173" s="30" t="str">
        <f aca="false">IF($O173="","",DATE(YEAR($O173),MONTH($O173),1))</f>
        <v/>
      </c>
      <c r="AK173" s="31" t="str">
        <f aca="false">IF(OR($O173="",$K173=""),"",COUNTIFS('Comms Calendar'!$K$5:$K$504,$K173,'Comms Calendar'!$B$5:$B$504,$B173,'Comms Calendar'!$AI$5:$AI$504,$AI173,'Comms Calendar'!$AE$5:$AE$504,"&lt;&gt;Cancelled"))</f>
        <v/>
      </c>
      <c r="AL173" s="27" t="str">
        <f aca="false">IF($AK173="","",IF($AK173&gt;'Rules &amp; Guardrails'!$C$3,"Over cap","OK"))</f>
        <v/>
      </c>
      <c r="AM173" s="27" t="str">
        <f aca="false">IF(OR($O173="",$K173=""),"",IF(COUNTIFS('Comms Calendar'!$K$5:$K$504,$K173,'Comms Calendar'!$B$5:$B$504,$B173,'Comms Calendar'!$O$5:$O$504,$O173,'Comms Calendar'!$AE$5:$AE$504,"&lt;&gt;Cancelled")&gt;1,"Clash",""))</f>
        <v/>
      </c>
      <c r="AN173" s="27" t="str">
        <f aca="false">IF($O173="","",IF(IF($B173="Global",COUNTIF('Rules &amp; Guardrails'!$F$9:$F$60,$O173),COUNTIFS('Rules &amp; Guardrails'!$F$9:$F$60,$O173,'Rules &amp; Guardrails'!$G$9:$G$60,$B173)+COUNTIFS('Rules &amp; Guardrails'!$F$9:$F$60,$O173,'Rules &amp; Guardrails'!$G$9:$G$60,"Global"))&gt;0,"Blackout",""))</f>
        <v/>
      </c>
      <c r="AO173" s="6"/>
      <c r="AP173" s="25"/>
      <c r="AQ173" s="23"/>
      <c r="AR173" s="31" t="str">
        <f aca="false">IF($D173="","",IFERROR(VLOOKUP($D173,'Rules &amp; Guardrails'!$A$9:$D$24,2,0),"Other"))</f>
        <v/>
      </c>
      <c r="AS173" s="31" t="str">
        <f aca="false">IF($O173="","",$O173&amp;"|"&amp;$B173)</f>
        <v/>
      </c>
    </row>
    <row r="174" customFormat="false" ht="15" hidden="false" customHeight="false" outlineLevel="0" collapsed="false">
      <c r="A174" s="23"/>
      <c r="B174" s="23"/>
      <c r="C174" s="23"/>
      <c r="D174" s="23"/>
      <c r="E174" s="23"/>
      <c r="F174" s="23"/>
      <c r="G174" s="6"/>
      <c r="H174" s="6"/>
      <c r="I174" s="23"/>
      <c r="J174" s="23"/>
      <c r="K174" s="23"/>
      <c r="L174" s="6"/>
      <c r="M174" s="6"/>
      <c r="N174" s="24"/>
      <c r="O174" s="25"/>
      <c r="P174" s="23"/>
      <c r="Q174" s="23"/>
      <c r="R174" s="23"/>
      <c r="S174" s="23"/>
      <c r="T174" s="26" t="str">
        <f aca="false">IF(OR($O174="",$D174=""),"",WORKDAY($O174,-IFERROR(VLOOKUP($D174,'Rules &amp; Guardrails'!$A$9:$D$24,3,0),10)))</f>
        <v/>
      </c>
      <c r="U174" s="23"/>
      <c r="V174" s="23"/>
      <c r="W174" s="23"/>
      <c r="X174" s="6"/>
      <c r="Y174" s="23"/>
      <c r="Z174" s="23"/>
      <c r="AA174" s="23"/>
      <c r="AB174" s="23"/>
      <c r="AC174" s="23"/>
      <c r="AD174" s="23"/>
      <c r="AE174" s="23"/>
      <c r="AF174" s="27" t="str">
        <f aca="true">IF($O174="","",IF(OR($AE174="Cancelled",$AE174="On hold",$AE174="Launched"),$AE174,IF(AND($Y174="Approved",OR($Z174="Yes",$Z174="N/A"),OR($AA174="Yes",$AA174="N/A"),OR($AB174="No",$AB174="N/A",AND($AB174="Yes",$AD174="Yes"))),"Ready",IF($O174&lt;TODAY(),"Overdue",IF($O174-TODAY()&lt;='Rules &amp; Guardrails'!$C$5,"At Risk","In Progress")))))</f>
        <v/>
      </c>
      <c r="AG174" s="28" t="str">
        <f aca="false">IF($O174="","",IF(OR($AE174="Launched",$AE174="Cancelled"),"",MID(IF($Y174&lt;&gt;"Approved",", Content approval","")&amp;IF(NOT(OR($Z174="Yes",$Z174="N/A")),", Assets","")&amp;IF(NOT(OR($AA174="Yes",$AA174="N/A")),", List","")&amp;IF($AB174="",", Ops decision",IF(AND($AB174="Yes",$AD174&lt;&gt;"Yes"),", Ops",""))&amp;IF($U174="",", Owner","")&amp;IF($K174="",", Segment",""),3,200)))</f>
        <v/>
      </c>
      <c r="AH174" s="29" t="str">
        <f aca="true">IF($O174="","",$O174-TODAY())</f>
        <v/>
      </c>
      <c r="AI174" s="26" t="str">
        <f aca="false">IF($O174="","",$O174-WEEKDAY($O174,3))</f>
        <v/>
      </c>
      <c r="AJ174" s="30" t="str">
        <f aca="false">IF($O174="","",DATE(YEAR($O174),MONTH($O174),1))</f>
        <v/>
      </c>
      <c r="AK174" s="31" t="str">
        <f aca="false">IF(OR($O174="",$K174=""),"",COUNTIFS('Comms Calendar'!$K$5:$K$504,$K174,'Comms Calendar'!$B$5:$B$504,$B174,'Comms Calendar'!$AI$5:$AI$504,$AI174,'Comms Calendar'!$AE$5:$AE$504,"&lt;&gt;Cancelled"))</f>
        <v/>
      </c>
      <c r="AL174" s="27" t="str">
        <f aca="false">IF($AK174="","",IF($AK174&gt;'Rules &amp; Guardrails'!$C$3,"Over cap","OK"))</f>
        <v/>
      </c>
      <c r="AM174" s="27" t="str">
        <f aca="false">IF(OR($O174="",$K174=""),"",IF(COUNTIFS('Comms Calendar'!$K$5:$K$504,$K174,'Comms Calendar'!$B$5:$B$504,$B174,'Comms Calendar'!$O$5:$O$504,$O174,'Comms Calendar'!$AE$5:$AE$504,"&lt;&gt;Cancelled")&gt;1,"Clash",""))</f>
        <v/>
      </c>
      <c r="AN174" s="27" t="str">
        <f aca="false">IF($O174="","",IF(IF($B174="Global",COUNTIF('Rules &amp; Guardrails'!$F$9:$F$60,$O174),COUNTIFS('Rules &amp; Guardrails'!$F$9:$F$60,$O174,'Rules &amp; Guardrails'!$G$9:$G$60,$B174)+COUNTIFS('Rules &amp; Guardrails'!$F$9:$F$60,$O174,'Rules &amp; Guardrails'!$G$9:$G$60,"Global"))&gt;0,"Blackout",""))</f>
        <v/>
      </c>
      <c r="AO174" s="6"/>
      <c r="AP174" s="25"/>
      <c r="AQ174" s="23"/>
      <c r="AR174" s="31" t="str">
        <f aca="false">IF($D174="","",IFERROR(VLOOKUP($D174,'Rules &amp; Guardrails'!$A$9:$D$24,2,0),"Other"))</f>
        <v/>
      </c>
      <c r="AS174" s="31" t="str">
        <f aca="false">IF($O174="","",$O174&amp;"|"&amp;$B174)</f>
        <v/>
      </c>
    </row>
    <row r="175" customFormat="false" ht="15" hidden="false" customHeight="false" outlineLevel="0" collapsed="false">
      <c r="A175" s="23"/>
      <c r="B175" s="23"/>
      <c r="C175" s="23"/>
      <c r="D175" s="23"/>
      <c r="E175" s="23"/>
      <c r="F175" s="23"/>
      <c r="G175" s="6"/>
      <c r="H175" s="6"/>
      <c r="I175" s="23"/>
      <c r="J175" s="23"/>
      <c r="K175" s="23"/>
      <c r="L175" s="6"/>
      <c r="M175" s="6"/>
      <c r="N175" s="24"/>
      <c r="O175" s="25"/>
      <c r="P175" s="23"/>
      <c r="Q175" s="23"/>
      <c r="R175" s="23"/>
      <c r="S175" s="23"/>
      <c r="T175" s="26" t="str">
        <f aca="false">IF(OR($O175="",$D175=""),"",WORKDAY($O175,-IFERROR(VLOOKUP($D175,'Rules &amp; Guardrails'!$A$9:$D$24,3,0),10)))</f>
        <v/>
      </c>
      <c r="U175" s="23"/>
      <c r="V175" s="23"/>
      <c r="W175" s="23"/>
      <c r="X175" s="6"/>
      <c r="Y175" s="23"/>
      <c r="Z175" s="23"/>
      <c r="AA175" s="23"/>
      <c r="AB175" s="23"/>
      <c r="AC175" s="23"/>
      <c r="AD175" s="23"/>
      <c r="AE175" s="23"/>
      <c r="AF175" s="27" t="str">
        <f aca="true">IF($O175="","",IF(OR($AE175="Cancelled",$AE175="On hold",$AE175="Launched"),$AE175,IF(AND($Y175="Approved",OR($Z175="Yes",$Z175="N/A"),OR($AA175="Yes",$AA175="N/A"),OR($AB175="No",$AB175="N/A",AND($AB175="Yes",$AD175="Yes"))),"Ready",IF($O175&lt;TODAY(),"Overdue",IF($O175-TODAY()&lt;='Rules &amp; Guardrails'!$C$5,"At Risk","In Progress")))))</f>
        <v/>
      </c>
      <c r="AG175" s="28" t="str">
        <f aca="false">IF($O175="","",IF(OR($AE175="Launched",$AE175="Cancelled"),"",MID(IF($Y175&lt;&gt;"Approved",", Content approval","")&amp;IF(NOT(OR($Z175="Yes",$Z175="N/A")),", Assets","")&amp;IF(NOT(OR($AA175="Yes",$AA175="N/A")),", List","")&amp;IF($AB175="",", Ops decision",IF(AND($AB175="Yes",$AD175&lt;&gt;"Yes"),", Ops",""))&amp;IF($U175="",", Owner","")&amp;IF($K175="",", Segment",""),3,200)))</f>
        <v/>
      </c>
      <c r="AH175" s="29" t="str">
        <f aca="true">IF($O175="","",$O175-TODAY())</f>
        <v/>
      </c>
      <c r="AI175" s="26" t="str">
        <f aca="false">IF($O175="","",$O175-WEEKDAY($O175,3))</f>
        <v/>
      </c>
      <c r="AJ175" s="30" t="str">
        <f aca="false">IF($O175="","",DATE(YEAR($O175),MONTH($O175),1))</f>
        <v/>
      </c>
      <c r="AK175" s="31" t="str">
        <f aca="false">IF(OR($O175="",$K175=""),"",COUNTIFS('Comms Calendar'!$K$5:$K$504,$K175,'Comms Calendar'!$B$5:$B$504,$B175,'Comms Calendar'!$AI$5:$AI$504,$AI175,'Comms Calendar'!$AE$5:$AE$504,"&lt;&gt;Cancelled"))</f>
        <v/>
      </c>
      <c r="AL175" s="27" t="str">
        <f aca="false">IF($AK175="","",IF($AK175&gt;'Rules &amp; Guardrails'!$C$3,"Over cap","OK"))</f>
        <v/>
      </c>
      <c r="AM175" s="27" t="str">
        <f aca="false">IF(OR($O175="",$K175=""),"",IF(COUNTIFS('Comms Calendar'!$K$5:$K$504,$K175,'Comms Calendar'!$B$5:$B$504,$B175,'Comms Calendar'!$O$5:$O$504,$O175,'Comms Calendar'!$AE$5:$AE$504,"&lt;&gt;Cancelled")&gt;1,"Clash",""))</f>
        <v/>
      </c>
      <c r="AN175" s="27" t="str">
        <f aca="false">IF($O175="","",IF(IF($B175="Global",COUNTIF('Rules &amp; Guardrails'!$F$9:$F$60,$O175),COUNTIFS('Rules &amp; Guardrails'!$F$9:$F$60,$O175,'Rules &amp; Guardrails'!$G$9:$G$60,$B175)+COUNTIFS('Rules &amp; Guardrails'!$F$9:$F$60,$O175,'Rules &amp; Guardrails'!$G$9:$G$60,"Global"))&gt;0,"Blackout",""))</f>
        <v/>
      </c>
      <c r="AO175" s="6"/>
      <c r="AP175" s="25"/>
      <c r="AQ175" s="23"/>
      <c r="AR175" s="31" t="str">
        <f aca="false">IF($D175="","",IFERROR(VLOOKUP($D175,'Rules &amp; Guardrails'!$A$9:$D$24,2,0),"Other"))</f>
        <v/>
      </c>
      <c r="AS175" s="31" t="str">
        <f aca="false">IF($O175="","",$O175&amp;"|"&amp;$B175)</f>
        <v/>
      </c>
    </row>
    <row r="176" customFormat="false" ht="15" hidden="false" customHeight="false" outlineLevel="0" collapsed="false">
      <c r="A176" s="23"/>
      <c r="B176" s="23"/>
      <c r="C176" s="23"/>
      <c r="D176" s="23"/>
      <c r="E176" s="23"/>
      <c r="F176" s="23"/>
      <c r="G176" s="6"/>
      <c r="H176" s="6"/>
      <c r="I176" s="23"/>
      <c r="J176" s="23"/>
      <c r="K176" s="23"/>
      <c r="L176" s="6"/>
      <c r="M176" s="6"/>
      <c r="N176" s="24"/>
      <c r="O176" s="25"/>
      <c r="P176" s="23"/>
      <c r="Q176" s="23"/>
      <c r="R176" s="23"/>
      <c r="S176" s="23"/>
      <c r="T176" s="26" t="str">
        <f aca="false">IF(OR($O176="",$D176=""),"",WORKDAY($O176,-IFERROR(VLOOKUP($D176,'Rules &amp; Guardrails'!$A$9:$D$24,3,0),10)))</f>
        <v/>
      </c>
      <c r="U176" s="23"/>
      <c r="V176" s="23"/>
      <c r="W176" s="23"/>
      <c r="X176" s="6"/>
      <c r="Y176" s="23"/>
      <c r="Z176" s="23"/>
      <c r="AA176" s="23"/>
      <c r="AB176" s="23"/>
      <c r="AC176" s="23"/>
      <c r="AD176" s="23"/>
      <c r="AE176" s="23"/>
      <c r="AF176" s="27" t="str">
        <f aca="true">IF($O176="","",IF(OR($AE176="Cancelled",$AE176="On hold",$AE176="Launched"),$AE176,IF(AND($Y176="Approved",OR($Z176="Yes",$Z176="N/A"),OR($AA176="Yes",$AA176="N/A"),OR($AB176="No",$AB176="N/A",AND($AB176="Yes",$AD176="Yes"))),"Ready",IF($O176&lt;TODAY(),"Overdue",IF($O176-TODAY()&lt;='Rules &amp; Guardrails'!$C$5,"At Risk","In Progress")))))</f>
        <v/>
      </c>
      <c r="AG176" s="28" t="str">
        <f aca="false">IF($O176="","",IF(OR($AE176="Launched",$AE176="Cancelled"),"",MID(IF($Y176&lt;&gt;"Approved",", Content approval","")&amp;IF(NOT(OR($Z176="Yes",$Z176="N/A")),", Assets","")&amp;IF(NOT(OR($AA176="Yes",$AA176="N/A")),", List","")&amp;IF($AB176="",", Ops decision",IF(AND($AB176="Yes",$AD176&lt;&gt;"Yes"),", Ops",""))&amp;IF($U176="",", Owner","")&amp;IF($K176="",", Segment",""),3,200)))</f>
        <v/>
      </c>
      <c r="AH176" s="29" t="str">
        <f aca="true">IF($O176="","",$O176-TODAY())</f>
        <v/>
      </c>
      <c r="AI176" s="26" t="str">
        <f aca="false">IF($O176="","",$O176-WEEKDAY($O176,3))</f>
        <v/>
      </c>
      <c r="AJ176" s="30" t="str">
        <f aca="false">IF($O176="","",DATE(YEAR($O176),MONTH($O176),1))</f>
        <v/>
      </c>
      <c r="AK176" s="31" t="str">
        <f aca="false">IF(OR($O176="",$K176=""),"",COUNTIFS('Comms Calendar'!$K$5:$K$504,$K176,'Comms Calendar'!$B$5:$B$504,$B176,'Comms Calendar'!$AI$5:$AI$504,$AI176,'Comms Calendar'!$AE$5:$AE$504,"&lt;&gt;Cancelled"))</f>
        <v/>
      </c>
      <c r="AL176" s="27" t="str">
        <f aca="false">IF($AK176="","",IF($AK176&gt;'Rules &amp; Guardrails'!$C$3,"Over cap","OK"))</f>
        <v/>
      </c>
      <c r="AM176" s="27" t="str">
        <f aca="false">IF(OR($O176="",$K176=""),"",IF(COUNTIFS('Comms Calendar'!$K$5:$K$504,$K176,'Comms Calendar'!$B$5:$B$504,$B176,'Comms Calendar'!$O$5:$O$504,$O176,'Comms Calendar'!$AE$5:$AE$504,"&lt;&gt;Cancelled")&gt;1,"Clash",""))</f>
        <v/>
      </c>
      <c r="AN176" s="27" t="str">
        <f aca="false">IF($O176="","",IF(IF($B176="Global",COUNTIF('Rules &amp; Guardrails'!$F$9:$F$60,$O176),COUNTIFS('Rules &amp; Guardrails'!$F$9:$F$60,$O176,'Rules &amp; Guardrails'!$G$9:$G$60,$B176)+COUNTIFS('Rules &amp; Guardrails'!$F$9:$F$60,$O176,'Rules &amp; Guardrails'!$G$9:$G$60,"Global"))&gt;0,"Blackout",""))</f>
        <v/>
      </c>
      <c r="AO176" s="6"/>
      <c r="AP176" s="25"/>
      <c r="AQ176" s="23"/>
      <c r="AR176" s="31" t="str">
        <f aca="false">IF($D176="","",IFERROR(VLOOKUP($D176,'Rules &amp; Guardrails'!$A$9:$D$24,2,0),"Other"))</f>
        <v/>
      </c>
      <c r="AS176" s="31" t="str">
        <f aca="false">IF($O176="","",$O176&amp;"|"&amp;$B176)</f>
        <v/>
      </c>
    </row>
    <row r="177" customFormat="false" ht="15" hidden="false" customHeight="false" outlineLevel="0" collapsed="false">
      <c r="A177" s="23"/>
      <c r="B177" s="23"/>
      <c r="C177" s="23"/>
      <c r="D177" s="23"/>
      <c r="E177" s="23"/>
      <c r="F177" s="23"/>
      <c r="G177" s="6"/>
      <c r="H177" s="6"/>
      <c r="I177" s="23"/>
      <c r="J177" s="23"/>
      <c r="K177" s="23"/>
      <c r="L177" s="6"/>
      <c r="M177" s="6"/>
      <c r="N177" s="24"/>
      <c r="O177" s="25"/>
      <c r="P177" s="23"/>
      <c r="Q177" s="23"/>
      <c r="R177" s="23"/>
      <c r="S177" s="23"/>
      <c r="T177" s="26" t="str">
        <f aca="false">IF(OR($O177="",$D177=""),"",WORKDAY($O177,-IFERROR(VLOOKUP($D177,'Rules &amp; Guardrails'!$A$9:$D$24,3,0),10)))</f>
        <v/>
      </c>
      <c r="U177" s="23"/>
      <c r="V177" s="23"/>
      <c r="W177" s="23"/>
      <c r="X177" s="6"/>
      <c r="Y177" s="23"/>
      <c r="Z177" s="23"/>
      <c r="AA177" s="23"/>
      <c r="AB177" s="23"/>
      <c r="AC177" s="23"/>
      <c r="AD177" s="23"/>
      <c r="AE177" s="23"/>
      <c r="AF177" s="27" t="str">
        <f aca="true">IF($O177="","",IF(OR($AE177="Cancelled",$AE177="On hold",$AE177="Launched"),$AE177,IF(AND($Y177="Approved",OR($Z177="Yes",$Z177="N/A"),OR($AA177="Yes",$AA177="N/A"),OR($AB177="No",$AB177="N/A",AND($AB177="Yes",$AD177="Yes"))),"Ready",IF($O177&lt;TODAY(),"Overdue",IF($O177-TODAY()&lt;='Rules &amp; Guardrails'!$C$5,"At Risk","In Progress")))))</f>
        <v/>
      </c>
      <c r="AG177" s="28" t="str">
        <f aca="false">IF($O177="","",IF(OR($AE177="Launched",$AE177="Cancelled"),"",MID(IF($Y177&lt;&gt;"Approved",", Content approval","")&amp;IF(NOT(OR($Z177="Yes",$Z177="N/A")),", Assets","")&amp;IF(NOT(OR($AA177="Yes",$AA177="N/A")),", List","")&amp;IF($AB177="",", Ops decision",IF(AND($AB177="Yes",$AD177&lt;&gt;"Yes"),", Ops",""))&amp;IF($U177="",", Owner","")&amp;IF($K177="",", Segment",""),3,200)))</f>
        <v/>
      </c>
      <c r="AH177" s="29" t="str">
        <f aca="true">IF($O177="","",$O177-TODAY())</f>
        <v/>
      </c>
      <c r="AI177" s="26" t="str">
        <f aca="false">IF($O177="","",$O177-WEEKDAY($O177,3))</f>
        <v/>
      </c>
      <c r="AJ177" s="30" t="str">
        <f aca="false">IF($O177="","",DATE(YEAR($O177),MONTH($O177),1))</f>
        <v/>
      </c>
      <c r="AK177" s="31" t="str">
        <f aca="false">IF(OR($O177="",$K177=""),"",COUNTIFS('Comms Calendar'!$K$5:$K$504,$K177,'Comms Calendar'!$B$5:$B$504,$B177,'Comms Calendar'!$AI$5:$AI$504,$AI177,'Comms Calendar'!$AE$5:$AE$504,"&lt;&gt;Cancelled"))</f>
        <v/>
      </c>
      <c r="AL177" s="27" t="str">
        <f aca="false">IF($AK177="","",IF($AK177&gt;'Rules &amp; Guardrails'!$C$3,"Over cap","OK"))</f>
        <v/>
      </c>
      <c r="AM177" s="27" t="str">
        <f aca="false">IF(OR($O177="",$K177=""),"",IF(COUNTIFS('Comms Calendar'!$K$5:$K$504,$K177,'Comms Calendar'!$B$5:$B$504,$B177,'Comms Calendar'!$O$5:$O$504,$O177,'Comms Calendar'!$AE$5:$AE$504,"&lt;&gt;Cancelled")&gt;1,"Clash",""))</f>
        <v/>
      </c>
      <c r="AN177" s="27" t="str">
        <f aca="false">IF($O177="","",IF(IF($B177="Global",COUNTIF('Rules &amp; Guardrails'!$F$9:$F$60,$O177),COUNTIFS('Rules &amp; Guardrails'!$F$9:$F$60,$O177,'Rules &amp; Guardrails'!$G$9:$G$60,$B177)+COUNTIFS('Rules &amp; Guardrails'!$F$9:$F$60,$O177,'Rules &amp; Guardrails'!$G$9:$G$60,"Global"))&gt;0,"Blackout",""))</f>
        <v/>
      </c>
      <c r="AO177" s="6"/>
      <c r="AP177" s="25"/>
      <c r="AQ177" s="23"/>
      <c r="AR177" s="31" t="str">
        <f aca="false">IF($D177="","",IFERROR(VLOOKUP($D177,'Rules &amp; Guardrails'!$A$9:$D$24,2,0),"Other"))</f>
        <v/>
      </c>
      <c r="AS177" s="31" t="str">
        <f aca="false">IF($O177="","",$O177&amp;"|"&amp;$B177)</f>
        <v/>
      </c>
    </row>
    <row r="178" customFormat="false" ht="15" hidden="false" customHeight="false" outlineLevel="0" collapsed="false">
      <c r="A178" s="23"/>
      <c r="B178" s="23"/>
      <c r="C178" s="23"/>
      <c r="D178" s="23"/>
      <c r="E178" s="23"/>
      <c r="F178" s="23"/>
      <c r="G178" s="6"/>
      <c r="H178" s="6"/>
      <c r="I178" s="23"/>
      <c r="J178" s="23"/>
      <c r="K178" s="23"/>
      <c r="L178" s="6"/>
      <c r="M178" s="6"/>
      <c r="N178" s="24"/>
      <c r="O178" s="25"/>
      <c r="P178" s="23"/>
      <c r="Q178" s="23"/>
      <c r="R178" s="23"/>
      <c r="S178" s="23"/>
      <c r="T178" s="26" t="str">
        <f aca="false">IF(OR($O178="",$D178=""),"",WORKDAY($O178,-IFERROR(VLOOKUP($D178,'Rules &amp; Guardrails'!$A$9:$D$24,3,0),10)))</f>
        <v/>
      </c>
      <c r="U178" s="23"/>
      <c r="V178" s="23"/>
      <c r="W178" s="23"/>
      <c r="X178" s="6"/>
      <c r="Y178" s="23"/>
      <c r="Z178" s="23"/>
      <c r="AA178" s="23"/>
      <c r="AB178" s="23"/>
      <c r="AC178" s="23"/>
      <c r="AD178" s="23"/>
      <c r="AE178" s="23"/>
      <c r="AF178" s="27" t="str">
        <f aca="true">IF($O178="","",IF(OR($AE178="Cancelled",$AE178="On hold",$AE178="Launched"),$AE178,IF(AND($Y178="Approved",OR($Z178="Yes",$Z178="N/A"),OR($AA178="Yes",$AA178="N/A"),OR($AB178="No",$AB178="N/A",AND($AB178="Yes",$AD178="Yes"))),"Ready",IF($O178&lt;TODAY(),"Overdue",IF($O178-TODAY()&lt;='Rules &amp; Guardrails'!$C$5,"At Risk","In Progress")))))</f>
        <v/>
      </c>
      <c r="AG178" s="28" t="str">
        <f aca="false">IF($O178="","",IF(OR($AE178="Launched",$AE178="Cancelled"),"",MID(IF($Y178&lt;&gt;"Approved",", Content approval","")&amp;IF(NOT(OR($Z178="Yes",$Z178="N/A")),", Assets","")&amp;IF(NOT(OR($AA178="Yes",$AA178="N/A")),", List","")&amp;IF($AB178="",", Ops decision",IF(AND($AB178="Yes",$AD178&lt;&gt;"Yes"),", Ops",""))&amp;IF($U178="",", Owner","")&amp;IF($K178="",", Segment",""),3,200)))</f>
        <v/>
      </c>
      <c r="AH178" s="29" t="str">
        <f aca="true">IF($O178="","",$O178-TODAY())</f>
        <v/>
      </c>
      <c r="AI178" s="26" t="str">
        <f aca="false">IF($O178="","",$O178-WEEKDAY($O178,3))</f>
        <v/>
      </c>
      <c r="AJ178" s="30" t="str">
        <f aca="false">IF($O178="","",DATE(YEAR($O178),MONTH($O178),1))</f>
        <v/>
      </c>
      <c r="AK178" s="31" t="str">
        <f aca="false">IF(OR($O178="",$K178=""),"",COUNTIFS('Comms Calendar'!$K$5:$K$504,$K178,'Comms Calendar'!$B$5:$B$504,$B178,'Comms Calendar'!$AI$5:$AI$504,$AI178,'Comms Calendar'!$AE$5:$AE$504,"&lt;&gt;Cancelled"))</f>
        <v/>
      </c>
      <c r="AL178" s="27" t="str">
        <f aca="false">IF($AK178="","",IF($AK178&gt;'Rules &amp; Guardrails'!$C$3,"Over cap","OK"))</f>
        <v/>
      </c>
      <c r="AM178" s="27" t="str">
        <f aca="false">IF(OR($O178="",$K178=""),"",IF(COUNTIFS('Comms Calendar'!$K$5:$K$504,$K178,'Comms Calendar'!$B$5:$B$504,$B178,'Comms Calendar'!$O$5:$O$504,$O178,'Comms Calendar'!$AE$5:$AE$504,"&lt;&gt;Cancelled")&gt;1,"Clash",""))</f>
        <v/>
      </c>
      <c r="AN178" s="27" t="str">
        <f aca="false">IF($O178="","",IF(IF($B178="Global",COUNTIF('Rules &amp; Guardrails'!$F$9:$F$60,$O178),COUNTIFS('Rules &amp; Guardrails'!$F$9:$F$60,$O178,'Rules &amp; Guardrails'!$G$9:$G$60,$B178)+COUNTIFS('Rules &amp; Guardrails'!$F$9:$F$60,$O178,'Rules &amp; Guardrails'!$G$9:$G$60,"Global"))&gt;0,"Blackout",""))</f>
        <v/>
      </c>
      <c r="AO178" s="6"/>
      <c r="AP178" s="25"/>
      <c r="AQ178" s="23"/>
      <c r="AR178" s="31" t="str">
        <f aca="false">IF($D178="","",IFERROR(VLOOKUP($D178,'Rules &amp; Guardrails'!$A$9:$D$24,2,0),"Other"))</f>
        <v/>
      </c>
      <c r="AS178" s="31" t="str">
        <f aca="false">IF($O178="","",$O178&amp;"|"&amp;$B178)</f>
        <v/>
      </c>
    </row>
    <row r="179" customFormat="false" ht="15" hidden="false" customHeight="false" outlineLevel="0" collapsed="false">
      <c r="A179" s="23"/>
      <c r="B179" s="23"/>
      <c r="C179" s="23"/>
      <c r="D179" s="23"/>
      <c r="E179" s="23"/>
      <c r="F179" s="23"/>
      <c r="G179" s="6"/>
      <c r="H179" s="6"/>
      <c r="I179" s="23"/>
      <c r="J179" s="23"/>
      <c r="K179" s="23"/>
      <c r="L179" s="6"/>
      <c r="M179" s="6"/>
      <c r="N179" s="24"/>
      <c r="O179" s="25"/>
      <c r="P179" s="23"/>
      <c r="Q179" s="23"/>
      <c r="R179" s="23"/>
      <c r="S179" s="23"/>
      <c r="T179" s="26" t="str">
        <f aca="false">IF(OR($O179="",$D179=""),"",WORKDAY($O179,-IFERROR(VLOOKUP($D179,'Rules &amp; Guardrails'!$A$9:$D$24,3,0),10)))</f>
        <v/>
      </c>
      <c r="U179" s="23"/>
      <c r="V179" s="23"/>
      <c r="W179" s="23"/>
      <c r="X179" s="6"/>
      <c r="Y179" s="23"/>
      <c r="Z179" s="23"/>
      <c r="AA179" s="23"/>
      <c r="AB179" s="23"/>
      <c r="AC179" s="23"/>
      <c r="AD179" s="23"/>
      <c r="AE179" s="23"/>
      <c r="AF179" s="27" t="str">
        <f aca="true">IF($O179="","",IF(OR($AE179="Cancelled",$AE179="On hold",$AE179="Launched"),$AE179,IF(AND($Y179="Approved",OR($Z179="Yes",$Z179="N/A"),OR($AA179="Yes",$AA179="N/A"),OR($AB179="No",$AB179="N/A",AND($AB179="Yes",$AD179="Yes"))),"Ready",IF($O179&lt;TODAY(),"Overdue",IF($O179-TODAY()&lt;='Rules &amp; Guardrails'!$C$5,"At Risk","In Progress")))))</f>
        <v/>
      </c>
      <c r="AG179" s="28" t="str">
        <f aca="false">IF($O179="","",IF(OR($AE179="Launched",$AE179="Cancelled"),"",MID(IF($Y179&lt;&gt;"Approved",", Content approval","")&amp;IF(NOT(OR($Z179="Yes",$Z179="N/A")),", Assets","")&amp;IF(NOT(OR($AA179="Yes",$AA179="N/A")),", List","")&amp;IF($AB179="",", Ops decision",IF(AND($AB179="Yes",$AD179&lt;&gt;"Yes"),", Ops",""))&amp;IF($U179="",", Owner","")&amp;IF($K179="",", Segment",""),3,200)))</f>
        <v/>
      </c>
      <c r="AH179" s="29" t="str">
        <f aca="true">IF($O179="","",$O179-TODAY())</f>
        <v/>
      </c>
      <c r="AI179" s="26" t="str">
        <f aca="false">IF($O179="","",$O179-WEEKDAY($O179,3))</f>
        <v/>
      </c>
      <c r="AJ179" s="30" t="str">
        <f aca="false">IF($O179="","",DATE(YEAR($O179),MONTH($O179),1))</f>
        <v/>
      </c>
      <c r="AK179" s="31" t="str">
        <f aca="false">IF(OR($O179="",$K179=""),"",COUNTIFS('Comms Calendar'!$K$5:$K$504,$K179,'Comms Calendar'!$B$5:$B$504,$B179,'Comms Calendar'!$AI$5:$AI$504,$AI179,'Comms Calendar'!$AE$5:$AE$504,"&lt;&gt;Cancelled"))</f>
        <v/>
      </c>
      <c r="AL179" s="27" t="str">
        <f aca="false">IF($AK179="","",IF($AK179&gt;'Rules &amp; Guardrails'!$C$3,"Over cap","OK"))</f>
        <v/>
      </c>
      <c r="AM179" s="27" t="str">
        <f aca="false">IF(OR($O179="",$K179=""),"",IF(COUNTIFS('Comms Calendar'!$K$5:$K$504,$K179,'Comms Calendar'!$B$5:$B$504,$B179,'Comms Calendar'!$O$5:$O$504,$O179,'Comms Calendar'!$AE$5:$AE$504,"&lt;&gt;Cancelled")&gt;1,"Clash",""))</f>
        <v/>
      </c>
      <c r="AN179" s="27" t="str">
        <f aca="false">IF($O179="","",IF(IF($B179="Global",COUNTIF('Rules &amp; Guardrails'!$F$9:$F$60,$O179),COUNTIFS('Rules &amp; Guardrails'!$F$9:$F$60,$O179,'Rules &amp; Guardrails'!$G$9:$G$60,$B179)+COUNTIFS('Rules &amp; Guardrails'!$F$9:$F$60,$O179,'Rules &amp; Guardrails'!$G$9:$G$60,"Global"))&gt;0,"Blackout",""))</f>
        <v/>
      </c>
      <c r="AO179" s="6"/>
      <c r="AP179" s="25"/>
      <c r="AQ179" s="23"/>
      <c r="AR179" s="31" t="str">
        <f aca="false">IF($D179="","",IFERROR(VLOOKUP($D179,'Rules &amp; Guardrails'!$A$9:$D$24,2,0),"Other"))</f>
        <v/>
      </c>
      <c r="AS179" s="31" t="str">
        <f aca="false">IF($O179="","",$O179&amp;"|"&amp;$B179)</f>
        <v/>
      </c>
    </row>
    <row r="180" customFormat="false" ht="15" hidden="false" customHeight="false" outlineLevel="0" collapsed="false">
      <c r="A180" s="23"/>
      <c r="B180" s="23"/>
      <c r="C180" s="23"/>
      <c r="D180" s="23"/>
      <c r="E180" s="23"/>
      <c r="F180" s="23"/>
      <c r="G180" s="6"/>
      <c r="H180" s="6"/>
      <c r="I180" s="23"/>
      <c r="J180" s="23"/>
      <c r="K180" s="23"/>
      <c r="L180" s="6"/>
      <c r="M180" s="6"/>
      <c r="N180" s="24"/>
      <c r="O180" s="25"/>
      <c r="P180" s="23"/>
      <c r="Q180" s="23"/>
      <c r="R180" s="23"/>
      <c r="S180" s="23"/>
      <c r="T180" s="26" t="str">
        <f aca="false">IF(OR($O180="",$D180=""),"",WORKDAY($O180,-IFERROR(VLOOKUP($D180,'Rules &amp; Guardrails'!$A$9:$D$24,3,0),10)))</f>
        <v/>
      </c>
      <c r="U180" s="23"/>
      <c r="V180" s="23"/>
      <c r="W180" s="23"/>
      <c r="X180" s="6"/>
      <c r="Y180" s="23"/>
      <c r="Z180" s="23"/>
      <c r="AA180" s="23"/>
      <c r="AB180" s="23"/>
      <c r="AC180" s="23"/>
      <c r="AD180" s="23"/>
      <c r="AE180" s="23"/>
      <c r="AF180" s="27" t="str">
        <f aca="true">IF($O180="","",IF(OR($AE180="Cancelled",$AE180="On hold",$AE180="Launched"),$AE180,IF(AND($Y180="Approved",OR($Z180="Yes",$Z180="N/A"),OR($AA180="Yes",$AA180="N/A"),OR($AB180="No",$AB180="N/A",AND($AB180="Yes",$AD180="Yes"))),"Ready",IF($O180&lt;TODAY(),"Overdue",IF($O180-TODAY()&lt;='Rules &amp; Guardrails'!$C$5,"At Risk","In Progress")))))</f>
        <v/>
      </c>
      <c r="AG180" s="28" t="str">
        <f aca="false">IF($O180="","",IF(OR($AE180="Launched",$AE180="Cancelled"),"",MID(IF($Y180&lt;&gt;"Approved",", Content approval","")&amp;IF(NOT(OR($Z180="Yes",$Z180="N/A")),", Assets","")&amp;IF(NOT(OR($AA180="Yes",$AA180="N/A")),", List","")&amp;IF($AB180="",", Ops decision",IF(AND($AB180="Yes",$AD180&lt;&gt;"Yes"),", Ops",""))&amp;IF($U180="",", Owner","")&amp;IF($K180="",", Segment",""),3,200)))</f>
        <v/>
      </c>
      <c r="AH180" s="29" t="str">
        <f aca="true">IF($O180="","",$O180-TODAY())</f>
        <v/>
      </c>
      <c r="AI180" s="26" t="str">
        <f aca="false">IF($O180="","",$O180-WEEKDAY($O180,3))</f>
        <v/>
      </c>
      <c r="AJ180" s="30" t="str">
        <f aca="false">IF($O180="","",DATE(YEAR($O180),MONTH($O180),1))</f>
        <v/>
      </c>
      <c r="AK180" s="31" t="str">
        <f aca="false">IF(OR($O180="",$K180=""),"",COUNTIFS('Comms Calendar'!$K$5:$K$504,$K180,'Comms Calendar'!$B$5:$B$504,$B180,'Comms Calendar'!$AI$5:$AI$504,$AI180,'Comms Calendar'!$AE$5:$AE$504,"&lt;&gt;Cancelled"))</f>
        <v/>
      </c>
      <c r="AL180" s="27" t="str">
        <f aca="false">IF($AK180="","",IF($AK180&gt;'Rules &amp; Guardrails'!$C$3,"Over cap","OK"))</f>
        <v/>
      </c>
      <c r="AM180" s="27" t="str">
        <f aca="false">IF(OR($O180="",$K180=""),"",IF(COUNTIFS('Comms Calendar'!$K$5:$K$504,$K180,'Comms Calendar'!$B$5:$B$504,$B180,'Comms Calendar'!$O$5:$O$504,$O180,'Comms Calendar'!$AE$5:$AE$504,"&lt;&gt;Cancelled")&gt;1,"Clash",""))</f>
        <v/>
      </c>
      <c r="AN180" s="27" t="str">
        <f aca="false">IF($O180="","",IF(IF($B180="Global",COUNTIF('Rules &amp; Guardrails'!$F$9:$F$60,$O180),COUNTIFS('Rules &amp; Guardrails'!$F$9:$F$60,$O180,'Rules &amp; Guardrails'!$G$9:$G$60,$B180)+COUNTIFS('Rules &amp; Guardrails'!$F$9:$F$60,$O180,'Rules &amp; Guardrails'!$G$9:$G$60,"Global"))&gt;0,"Blackout",""))</f>
        <v/>
      </c>
      <c r="AO180" s="6"/>
      <c r="AP180" s="25"/>
      <c r="AQ180" s="23"/>
      <c r="AR180" s="31" t="str">
        <f aca="false">IF($D180="","",IFERROR(VLOOKUP($D180,'Rules &amp; Guardrails'!$A$9:$D$24,2,0),"Other"))</f>
        <v/>
      </c>
      <c r="AS180" s="31" t="str">
        <f aca="false">IF($O180="","",$O180&amp;"|"&amp;$B180)</f>
        <v/>
      </c>
    </row>
    <row r="181" customFormat="false" ht="15" hidden="false" customHeight="false" outlineLevel="0" collapsed="false">
      <c r="A181" s="23"/>
      <c r="B181" s="23"/>
      <c r="C181" s="23"/>
      <c r="D181" s="23"/>
      <c r="E181" s="23"/>
      <c r="F181" s="23"/>
      <c r="G181" s="6"/>
      <c r="H181" s="6"/>
      <c r="I181" s="23"/>
      <c r="J181" s="23"/>
      <c r="K181" s="23"/>
      <c r="L181" s="6"/>
      <c r="M181" s="6"/>
      <c r="N181" s="24"/>
      <c r="O181" s="25"/>
      <c r="P181" s="23"/>
      <c r="Q181" s="23"/>
      <c r="R181" s="23"/>
      <c r="S181" s="23"/>
      <c r="T181" s="26" t="str">
        <f aca="false">IF(OR($O181="",$D181=""),"",WORKDAY($O181,-IFERROR(VLOOKUP($D181,'Rules &amp; Guardrails'!$A$9:$D$24,3,0),10)))</f>
        <v/>
      </c>
      <c r="U181" s="23"/>
      <c r="V181" s="23"/>
      <c r="W181" s="23"/>
      <c r="X181" s="6"/>
      <c r="Y181" s="23"/>
      <c r="Z181" s="23"/>
      <c r="AA181" s="23"/>
      <c r="AB181" s="23"/>
      <c r="AC181" s="23"/>
      <c r="AD181" s="23"/>
      <c r="AE181" s="23"/>
      <c r="AF181" s="27" t="str">
        <f aca="true">IF($O181="","",IF(OR($AE181="Cancelled",$AE181="On hold",$AE181="Launched"),$AE181,IF(AND($Y181="Approved",OR($Z181="Yes",$Z181="N/A"),OR($AA181="Yes",$AA181="N/A"),OR($AB181="No",$AB181="N/A",AND($AB181="Yes",$AD181="Yes"))),"Ready",IF($O181&lt;TODAY(),"Overdue",IF($O181-TODAY()&lt;='Rules &amp; Guardrails'!$C$5,"At Risk","In Progress")))))</f>
        <v/>
      </c>
      <c r="AG181" s="28" t="str">
        <f aca="false">IF($O181="","",IF(OR($AE181="Launched",$AE181="Cancelled"),"",MID(IF($Y181&lt;&gt;"Approved",", Content approval","")&amp;IF(NOT(OR($Z181="Yes",$Z181="N/A")),", Assets","")&amp;IF(NOT(OR($AA181="Yes",$AA181="N/A")),", List","")&amp;IF($AB181="",", Ops decision",IF(AND($AB181="Yes",$AD181&lt;&gt;"Yes"),", Ops",""))&amp;IF($U181="",", Owner","")&amp;IF($K181="",", Segment",""),3,200)))</f>
        <v/>
      </c>
      <c r="AH181" s="29" t="str">
        <f aca="true">IF($O181="","",$O181-TODAY())</f>
        <v/>
      </c>
      <c r="AI181" s="26" t="str">
        <f aca="false">IF($O181="","",$O181-WEEKDAY($O181,3))</f>
        <v/>
      </c>
      <c r="AJ181" s="30" t="str">
        <f aca="false">IF($O181="","",DATE(YEAR($O181),MONTH($O181),1))</f>
        <v/>
      </c>
      <c r="AK181" s="31" t="str">
        <f aca="false">IF(OR($O181="",$K181=""),"",COUNTIFS('Comms Calendar'!$K$5:$K$504,$K181,'Comms Calendar'!$B$5:$B$504,$B181,'Comms Calendar'!$AI$5:$AI$504,$AI181,'Comms Calendar'!$AE$5:$AE$504,"&lt;&gt;Cancelled"))</f>
        <v/>
      </c>
      <c r="AL181" s="27" t="str">
        <f aca="false">IF($AK181="","",IF($AK181&gt;'Rules &amp; Guardrails'!$C$3,"Over cap","OK"))</f>
        <v/>
      </c>
      <c r="AM181" s="27" t="str">
        <f aca="false">IF(OR($O181="",$K181=""),"",IF(COUNTIFS('Comms Calendar'!$K$5:$K$504,$K181,'Comms Calendar'!$B$5:$B$504,$B181,'Comms Calendar'!$O$5:$O$504,$O181,'Comms Calendar'!$AE$5:$AE$504,"&lt;&gt;Cancelled")&gt;1,"Clash",""))</f>
        <v/>
      </c>
      <c r="AN181" s="27" t="str">
        <f aca="false">IF($O181="","",IF(IF($B181="Global",COUNTIF('Rules &amp; Guardrails'!$F$9:$F$60,$O181),COUNTIFS('Rules &amp; Guardrails'!$F$9:$F$60,$O181,'Rules &amp; Guardrails'!$G$9:$G$60,$B181)+COUNTIFS('Rules &amp; Guardrails'!$F$9:$F$60,$O181,'Rules &amp; Guardrails'!$G$9:$G$60,"Global"))&gt;0,"Blackout",""))</f>
        <v/>
      </c>
      <c r="AO181" s="6"/>
      <c r="AP181" s="25"/>
      <c r="AQ181" s="23"/>
      <c r="AR181" s="31" t="str">
        <f aca="false">IF($D181="","",IFERROR(VLOOKUP($D181,'Rules &amp; Guardrails'!$A$9:$D$24,2,0),"Other"))</f>
        <v/>
      </c>
      <c r="AS181" s="31" t="str">
        <f aca="false">IF($O181="","",$O181&amp;"|"&amp;$B181)</f>
        <v/>
      </c>
    </row>
    <row r="182" customFormat="false" ht="15" hidden="false" customHeight="false" outlineLevel="0" collapsed="false">
      <c r="A182" s="23"/>
      <c r="B182" s="23"/>
      <c r="C182" s="23"/>
      <c r="D182" s="23"/>
      <c r="E182" s="23"/>
      <c r="F182" s="23"/>
      <c r="G182" s="6"/>
      <c r="H182" s="6"/>
      <c r="I182" s="23"/>
      <c r="J182" s="23"/>
      <c r="K182" s="23"/>
      <c r="L182" s="6"/>
      <c r="M182" s="6"/>
      <c r="N182" s="24"/>
      <c r="O182" s="25"/>
      <c r="P182" s="23"/>
      <c r="Q182" s="23"/>
      <c r="R182" s="23"/>
      <c r="S182" s="23"/>
      <c r="T182" s="26" t="str">
        <f aca="false">IF(OR($O182="",$D182=""),"",WORKDAY($O182,-IFERROR(VLOOKUP($D182,'Rules &amp; Guardrails'!$A$9:$D$24,3,0),10)))</f>
        <v/>
      </c>
      <c r="U182" s="23"/>
      <c r="V182" s="23"/>
      <c r="W182" s="23"/>
      <c r="X182" s="6"/>
      <c r="Y182" s="23"/>
      <c r="Z182" s="23"/>
      <c r="AA182" s="23"/>
      <c r="AB182" s="23"/>
      <c r="AC182" s="23"/>
      <c r="AD182" s="23"/>
      <c r="AE182" s="23"/>
      <c r="AF182" s="27" t="str">
        <f aca="true">IF($O182="","",IF(OR($AE182="Cancelled",$AE182="On hold",$AE182="Launched"),$AE182,IF(AND($Y182="Approved",OR($Z182="Yes",$Z182="N/A"),OR($AA182="Yes",$AA182="N/A"),OR($AB182="No",$AB182="N/A",AND($AB182="Yes",$AD182="Yes"))),"Ready",IF($O182&lt;TODAY(),"Overdue",IF($O182-TODAY()&lt;='Rules &amp; Guardrails'!$C$5,"At Risk","In Progress")))))</f>
        <v/>
      </c>
      <c r="AG182" s="28" t="str">
        <f aca="false">IF($O182="","",IF(OR($AE182="Launched",$AE182="Cancelled"),"",MID(IF($Y182&lt;&gt;"Approved",", Content approval","")&amp;IF(NOT(OR($Z182="Yes",$Z182="N/A")),", Assets","")&amp;IF(NOT(OR($AA182="Yes",$AA182="N/A")),", List","")&amp;IF($AB182="",", Ops decision",IF(AND($AB182="Yes",$AD182&lt;&gt;"Yes"),", Ops",""))&amp;IF($U182="",", Owner","")&amp;IF($K182="",", Segment",""),3,200)))</f>
        <v/>
      </c>
      <c r="AH182" s="29" t="str">
        <f aca="true">IF($O182="","",$O182-TODAY())</f>
        <v/>
      </c>
      <c r="AI182" s="26" t="str">
        <f aca="false">IF($O182="","",$O182-WEEKDAY($O182,3))</f>
        <v/>
      </c>
      <c r="AJ182" s="30" t="str">
        <f aca="false">IF($O182="","",DATE(YEAR($O182),MONTH($O182),1))</f>
        <v/>
      </c>
      <c r="AK182" s="31" t="str">
        <f aca="false">IF(OR($O182="",$K182=""),"",COUNTIFS('Comms Calendar'!$K$5:$K$504,$K182,'Comms Calendar'!$B$5:$B$504,$B182,'Comms Calendar'!$AI$5:$AI$504,$AI182,'Comms Calendar'!$AE$5:$AE$504,"&lt;&gt;Cancelled"))</f>
        <v/>
      </c>
      <c r="AL182" s="27" t="str">
        <f aca="false">IF($AK182="","",IF($AK182&gt;'Rules &amp; Guardrails'!$C$3,"Over cap","OK"))</f>
        <v/>
      </c>
      <c r="AM182" s="27" t="str">
        <f aca="false">IF(OR($O182="",$K182=""),"",IF(COUNTIFS('Comms Calendar'!$K$5:$K$504,$K182,'Comms Calendar'!$B$5:$B$504,$B182,'Comms Calendar'!$O$5:$O$504,$O182,'Comms Calendar'!$AE$5:$AE$504,"&lt;&gt;Cancelled")&gt;1,"Clash",""))</f>
        <v/>
      </c>
      <c r="AN182" s="27" t="str">
        <f aca="false">IF($O182="","",IF(IF($B182="Global",COUNTIF('Rules &amp; Guardrails'!$F$9:$F$60,$O182),COUNTIFS('Rules &amp; Guardrails'!$F$9:$F$60,$O182,'Rules &amp; Guardrails'!$G$9:$G$60,$B182)+COUNTIFS('Rules &amp; Guardrails'!$F$9:$F$60,$O182,'Rules &amp; Guardrails'!$G$9:$G$60,"Global"))&gt;0,"Blackout",""))</f>
        <v/>
      </c>
      <c r="AO182" s="6"/>
      <c r="AP182" s="25"/>
      <c r="AQ182" s="23"/>
      <c r="AR182" s="31" t="str">
        <f aca="false">IF($D182="","",IFERROR(VLOOKUP($D182,'Rules &amp; Guardrails'!$A$9:$D$24,2,0),"Other"))</f>
        <v/>
      </c>
      <c r="AS182" s="31" t="str">
        <f aca="false">IF($O182="","",$O182&amp;"|"&amp;$B182)</f>
        <v/>
      </c>
    </row>
    <row r="183" customFormat="false" ht="15" hidden="false" customHeight="false" outlineLevel="0" collapsed="false">
      <c r="A183" s="23"/>
      <c r="B183" s="23"/>
      <c r="C183" s="23"/>
      <c r="D183" s="23"/>
      <c r="E183" s="23"/>
      <c r="F183" s="23"/>
      <c r="G183" s="6"/>
      <c r="H183" s="6"/>
      <c r="I183" s="23"/>
      <c r="J183" s="23"/>
      <c r="K183" s="23"/>
      <c r="L183" s="6"/>
      <c r="M183" s="6"/>
      <c r="N183" s="24"/>
      <c r="O183" s="25"/>
      <c r="P183" s="23"/>
      <c r="Q183" s="23"/>
      <c r="R183" s="23"/>
      <c r="S183" s="23"/>
      <c r="T183" s="26" t="str">
        <f aca="false">IF(OR($O183="",$D183=""),"",WORKDAY($O183,-IFERROR(VLOOKUP($D183,'Rules &amp; Guardrails'!$A$9:$D$24,3,0),10)))</f>
        <v/>
      </c>
      <c r="U183" s="23"/>
      <c r="V183" s="23"/>
      <c r="W183" s="23"/>
      <c r="X183" s="6"/>
      <c r="Y183" s="23"/>
      <c r="Z183" s="23"/>
      <c r="AA183" s="23"/>
      <c r="AB183" s="23"/>
      <c r="AC183" s="23"/>
      <c r="AD183" s="23"/>
      <c r="AE183" s="23"/>
      <c r="AF183" s="27" t="str">
        <f aca="true">IF($O183="","",IF(OR($AE183="Cancelled",$AE183="On hold",$AE183="Launched"),$AE183,IF(AND($Y183="Approved",OR($Z183="Yes",$Z183="N/A"),OR($AA183="Yes",$AA183="N/A"),OR($AB183="No",$AB183="N/A",AND($AB183="Yes",$AD183="Yes"))),"Ready",IF($O183&lt;TODAY(),"Overdue",IF($O183-TODAY()&lt;='Rules &amp; Guardrails'!$C$5,"At Risk","In Progress")))))</f>
        <v/>
      </c>
      <c r="AG183" s="28" t="str">
        <f aca="false">IF($O183="","",IF(OR($AE183="Launched",$AE183="Cancelled"),"",MID(IF($Y183&lt;&gt;"Approved",", Content approval","")&amp;IF(NOT(OR($Z183="Yes",$Z183="N/A")),", Assets","")&amp;IF(NOT(OR($AA183="Yes",$AA183="N/A")),", List","")&amp;IF($AB183="",", Ops decision",IF(AND($AB183="Yes",$AD183&lt;&gt;"Yes"),", Ops",""))&amp;IF($U183="",", Owner","")&amp;IF($K183="",", Segment",""),3,200)))</f>
        <v/>
      </c>
      <c r="AH183" s="29" t="str">
        <f aca="true">IF($O183="","",$O183-TODAY())</f>
        <v/>
      </c>
      <c r="AI183" s="26" t="str">
        <f aca="false">IF($O183="","",$O183-WEEKDAY($O183,3))</f>
        <v/>
      </c>
      <c r="AJ183" s="30" t="str">
        <f aca="false">IF($O183="","",DATE(YEAR($O183),MONTH($O183),1))</f>
        <v/>
      </c>
      <c r="AK183" s="31" t="str">
        <f aca="false">IF(OR($O183="",$K183=""),"",COUNTIFS('Comms Calendar'!$K$5:$K$504,$K183,'Comms Calendar'!$B$5:$B$504,$B183,'Comms Calendar'!$AI$5:$AI$504,$AI183,'Comms Calendar'!$AE$5:$AE$504,"&lt;&gt;Cancelled"))</f>
        <v/>
      </c>
      <c r="AL183" s="27" t="str">
        <f aca="false">IF($AK183="","",IF($AK183&gt;'Rules &amp; Guardrails'!$C$3,"Over cap","OK"))</f>
        <v/>
      </c>
      <c r="AM183" s="27" t="str">
        <f aca="false">IF(OR($O183="",$K183=""),"",IF(COUNTIFS('Comms Calendar'!$K$5:$K$504,$K183,'Comms Calendar'!$B$5:$B$504,$B183,'Comms Calendar'!$O$5:$O$504,$O183,'Comms Calendar'!$AE$5:$AE$504,"&lt;&gt;Cancelled")&gt;1,"Clash",""))</f>
        <v/>
      </c>
      <c r="AN183" s="27" t="str">
        <f aca="false">IF($O183="","",IF(IF($B183="Global",COUNTIF('Rules &amp; Guardrails'!$F$9:$F$60,$O183),COUNTIFS('Rules &amp; Guardrails'!$F$9:$F$60,$O183,'Rules &amp; Guardrails'!$G$9:$G$60,$B183)+COUNTIFS('Rules &amp; Guardrails'!$F$9:$F$60,$O183,'Rules &amp; Guardrails'!$G$9:$G$60,"Global"))&gt;0,"Blackout",""))</f>
        <v/>
      </c>
      <c r="AO183" s="6"/>
      <c r="AP183" s="25"/>
      <c r="AQ183" s="23"/>
      <c r="AR183" s="31" t="str">
        <f aca="false">IF($D183="","",IFERROR(VLOOKUP($D183,'Rules &amp; Guardrails'!$A$9:$D$24,2,0),"Other"))</f>
        <v/>
      </c>
      <c r="AS183" s="31" t="str">
        <f aca="false">IF($O183="","",$O183&amp;"|"&amp;$B183)</f>
        <v/>
      </c>
    </row>
    <row r="184" customFormat="false" ht="15" hidden="false" customHeight="false" outlineLevel="0" collapsed="false">
      <c r="A184" s="23"/>
      <c r="B184" s="23"/>
      <c r="C184" s="23"/>
      <c r="D184" s="23"/>
      <c r="E184" s="23"/>
      <c r="F184" s="23"/>
      <c r="G184" s="6"/>
      <c r="H184" s="6"/>
      <c r="I184" s="23"/>
      <c r="J184" s="23"/>
      <c r="K184" s="23"/>
      <c r="L184" s="6"/>
      <c r="M184" s="6"/>
      <c r="N184" s="24"/>
      <c r="O184" s="25"/>
      <c r="P184" s="23"/>
      <c r="Q184" s="23"/>
      <c r="R184" s="23"/>
      <c r="S184" s="23"/>
      <c r="T184" s="26" t="str">
        <f aca="false">IF(OR($O184="",$D184=""),"",WORKDAY($O184,-IFERROR(VLOOKUP($D184,'Rules &amp; Guardrails'!$A$9:$D$24,3,0),10)))</f>
        <v/>
      </c>
      <c r="U184" s="23"/>
      <c r="V184" s="23"/>
      <c r="W184" s="23"/>
      <c r="X184" s="6"/>
      <c r="Y184" s="23"/>
      <c r="Z184" s="23"/>
      <c r="AA184" s="23"/>
      <c r="AB184" s="23"/>
      <c r="AC184" s="23"/>
      <c r="AD184" s="23"/>
      <c r="AE184" s="23"/>
      <c r="AF184" s="27" t="str">
        <f aca="true">IF($O184="","",IF(OR($AE184="Cancelled",$AE184="On hold",$AE184="Launched"),$AE184,IF(AND($Y184="Approved",OR($Z184="Yes",$Z184="N/A"),OR($AA184="Yes",$AA184="N/A"),OR($AB184="No",$AB184="N/A",AND($AB184="Yes",$AD184="Yes"))),"Ready",IF($O184&lt;TODAY(),"Overdue",IF($O184-TODAY()&lt;='Rules &amp; Guardrails'!$C$5,"At Risk","In Progress")))))</f>
        <v/>
      </c>
      <c r="AG184" s="28" t="str">
        <f aca="false">IF($O184="","",IF(OR($AE184="Launched",$AE184="Cancelled"),"",MID(IF($Y184&lt;&gt;"Approved",", Content approval","")&amp;IF(NOT(OR($Z184="Yes",$Z184="N/A")),", Assets","")&amp;IF(NOT(OR($AA184="Yes",$AA184="N/A")),", List","")&amp;IF($AB184="",", Ops decision",IF(AND($AB184="Yes",$AD184&lt;&gt;"Yes"),", Ops",""))&amp;IF($U184="",", Owner","")&amp;IF($K184="",", Segment",""),3,200)))</f>
        <v/>
      </c>
      <c r="AH184" s="29" t="str">
        <f aca="true">IF($O184="","",$O184-TODAY())</f>
        <v/>
      </c>
      <c r="AI184" s="26" t="str">
        <f aca="false">IF($O184="","",$O184-WEEKDAY($O184,3))</f>
        <v/>
      </c>
      <c r="AJ184" s="30" t="str">
        <f aca="false">IF($O184="","",DATE(YEAR($O184),MONTH($O184),1))</f>
        <v/>
      </c>
      <c r="AK184" s="31" t="str">
        <f aca="false">IF(OR($O184="",$K184=""),"",COUNTIFS('Comms Calendar'!$K$5:$K$504,$K184,'Comms Calendar'!$B$5:$B$504,$B184,'Comms Calendar'!$AI$5:$AI$504,$AI184,'Comms Calendar'!$AE$5:$AE$504,"&lt;&gt;Cancelled"))</f>
        <v/>
      </c>
      <c r="AL184" s="27" t="str">
        <f aca="false">IF($AK184="","",IF($AK184&gt;'Rules &amp; Guardrails'!$C$3,"Over cap","OK"))</f>
        <v/>
      </c>
      <c r="AM184" s="27" t="str">
        <f aca="false">IF(OR($O184="",$K184=""),"",IF(COUNTIFS('Comms Calendar'!$K$5:$K$504,$K184,'Comms Calendar'!$B$5:$B$504,$B184,'Comms Calendar'!$O$5:$O$504,$O184,'Comms Calendar'!$AE$5:$AE$504,"&lt;&gt;Cancelled")&gt;1,"Clash",""))</f>
        <v/>
      </c>
      <c r="AN184" s="27" t="str">
        <f aca="false">IF($O184="","",IF(IF($B184="Global",COUNTIF('Rules &amp; Guardrails'!$F$9:$F$60,$O184),COUNTIFS('Rules &amp; Guardrails'!$F$9:$F$60,$O184,'Rules &amp; Guardrails'!$G$9:$G$60,$B184)+COUNTIFS('Rules &amp; Guardrails'!$F$9:$F$60,$O184,'Rules &amp; Guardrails'!$G$9:$G$60,"Global"))&gt;0,"Blackout",""))</f>
        <v/>
      </c>
      <c r="AO184" s="6"/>
      <c r="AP184" s="25"/>
      <c r="AQ184" s="23"/>
      <c r="AR184" s="31" t="str">
        <f aca="false">IF($D184="","",IFERROR(VLOOKUP($D184,'Rules &amp; Guardrails'!$A$9:$D$24,2,0),"Other"))</f>
        <v/>
      </c>
      <c r="AS184" s="31" t="str">
        <f aca="false">IF($O184="","",$O184&amp;"|"&amp;$B184)</f>
        <v/>
      </c>
    </row>
    <row r="185" customFormat="false" ht="15" hidden="false" customHeight="false" outlineLevel="0" collapsed="false">
      <c r="A185" s="23"/>
      <c r="B185" s="23"/>
      <c r="C185" s="23"/>
      <c r="D185" s="23"/>
      <c r="E185" s="23"/>
      <c r="F185" s="23"/>
      <c r="G185" s="6"/>
      <c r="H185" s="6"/>
      <c r="I185" s="23"/>
      <c r="J185" s="23"/>
      <c r="K185" s="23"/>
      <c r="L185" s="6"/>
      <c r="M185" s="6"/>
      <c r="N185" s="24"/>
      <c r="O185" s="25"/>
      <c r="P185" s="23"/>
      <c r="Q185" s="23"/>
      <c r="R185" s="23"/>
      <c r="S185" s="23"/>
      <c r="T185" s="26" t="str">
        <f aca="false">IF(OR($O185="",$D185=""),"",WORKDAY($O185,-IFERROR(VLOOKUP($D185,'Rules &amp; Guardrails'!$A$9:$D$24,3,0),10)))</f>
        <v/>
      </c>
      <c r="U185" s="23"/>
      <c r="V185" s="23"/>
      <c r="W185" s="23"/>
      <c r="X185" s="6"/>
      <c r="Y185" s="23"/>
      <c r="Z185" s="23"/>
      <c r="AA185" s="23"/>
      <c r="AB185" s="23"/>
      <c r="AC185" s="23"/>
      <c r="AD185" s="23"/>
      <c r="AE185" s="23"/>
      <c r="AF185" s="27" t="str">
        <f aca="true">IF($O185="","",IF(OR($AE185="Cancelled",$AE185="On hold",$AE185="Launched"),$AE185,IF(AND($Y185="Approved",OR($Z185="Yes",$Z185="N/A"),OR($AA185="Yes",$AA185="N/A"),OR($AB185="No",$AB185="N/A",AND($AB185="Yes",$AD185="Yes"))),"Ready",IF($O185&lt;TODAY(),"Overdue",IF($O185-TODAY()&lt;='Rules &amp; Guardrails'!$C$5,"At Risk","In Progress")))))</f>
        <v/>
      </c>
      <c r="AG185" s="28" t="str">
        <f aca="false">IF($O185="","",IF(OR($AE185="Launched",$AE185="Cancelled"),"",MID(IF($Y185&lt;&gt;"Approved",", Content approval","")&amp;IF(NOT(OR($Z185="Yes",$Z185="N/A")),", Assets","")&amp;IF(NOT(OR($AA185="Yes",$AA185="N/A")),", List","")&amp;IF($AB185="",", Ops decision",IF(AND($AB185="Yes",$AD185&lt;&gt;"Yes"),", Ops",""))&amp;IF($U185="",", Owner","")&amp;IF($K185="",", Segment",""),3,200)))</f>
        <v/>
      </c>
      <c r="AH185" s="29" t="str">
        <f aca="true">IF($O185="","",$O185-TODAY())</f>
        <v/>
      </c>
      <c r="AI185" s="26" t="str">
        <f aca="false">IF($O185="","",$O185-WEEKDAY($O185,3))</f>
        <v/>
      </c>
      <c r="AJ185" s="30" t="str">
        <f aca="false">IF($O185="","",DATE(YEAR($O185),MONTH($O185),1))</f>
        <v/>
      </c>
      <c r="AK185" s="31" t="str">
        <f aca="false">IF(OR($O185="",$K185=""),"",COUNTIFS('Comms Calendar'!$K$5:$K$504,$K185,'Comms Calendar'!$B$5:$B$504,$B185,'Comms Calendar'!$AI$5:$AI$504,$AI185,'Comms Calendar'!$AE$5:$AE$504,"&lt;&gt;Cancelled"))</f>
        <v/>
      </c>
      <c r="AL185" s="27" t="str">
        <f aca="false">IF($AK185="","",IF($AK185&gt;'Rules &amp; Guardrails'!$C$3,"Over cap","OK"))</f>
        <v/>
      </c>
      <c r="AM185" s="27" t="str">
        <f aca="false">IF(OR($O185="",$K185=""),"",IF(COUNTIFS('Comms Calendar'!$K$5:$K$504,$K185,'Comms Calendar'!$B$5:$B$504,$B185,'Comms Calendar'!$O$5:$O$504,$O185,'Comms Calendar'!$AE$5:$AE$504,"&lt;&gt;Cancelled")&gt;1,"Clash",""))</f>
        <v/>
      </c>
      <c r="AN185" s="27" t="str">
        <f aca="false">IF($O185="","",IF(IF($B185="Global",COUNTIF('Rules &amp; Guardrails'!$F$9:$F$60,$O185),COUNTIFS('Rules &amp; Guardrails'!$F$9:$F$60,$O185,'Rules &amp; Guardrails'!$G$9:$G$60,$B185)+COUNTIFS('Rules &amp; Guardrails'!$F$9:$F$60,$O185,'Rules &amp; Guardrails'!$G$9:$G$60,"Global"))&gt;0,"Blackout",""))</f>
        <v/>
      </c>
      <c r="AO185" s="6"/>
      <c r="AP185" s="25"/>
      <c r="AQ185" s="23"/>
      <c r="AR185" s="31" t="str">
        <f aca="false">IF($D185="","",IFERROR(VLOOKUP($D185,'Rules &amp; Guardrails'!$A$9:$D$24,2,0),"Other"))</f>
        <v/>
      </c>
      <c r="AS185" s="31" t="str">
        <f aca="false">IF($O185="","",$O185&amp;"|"&amp;$B185)</f>
        <v/>
      </c>
    </row>
    <row r="186" customFormat="false" ht="15" hidden="false" customHeight="false" outlineLevel="0" collapsed="false">
      <c r="A186" s="23"/>
      <c r="B186" s="23"/>
      <c r="C186" s="23"/>
      <c r="D186" s="23"/>
      <c r="E186" s="23"/>
      <c r="F186" s="23"/>
      <c r="G186" s="6"/>
      <c r="H186" s="6"/>
      <c r="I186" s="23"/>
      <c r="J186" s="23"/>
      <c r="K186" s="23"/>
      <c r="L186" s="6"/>
      <c r="M186" s="6"/>
      <c r="N186" s="24"/>
      <c r="O186" s="25"/>
      <c r="P186" s="23"/>
      <c r="Q186" s="23"/>
      <c r="R186" s="23"/>
      <c r="S186" s="23"/>
      <c r="T186" s="26" t="str">
        <f aca="false">IF(OR($O186="",$D186=""),"",WORKDAY($O186,-IFERROR(VLOOKUP($D186,'Rules &amp; Guardrails'!$A$9:$D$24,3,0),10)))</f>
        <v/>
      </c>
      <c r="U186" s="23"/>
      <c r="V186" s="23"/>
      <c r="W186" s="23"/>
      <c r="X186" s="6"/>
      <c r="Y186" s="23"/>
      <c r="Z186" s="23"/>
      <c r="AA186" s="23"/>
      <c r="AB186" s="23"/>
      <c r="AC186" s="23"/>
      <c r="AD186" s="23"/>
      <c r="AE186" s="23"/>
      <c r="AF186" s="27" t="str">
        <f aca="true">IF($O186="","",IF(OR($AE186="Cancelled",$AE186="On hold",$AE186="Launched"),$AE186,IF(AND($Y186="Approved",OR($Z186="Yes",$Z186="N/A"),OR($AA186="Yes",$AA186="N/A"),OR($AB186="No",$AB186="N/A",AND($AB186="Yes",$AD186="Yes"))),"Ready",IF($O186&lt;TODAY(),"Overdue",IF($O186-TODAY()&lt;='Rules &amp; Guardrails'!$C$5,"At Risk","In Progress")))))</f>
        <v/>
      </c>
      <c r="AG186" s="28" t="str">
        <f aca="false">IF($O186="","",IF(OR($AE186="Launched",$AE186="Cancelled"),"",MID(IF($Y186&lt;&gt;"Approved",", Content approval","")&amp;IF(NOT(OR($Z186="Yes",$Z186="N/A")),", Assets","")&amp;IF(NOT(OR($AA186="Yes",$AA186="N/A")),", List","")&amp;IF($AB186="",", Ops decision",IF(AND($AB186="Yes",$AD186&lt;&gt;"Yes"),", Ops",""))&amp;IF($U186="",", Owner","")&amp;IF($K186="",", Segment",""),3,200)))</f>
        <v/>
      </c>
      <c r="AH186" s="29" t="str">
        <f aca="true">IF($O186="","",$O186-TODAY())</f>
        <v/>
      </c>
      <c r="AI186" s="26" t="str">
        <f aca="false">IF($O186="","",$O186-WEEKDAY($O186,3))</f>
        <v/>
      </c>
      <c r="AJ186" s="30" t="str">
        <f aca="false">IF($O186="","",DATE(YEAR($O186),MONTH($O186),1))</f>
        <v/>
      </c>
      <c r="AK186" s="31" t="str">
        <f aca="false">IF(OR($O186="",$K186=""),"",COUNTIFS('Comms Calendar'!$K$5:$K$504,$K186,'Comms Calendar'!$B$5:$B$504,$B186,'Comms Calendar'!$AI$5:$AI$504,$AI186,'Comms Calendar'!$AE$5:$AE$504,"&lt;&gt;Cancelled"))</f>
        <v/>
      </c>
      <c r="AL186" s="27" t="str">
        <f aca="false">IF($AK186="","",IF($AK186&gt;'Rules &amp; Guardrails'!$C$3,"Over cap","OK"))</f>
        <v/>
      </c>
      <c r="AM186" s="27" t="str">
        <f aca="false">IF(OR($O186="",$K186=""),"",IF(COUNTIFS('Comms Calendar'!$K$5:$K$504,$K186,'Comms Calendar'!$B$5:$B$504,$B186,'Comms Calendar'!$O$5:$O$504,$O186,'Comms Calendar'!$AE$5:$AE$504,"&lt;&gt;Cancelled")&gt;1,"Clash",""))</f>
        <v/>
      </c>
      <c r="AN186" s="27" t="str">
        <f aca="false">IF($O186="","",IF(IF($B186="Global",COUNTIF('Rules &amp; Guardrails'!$F$9:$F$60,$O186),COUNTIFS('Rules &amp; Guardrails'!$F$9:$F$60,$O186,'Rules &amp; Guardrails'!$G$9:$G$60,$B186)+COUNTIFS('Rules &amp; Guardrails'!$F$9:$F$60,$O186,'Rules &amp; Guardrails'!$G$9:$G$60,"Global"))&gt;0,"Blackout",""))</f>
        <v/>
      </c>
      <c r="AO186" s="6"/>
      <c r="AP186" s="25"/>
      <c r="AQ186" s="23"/>
      <c r="AR186" s="31" t="str">
        <f aca="false">IF($D186="","",IFERROR(VLOOKUP($D186,'Rules &amp; Guardrails'!$A$9:$D$24,2,0),"Other"))</f>
        <v/>
      </c>
      <c r="AS186" s="31" t="str">
        <f aca="false">IF($O186="","",$O186&amp;"|"&amp;$B186)</f>
        <v/>
      </c>
    </row>
    <row r="187" customFormat="false" ht="15" hidden="false" customHeight="false" outlineLevel="0" collapsed="false">
      <c r="A187" s="23"/>
      <c r="B187" s="23"/>
      <c r="C187" s="23"/>
      <c r="D187" s="23"/>
      <c r="E187" s="23"/>
      <c r="F187" s="23"/>
      <c r="G187" s="6"/>
      <c r="H187" s="6"/>
      <c r="I187" s="23"/>
      <c r="J187" s="23"/>
      <c r="K187" s="23"/>
      <c r="L187" s="6"/>
      <c r="M187" s="6"/>
      <c r="N187" s="24"/>
      <c r="O187" s="25"/>
      <c r="P187" s="23"/>
      <c r="Q187" s="23"/>
      <c r="R187" s="23"/>
      <c r="S187" s="23"/>
      <c r="T187" s="26" t="str">
        <f aca="false">IF(OR($O187="",$D187=""),"",WORKDAY($O187,-IFERROR(VLOOKUP($D187,'Rules &amp; Guardrails'!$A$9:$D$24,3,0),10)))</f>
        <v/>
      </c>
      <c r="U187" s="23"/>
      <c r="V187" s="23"/>
      <c r="W187" s="23"/>
      <c r="X187" s="6"/>
      <c r="Y187" s="23"/>
      <c r="Z187" s="23"/>
      <c r="AA187" s="23"/>
      <c r="AB187" s="23"/>
      <c r="AC187" s="23"/>
      <c r="AD187" s="23"/>
      <c r="AE187" s="23"/>
      <c r="AF187" s="27" t="str">
        <f aca="true">IF($O187="","",IF(OR($AE187="Cancelled",$AE187="On hold",$AE187="Launched"),$AE187,IF(AND($Y187="Approved",OR($Z187="Yes",$Z187="N/A"),OR($AA187="Yes",$AA187="N/A"),OR($AB187="No",$AB187="N/A",AND($AB187="Yes",$AD187="Yes"))),"Ready",IF($O187&lt;TODAY(),"Overdue",IF($O187-TODAY()&lt;='Rules &amp; Guardrails'!$C$5,"At Risk","In Progress")))))</f>
        <v/>
      </c>
      <c r="AG187" s="28" t="str">
        <f aca="false">IF($O187="","",IF(OR($AE187="Launched",$AE187="Cancelled"),"",MID(IF($Y187&lt;&gt;"Approved",", Content approval","")&amp;IF(NOT(OR($Z187="Yes",$Z187="N/A")),", Assets","")&amp;IF(NOT(OR($AA187="Yes",$AA187="N/A")),", List","")&amp;IF($AB187="",", Ops decision",IF(AND($AB187="Yes",$AD187&lt;&gt;"Yes"),", Ops",""))&amp;IF($U187="",", Owner","")&amp;IF($K187="",", Segment",""),3,200)))</f>
        <v/>
      </c>
      <c r="AH187" s="29" t="str">
        <f aca="true">IF($O187="","",$O187-TODAY())</f>
        <v/>
      </c>
      <c r="AI187" s="26" t="str">
        <f aca="false">IF($O187="","",$O187-WEEKDAY($O187,3))</f>
        <v/>
      </c>
      <c r="AJ187" s="30" t="str">
        <f aca="false">IF($O187="","",DATE(YEAR($O187),MONTH($O187),1))</f>
        <v/>
      </c>
      <c r="AK187" s="31" t="str">
        <f aca="false">IF(OR($O187="",$K187=""),"",COUNTIFS('Comms Calendar'!$K$5:$K$504,$K187,'Comms Calendar'!$B$5:$B$504,$B187,'Comms Calendar'!$AI$5:$AI$504,$AI187,'Comms Calendar'!$AE$5:$AE$504,"&lt;&gt;Cancelled"))</f>
        <v/>
      </c>
      <c r="AL187" s="27" t="str">
        <f aca="false">IF($AK187="","",IF($AK187&gt;'Rules &amp; Guardrails'!$C$3,"Over cap","OK"))</f>
        <v/>
      </c>
      <c r="AM187" s="27" t="str">
        <f aca="false">IF(OR($O187="",$K187=""),"",IF(COUNTIFS('Comms Calendar'!$K$5:$K$504,$K187,'Comms Calendar'!$B$5:$B$504,$B187,'Comms Calendar'!$O$5:$O$504,$O187,'Comms Calendar'!$AE$5:$AE$504,"&lt;&gt;Cancelled")&gt;1,"Clash",""))</f>
        <v/>
      </c>
      <c r="AN187" s="27" t="str">
        <f aca="false">IF($O187="","",IF(IF($B187="Global",COUNTIF('Rules &amp; Guardrails'!$F$9:$F$60,$O187),COUNTIFS('Rules &amp; Guardrails'!$F$9:$F$60,$O187,'Rules &amp; Guardrails'!$G$9:$G$60,$B187)+COUNTIFS('Rules &amp; Guardrails'!$F$9:$F$60,$O187,'Rules &amp; Guardrails'!$G$9:$G$60,"Global"))&gt;0,"Blackout",""))</f>
        <v/>
      </c>
      <c r="AO187" s="6"/>
      <c r="AP187" s="25"/>
      <c r="AQ187" s="23"/>
      <c r="AR187" s="31" t="str">
        <f aca="false">IF($D187="","",IFERROR(VLOOKUP($D187,'Rules &amp; Guardrails'!$A$9:$D$24,2,0),"Other"))</f>
        <v/>
      </c>
      <c r="AS187" s="31" t="str">
        <f aca="false">IF($O187="","",$O187&amp;"|"&amp;$B187)</f>
        <v/>
      </c>
    </row>
    <row r="188" customFormat="false" ht="15" hidden="false" customHeight="false" outlineLevel="0" collapsed="false">
      <c r="A188" s="23"/>
      <c r="B188" s="23"/>
      <c r="C188" s="23"/>
      <c r="D188" s="23"/>
      <c r="E188" s="23"/>
      <c r="F188" s="23"/>
      <c r="G188" s="6"/>
      <c r="H188" s="6"/>
      <c r="I188" s="23"/>
      <c r="J188" s="23"/>
      <c r="K188" s="23"/>
      <c r="L188" s="6"/>
      <c r="M188" s="6"/>
      <c r="N188" s="24"/>
      <c r="O188" s="25"/>
      <c r="P188" s="23"/>
      <c r="Q188" s="23"/>
      <c r="R188" s="23"/>
      <c r="S188" s="23"/>
      <c r="T188" s="26" t="str">
        <f aca="false">IF(OR($O188="",$D188=""),"",WORKDAY($O188,-IFERROR(VLOOKUP($D188,'Rules &amp; Guardrails'!$A$9:$D$24,3,0),10)))</f>
        <v/>
      </c>
      <c r="U188" s="23"/>
      <c r="V188" s="23"/>
      <c r="W188" s="23"/>
      <c r="X188" s="6"/>
      <c r="Y188" s="23"/>
      <c r="Z188" s="23"/>
      <c r="AA188" s="23"/>
      <c r="AB188" s="23"/>
      <c r="AC188" s="23"/>
      <c r="AD188" s="23"/>
      <c r="AE188" s="23"/>
      <c r="AF188" s="27" t="str">
        <f aca="true">IF($O188="","",IF(OR($AE188="Cancelled",$AE188="On hold",$AE188="Launched"),$AE188,IF(AND($Y188="Approved",OR($Z188="Yes",$Z188="N/A"),OR($AA188="Yes",$AA188="N/A"),OR($AB188="No",$AB188="N/A",AND($AB188="Yes",$AD188="Yes"))),"Ready",IF($O188&lt;TODAY(),"Overdue",IF($O188-TODAY()&lt;='Rules &amp; Guardrails'!$C$5,"At Risk","In Progress")))))</f>
        <v/>
      </c>
      <c r="AG188" s="28" t="str">
        <f aca="false">IF($O188="","",IF(OR($AE188="Launched",$AE188="Cancelled"),"",MID(IF($Y188&lt;&gt;"Approved",", Content approval","")&amp;IF(NOT(OR($Z188="Yes",$Z188="N/A")),", Assets","")&amp;IF(NOT(OR($AA188="Yes",$AA188="N/A")),", List","")&amp;IF($AB188="",", Ops decision",IF(AND($AB188="Yes",$AD188&lt;&gt;"Yes"),", Ops",""))&amp;IF($U188="",", Owner","")&amp;IF($K188="",", Segment",""),3,200)))</f>
        <v/>
      </c>
      <c r="AH188" s="29" t="str">
        <f aca="true">IF($O188="","",$O188-TODAY())</f>
        <v/>
      </c>
      <c r="AI188" s="26" t="str">
        <f aca="false">IF($O188="","",$O188-WEEKDAY($O188,3))</f>
        <v/>
      </c>
      <c r="AJ188" s="30" t="str">
        <f aca="false">IF($O188="","",DATE(YEAR($O188),MONTH($O188),1))</f>
        <v/>
      </c>
      <c r="AK188" s="31" t="str">
        <f aca="false">IF(OR($O188="",$K188=""),"",COUNTIFS('Comms Calendar'!$K$5:$K$504,$K188,'Comms Calendar'!$B$5:$B$504,$B188,'Comms Calendar'!$AI$5:$AI$504,$AI188,'Comms Calendar'!$AE$5:$AE$504,"&lt;&gt;Cancelled"))</f>
        <v/>
      </c>
      <c r="AL188" s="27" t="str">
        <f aca="false">IF($AK188="","",IF($AK188&gt;'Rules &amp; Guardrails'!$C$3,"Over cap","OK"))</f>
        <v/>
      </c>
      <c r="AM188" s="27" t="str">
        <f aca="false">IF(OR($O188="",$K188=""),"",IF(COUNTIFS('Comms Calendar'!$K$5:$K$504,$K188,'Comms Calendar'!$B$5:$B$504,$B188,'Comms Calendar'!$O$5:$O$504,$O188,'Comms Calendar'!$AE$5:$AE$504,"&lt;&gt;Cancelled")&gt;1,"Clash",""))</f>
        <v/>
      </c>
      <c r="AN188" s="27" t="str">
        <f aca="false">IF($O188="","",IF(IF($B188="Global",COUNTIF('Rules &amp; Guardrails'!$F$9:$F$60,$O188),COUNTIFS('Rules &amp; Guardrails'!$F$9:$F$60,$O188,'Rules &amp; Guardrails'!$G$9:$G$60,$B188)+COUNTIFS('Rules &amp; Guardrails'!$F$9:$F$60,$O188,'Rules &amp; Guardrails'!$G$9:$G$60,"Global"))&gt;0,"Blackout",""))</f>
        <v/>
      </c>
      <c r="AO188" s="6"/>
      <c r="AP188" s="25"/>
      <c r="AQ188" s="23"/>
      <c r="AR188" s="31" t="str">
        <f aca="false">IF($D188="","",IFERROR(VLOOKUP($D188,'Rules &amp; Guardrails'!$A$9:$D$24,2,0),"Other"))</f>
        <v/>
      </c>
      <c r="AS188" s="31" t="str">
        <f aca="false">IF($O188="","",$O188&amp;"|"&amp;$B188)</f>
        <v/>
      </c>
    </row>
    <row r="189" customFormat="false" ht="15" hidden="false" customHeight="false" outlineLevel="0" collapsed="false">
      <c r="A189" s="23"/>
      <c r="B189" s="23"/>
      <c r="C189" s="23"/>
      <c r="D189" s="23"/>
      <c r="E189" s="23"/>
      <c r="F189" s="23"/>
      <c r="G189" s="6"/>
      <c r="H189" s="6"/>
      <c r="I189" s="23"/>
      <c r="J189" s="23"/>
      <c r="K189" s="23"/>
      <c r="L189" s="6"/>
      <c r="M189" s="6"/>
      <c r="N189" s="24"/>
      <c r="O189" s="25"/>
      <c r="P189" s="23"/>
      <c r="Q189" s="23"/>
      <c r="R189" s="23"/>
      <c r="S189" s="23"/>
      <c r="T189" s="26" t="str">
        <f aca="false">IF(OR($O189="",$D189=""),"",WORKDAY($O189,-IFERROR(VLOOKUP($D189,'Rules &amp; Guardrails'!$A$9:$D$24,3,0),10)))</f>
        <v/>
      </c>
      <c r="U189" s="23"/>
      <c r="V189" s="23"/>
      <c r="W189" s="23"/>
      <c r="X189" s="6"/>
      <c r="Y189" s="23"/>
      <c r="Z189" s="23"/>
      <c r="AA189" s="23"/>
      <c r="AB189" s="23"/>
      <c r="AC189" s="23"/>
      <c r="AD189" s="23"/>
      <c r="AE189" s="23"/>
      <c r="AF189" s="27" t="str">
        <f aca="true">IF($O189="","",IF(OR($AE189="Cancelled",$AE189="On hold",$AE189="Launched"),$AE189,IF(AND($Y189="Approved",OR($Z189="Yes",$Z189="N/A"),OR($AA189="Yes",$AA189="N/A"),OR($AB189="No",$AB189="N/A",AND($AB189="Yes",$AD189="Yes"))),"Ready",IF($O189&lt;TODAY(),"Overdue",IF($O189-TODAY()&lt;='Rules &amp; Guardrails'!$C$5,"At Risk","In Progress")))))</f>
        <v/>
      </c>
      <c r="AG189" s="28" t="str">
        <f aca="false">IF($O189="","",IF(OR($AE189="Launched",$AE189="Cancelled"),"",MID(IF($Y189&lt;&gt;"Approved",", Content approval","")&amp;IF(NOT(OR($Z189="Yes",$Z189="N/A")),", Assets","")&amp;IF(NOT(OR($AA189="Yes",$AA189="N/A")),", List","")&amp;IF($AB189="",", Ops decision",IF(AND($AB189="Yes",$AD189&lt;&gt;"Yes"),", Ops",""))&amp;IF($U189="",", Owner","")&amp;IF($K189="",", Segment",""),3,200)))</f>
        <v/>
      </c>
      <c r="AH189" s="29" t="str">
        <f aca="true">IF($O189="","",$O189-TODAY())</f>
        <v/>
      </c>
      <c r="AI189" s="26" t="str">
        <f aca="false">IF($O189="","",$O189-WEEKDAY($O189,3))</f>
        <v/>
      </c>
      <c r="AJ189" s="30" t="str">
        <f aca="false">IF($O189="","",DATE(YEAR($O189),MONTH($O189),1))</f>
        <v/>
      </c>
      <c r="AK189" s="31" t="str">
        <f aca="false">IF(OR($O189="",$K189=""),"",COUNTIFS('Comms Calendar'!$K$5:$K$504,$K189,'Comms Calendar'!$B$5:$B$504,$B189,'Comms Calendar'!$AI$5:$AI$504,$AI189,'Comms Calendar'!$AE$5:$AE$504,"&lt;&gt;Cancelled"))</f>
        <v/>
      </c>
      <c r="AL189" s="27" t="str">
        <f aca="false">IF($AK189="","",IF($AK189&gt;'Rules &amp; Guardrails'!$C$3,"Over cap","OK"))</f>
        <v/>
      </c>
      <c r="AM189" s="27" t="str">
        <f aca="false">IF(OR($O189="",$K189=""),"",IF(COUNTIFS('Comms Calendar'!$K$5:$K$504,$K189,'Comms Calendar'!$B$5:$B$504,$B189,'Comms Calendar'!$O$5:$O$504,$O189,'Comms Calendar'!$AE$5:$AE$504,"&lt;&gt;Cancelled")&gt;1,"Clash",""))</f>
        <v/>
      </c>
      <c r="AN189" s="27" t="str">
        <f aca="false">IF($O189="","",IF(IF($B189="Global",COUNTIF('Rules &amp; Guardrails'!$F$9:$F$60,$O189),COUNTIFS('Rules &amp; Guardrails'!$F$9:$F$60,$O189,'Rules &amp; Guardrails'!$G$9:$G$60,$B189)+COUNTIFS('Rules &amp; Guardrails'!$F$9:$F$60,$O189,'Rules &amp; Guardrails'!$G$9:$G$60,"Global"))&gt;0,"Blackout",""))</f>
        <v/>
      </c>
      <c r="AO189" s="6"/>
      <c r="AP189" s="25"/>
      <c r="AQ189" s="23"/>
      <c r="AR189" s="31" t="str">
        <f aca="false">IF($D189="","",IFERROR(VLOOKUP($D189,'Rules &amp; Guardrails'!$A$9:$D$24,2,0),"Other"))</f>
        <v/>
      </c>
      <c r="AS189" s="31" t="str">
        <f aca="false">IF($O189="","",$O189&amp;"|"&amp;$B189)</f>
        <v/>
      </c>
    </row>
    <row r="190" customFormat="false" ht="15" hidden="false" customHeight="false" outlineLevel="0" collapsed="false">
      <c r="A190" s="23"/>
      <c r="B190" s="23"/>
      <c r="C190" s="23"/>
      <c r="D190" s="23"/>
      <c r="E190" s="23"/>
      <c r="F190" s="23"/>
      <c r="G190" s="6"/>
      <c r="H190" s="6"/>
      <c r="I190" s="23"/>
      <c r="J190" s="23"/>
      <c r="K190" s="23"/>
      <c r="L190" s="6"/>
      <c r="M190" s="6"/>
      <c r="N190" s="24"/>
      <c r="O190" s="25"/>
      <c r="P190" s="23"/>
      <c r="Q190" s="23"/>
      <c r="R190" s="23"/>
      <c r="S190" s="23"/>
      <c r="T190" s="26" t="str">
        <f aca="false">IF(OR($O190="",$D190=""),"",WORKDAY($O190,-IFERROR(VLOOKUP($D190,'Rules &amp; Guardrails'!$A$9:$D$24,3,0),10)))</f>
        <v/>
      </c>
      <c r="U190" s="23"/>
      <c r="V190" s="23"/>
      <c r="W190" s="23"/>
      <c r="X190" s="6"/>
      <c r="Y190" s="23"/>
      <c r="Z190" s="23"/>
      <c r="AA190" s="23"/>
      <c r="AB190" s="23"/>
      <c r="AC190" s="23"/>
      <c r="AD190" s="23"/>
      <c r="AE190" s="23"/>
      <c r="AF190" s="27" t="str">
        <f aca="true">IF($O190="","",IF(OR($AE190="Cancelled",$AE190="On hold",$AE190="Launched"),$AE190,IF(AND($Y190="Approved",OR($Z190="Yes",$Z190="N/A"),OR($AA190="Yes",$AA190="N/A"),OR($AB190="No",$AB190="N/A",AND($AB190="Yes",$AD190="Yes"))),"Ready",IF($O190&lt;TODAY(),"Overdue",IF($O190-TODAY()&lt;='Rules &amp; Guardrails'!$C$5,"At Risk","In Progress")))))</f>
        <v/>
      </c>
      <c r="AG190" s="28" t="str">
        <f aca="false">IF($O190="","",IF(OR($AE190="Launched",$AE190="Cancelled"),"",MID(IF($Y190&lt;&gt;"Approved",", Content approval","")&amp;IF(NOT(OR($Z190="Yes",$Z190="N/A")),", Assets","")&amp;IF(NOT(OR($AA190="Yes",$AA190="N/A")),", List","")&amp;IF($AB190="",", Ops decision",IF(AND($AB190="Yes",$AD190&lt;&gt;"Yes"),", Ops",""))&amp;IF($U190="",", Owner","")&amp;IF($K190="",", Segment",""),3,200)))</f>
        <v/>
      </c>
      <c r="AH190" s="29" t="str">
        <f aca="true">IF($O190="","",$O190-TODAY())</f>
        <v/>
      </c>
      <c r="AI190" s="26" t="str">
        <f aca="false">IF($O190="","",$O190-WEEKDAY($O190,3))</f>
        <v/>
      </c>
      <c r="AJ190" s="30" t="str">
        <f aca="false">IF($O190="","",DATE(YEAR($O190),MONTH($O190),1))</f>
        <v/>
      </c>
      <c r="AK190" s="31" t="str">
        <f aca="false">IF(OR($O190="",$K190=""),"",COUNTIFS('Comms Calendar'!$K$5:$K$504,$K190,'Comms Calendar'!$B$5:$B$504,$B190,'Comms Calendar'!$AI$5:$AI$504,$AI190,'Comms Calendar'!$AE$5:$AE$504,"&lt;&gt;Cancelled"))</f>
        <v/>
      </c>
      <c r="AL190" s="27" t="str">
        <f aca="false">IF($AK190="","",IF($AK190&gt;'Rules &amp; Guardrails'!$C$3,"Over cap","OK"))</f>
        <v/>
      </c>
      <c r="AM190" s="27" t="str">
        <f aca="false">IF(OR($O190="",$K190=""),"",IF(COUNTIFS('Comms Calendar'!$K$5:$K$504,$K190,'Comms Calendar'!$B$5:$B$504,$B190,'Comms Calendar'!$O$5:$O$504,$O190,'Comms Calendar'!$AE$5:$AE$504,"&lt;&gt;Cancelled")&gt;1,"Clash",""))</f>
        <v/>
      </c>
      <c r="AN190" s="27" t="str">
        <f aca="false">IF($O190="","",IF(IF($B190="Global",COUNTIF('Rules &amp; Guardrails'!$F$9:$F$60,$O190),COUNTIFS('Rules &amp; Guardrails'!$F$9:$F$60,$O190,'Rules &amp; Guardrails'!$G$9:$G$60,$B190)+COUNTIFS('Rules &amp; Guardrails'!$F$9:$F$60,$O190,'Rules &amp; Guardrails'!$G$9:$G$60,"Global"))&gt;0,"Blackout",""))</f>
        <v/>
      </c>
      <c r="AO190" s="6"/>
      <c r="AP190" s="25"/>
      <c r="AQ190" s="23"/>
      <c r="AR190" s="31" t="str">
        <f aca="false">IF($D190="","",IFERROR(VLOOKUP($D190,'Rules &amp; Guardrails'!$A$9:$D$24,2,0),"Other"))</f>
        <v/>
      </c>
      <c r="AS190" s="31" t="str">
        <f aca="false">IF($O190="","",$O190&amp;"|"&amp;$B190)</f>
        <v/>
      </c>
    </row>
    <row r="191" customFormat="false" ht="15" hidden="false" customHeight="false" outlineLevel="0" collapsed="false">
      <c r="A191" s="23"/>
      <c r="B191" s="23"/>
      <c r="C191" s="23"/>
      <c r="D191" s="23"/>
      <c r="E191" s="23"/>
      <c r="F191" s="23"/>
      <c r="G191" s="6"/>
      <c r="H191" s="6"/>
      <c r="I191" s="23"/>
      <c r="J191" s="23"/>
      <c r="K191" s="23"/>
      <c r="L191" s="6"/>
      <c r="M191" s="6"/>
      <c r="N191" s="24"/>
      <c r="O191" s="25"/>
      <c r="P191" s="23"/>
      <c r="Q191" s="23"/>
      <c r="R191" s="23"/>
      <c r="S191" s="23"/>
      <c r="T191" s="26" t="str">
        <f aca="false">IF(OR($O191="",$D191=""),"",WORKDAY($O191,-IFERROR(VLOOKUP($D191,'Rules &amp; Guardrails'!$A$9:$D$24,3,0),10)))</f>
        <v/>
      </c>
      <c r="U191" s="23"/>
      <c r="V191" s="23"/>
      <c r="W191" s="23"/>
      <c r="X191" s="6"/>
      <c r="Y191" s="23"/>
      <c r="Z191" s="23"/>
      <c r="AA191" s="23"/>
      <c r="AB191" s="23"/>
      <c r="AC191" s="23"/>
      <c r="AD191" s="23"/>
      <c r="AE191" s="23"/>
      <c r="AF191" s="27" t="str">
        <f aca="true">IF($O191="","",IF(OR($AE191="Cancelled",$AE191="On hold",$AE191="Launched"),$AE191,IF(AND($Y191="Approved",OR($Z191="Yes",$Z191="N/A"),OR($AA191="Yes",$AA191="N/A"),OR($AB191="No",$AB191="N/A",AND($AB191="Yes",$AD191="Yes"))),"Ready",IF($O191&lt;TODAY(),"Overdue",IF($O191-TODAY()&lt;='Rules &amp; Guardrails'!$C$5,"At Risk","In Progress")))))</f>
        <v/>
      </c>
      <c r="AG191" s="28" t="str">
        <f aca="false">IF($O191="","",IF(OR($AE191="Launched",$AE191="Cancelled"),"",MID(IF($Y191&lt;&gt;"Approved",", Content approval","")&amp;IF(NOT(OR($Z191="Yes",$Z191="N/A")),", Assets","")&amp;IF(NOT(OR($AA191="Yes",$AA191="N/A")),", List","")&amp;IF($AB191="",", Ops decision",IF(AND($AB191="Yes",$AD191&lt;&gt;"Yes"),", Ops",""))&amp;IF($U191="",", Owner","")&amp;IF($K191="",", Segment",""),3,200)))</f>
        <v/>
      </c>
      <c r="AH191" s="29" t="str">
        <f aca="true">IF($O191="","",$O191-TODAY())</f>
        <v/>
      </c>
      <c r="AI191" s="26" t="str">
        <f aca="false">IF($O191="","",$O191-WEEKDAY($O191,3))</f>
        <v/>
      </c>
      <c r="AJ191" s="30" t="str">
        <f aca="false">IF($O191="","",DATE(YEAR($O191),MONTH($O191),1))</f>
        <v/>
      </c>
      <c r="AK191" s="31" t="str">
        <f aca="false">IF(OR($O191="",$K191=""),"",COUNTIFS('Comms Calendar'!$K$5:$K$504,$K191,'Comms Calendar'!$B$5:$B$504,$B191,'Comms Calendar'!$AI$5:$AI$504,$AI191,'Comms Calendar'!$AE$5:$AE$504,"&lt;&gt;Cancelled"))</f>
        <v/>
      </c>
      <c r="AL191" s="27" t="str">
        <f aca="false">IF($AK191="","",IF($AK191&gt;'Rules &amp; Guardrails'!$C$3,"Over cap","OK"))</f>
        <v/>
      </c>
      <c r="AM191" s="27" t="str">
        <f aca="false">IF(OR($O191="",$K191=""),"",IF(COUNTIFS('Comms Calendar'!$K$5:$K$504,$K191,'Comms Calendar'!$B$5:$B$504,$B191,'Comms Calendar'!$O$5:$O$504,$O191,'Comms Calendar'!$AE$5:$AE$504,"&lt;&gt;Cancelled")&gt;1,"Clash",""))</f>
        <v/>
      </c>
      <c r="AN191" s="27" t="str">
        <f aca="false">IF($O191="","",IF(IF($B191="Global",COUNTIF('Rules &amp; Guardrails'!$F$9:$F$60,$O191),COUNTIFS('Rules &amp; Guardrails'!$F$9:$F$60,$O191,'Rules &amp; Guardrails'!$G$9:$G$60,$B191)+COUNTIFS('Rules &amp; Guardrails'!$F$9:$F$60,$O191,'Rules &amp; Guardrails'!$G$9:$G$60,"Global"))&gt;0,"Blackout",""))</f>
        <v/>
      </c>
      <c r="AO191" s="6"/>
      <c r="AP191" s="25"/>
      <c r="AQ191" s="23"/>
      <c r="AR191" s="31" t="str">
        <f aca="false">IF($D191="","",IFERROR(VLOOKUP($D191,'Rules &amp; Guardrails'!$A$9:$D$24,2,0),"Other"))</f>
        <v/>
      </c>
      <c r="AS191" s="31" t="str">
        <f aca="false">IF($O191="","",$O191&amp;"|"&amp;$B191)</f>
        <v/>
      </c>
    </row>
    <row r="192" customFormat="false" ht="15" hidden="false" customHeight="false" outlineLevel="0" collapsed="false">
      <c r="A192" s="23"/>
      <c r="B192" s="23"/>
      <c r="C192" s="23"/>
      <c r="D192" s="23"/>
      <c r="E192" s="23"/>
      <c r="F192" s="23"/>
      <c r="G192" s="6"/>
      <c r="H192" s="6"/>
      <c r="I192" s="23"/>
      <c r="J192" s="23"/>
      <c r="K192" s="23"/>
      <c r="L192" s="6"/>
      <c r="M192" s="6"/>
      <c r="N192" s="24"/>
      <c r="O192" s="25"/>
      <c r="P192" s="23"/>
      <c r="Q192" s="23"/>
      <c r="R192" s="23"/>
      <c r="S192" s="23"/>
      <c r="T192" s="26" t="str">
        <f aca="false">IF(OR($O192="",$D192=""),"",WORKDAY($O192,-IFERROR(VLOOKUP($D192,'Rules &amp; Guardrails'!$A$9:$D$24,3,0),10)))</f>
        <v/>
      </c>
      <c r="U192" s="23"/>
      <c r="V192" s="23"/>
      <c r="W192" s="23"/>
      <c r="X192" s="6"/>
      <c r="Y192" s="23"/>
      <c r="Z192" s="23"/>
      <c r="AA192" s="23"/>
      <c r="AB192" s="23"/>
      <c r="AC192" s="23"/>
      <c r="AD192" s="23"/>
      <c r="AE192" s="23"/>
      <c r="AF192" s="27" t="str">
        <f aca="true">IF($O192="","",IF(OR($AE192="Cancelled",$AE192="On hold",$AE192="Launched"),$AE192,IF(AND($Y192="Approved",OR($Z192="Yes",$Z192="N/A"),OR($AA192="Yes",$AA192="N/A"),OR($AB192="No",$AB192="N/A",AND($AB192="Yes",$AD192="Yes"))),"Ready",IF($O192&lt;TODAY(),"Overdue",IF($O192-TODAY()&lt;='Rules &amp; Guardrails'!$C$5,"At Risk","In Progress")))))</f>
        <v/>
      </c>
      <c r="AG192" s="28" t="str">
        <f aca="false">IF($O192="","",IF(OR($AE192="Launched",$AE192="Cancelled"),"",MID(IF($Y192&lt;&gt;"Approved",", Content approval","")&amp;IF(NOT(OR($Z192="Yes",$Z192="N/A")),", Assets","")&amp;IF(NOT(OR($AA192="Yes",$AA192="N/A")),", List","")&amp;IF($AB192="",", Ops decision",IF(AND($AB192="Yes",$AD192&lt;&gt;"Yes"),", Ops",""))&amp;IF($U192="",", Owner","")&amp;IF($K192="",", Segment",""),3,200)))</f>
        <v/>
      </c>
      <c r="AH192" s="29" t="str">
        <f aca="true">IF($O192="","",$O192-TODAY())</f>
        <v/>
      </c>
      <c r="AI192" s="26" t="str">
        <f aca="false">IF($O192="","",$O192-WEEKDAY($O192,3))</f>
        <v/>
      </c>
      <c r="AJ192" s="30" t="str">
        <f aca="false">IF($O192="","",DATE(YEAR($O192),MONTH($O192),1))</f>
        <v/>
      </c>
      <c r="AK192" s="31" t="str">
        <f aca="false">IF(OR($O192="",$K192=""),"",COUNTIFS('Comms Calendar'!$K$5:$K$504,$K192,'Comms Calendar'!$B$5:$B$504,$B192,'Comms Calendar'!$AI$5:$AI$504,$AI192,'Comms Calendar'!$AE$5:$AE$504,"&lt;&gt;Cancelled"))</f>
        <v/>
      </c>
      <c r="AL192" s="27" t="str">
        <f aca="false">IF($AK192="","",IF($AK192&gt;'Rules &amp; Guardrails'!$C$3,"Over cap","OK"))</f>
        <v/>
      </c>
      <c r="AM192" s="27" t="str">
        <f aca="false">IF(OR($O192="",$K192=""),"",IF(COUNTIFS('Comms Calendar'!$K$5:$K$504,$K192,'Comms Calendar'!$B$5:$B$504,$B192,'Comms Calendar'!$O$5:$O$504,$O192,'Comms Calendar'!$AE$5:$AE$504,"&lt;&gt;Cancelled")&gt;1,"Clash",""))</f>
        <v/>
      </c>
      <c r="AN192" s="27" t="str">
        <f aca="false">IF($O192="","",IF(IF($B192="Global",COUNTIF('Rules &amp; Guardrails'!$F$9:$F$60,$O192),COUNTIFS('Rules &amp; Guardrails'!$F$9:$F$60,$O192,'Rules &amp; Guardrails'!$G$9:$G$60,$B192)+COUNTIFS('Rules &amp; Guardrails'!$F$9:$F$60,$O192,'Rules &amp; Guardrails'!$G$9:$G$60,"Global"))&gt;0,"Blackout",""))</f>
        <v/>
      </c>
      <c r="AO192" s="6"/>
      <c r="AP192" s="25"/>
      <c r="AQ192" s="23"/>
      <c r="AR192" s="31" t="str">
        <f aca="false">IF($D192="","",IFERROR(VLOOKUP($D192,'Rules &amp; Guardrails'!$A$9:$D$24,2,0),"Other"))</f>
        <v/>
      </c>
      <c r="AS192" s="31" t="str">
        <f aca="false">IF($O192="","",$O192&amp;"|"&amp;$B192)</f>
        <v/>
      </c>
    </row>
    <row r="193" customFormat="false" ht="15" hidden="false" customHeight="false" outlineLevel="0" collapsed="false">
      <c r="A193" s="23"/>
      <c r="B193" s="23"/>
      <c r="C193" s="23"/>
      <c r="D193" s="23"/>
      <c r="E193" s="23"/>
      <c r="F193" s="23"/>
      <c r="G193" s="6"/>
      <c r="H193" s="6"/>
      <c r="I193" s="23"/>
      <c r="J193" s="23"/>
      <c r="K193" s="23"/>
      <c r="L193" s="6"/>
      <c r="M193" s="6"/>
      <c r="N193" s="24"/>
      <c r="O193" s="25"/>
      <c r="P193" s="23"/>
      <c r="Q193" s="23"/>
      <c r="R193" s="23"/>
      <c r="S193" s="23"/>
      <c r="T193" s="26" t="str">
        <f aca="false">IF(OR($O193="",$D193=""),"",WORKDAY($O193,-IFERROR(VLOOKUP($D193,'Rules &amp; Guardrails'!$A$9:$D$24,3,0),10)))</f>
        <v/>
      </c>
      <c r="U193" s="23"/>
      <c r="V193" s="23"/>
      <c r="W193" s="23"/>
      <c r="X193" s="6"/>
      <c r="Y193" s="23"/>
      <c r="Z193" s="23"/>
      <c r="AA193" s="23"/>
      <c r="AB193" s="23"/>
      <c r="AC193" s="23"/>
      <c r="AD193" s="23"/>
      <c r="AE193" s="23"/>
      <c r="AF193" s="27" t="str">
        <f aca="true">IF($O193="","",IF(OR($AE193="Cancelled",$AE193="On hold",$AE193="Launched"),$AE193,IF(AND($Y193="Approved",OR($Z193="Yes",$Z193="N/A"),OR($AA193="Yes",$AA193="N/A"),OR($AB193="No",$AB193="N/A",AND($AB193="Yes",$AD193="Yes"))),"Ready",IF($O193&lt;TODAY(),"Overdue",IF($O193-TODAY()&lt;='Rules &amp; Guardrails'!$C$5,"At Risk","In Progress")))))</f>
        <v/>
      </c>
      <c r="AG193" s="28" t="str">
        <f aca="false">IF($O193="","",IF(OR($AE193="Launched",$AE193="Cancelled"),"",MID(IF($Y193&lt;&gt;"Approved",", Content approval","")&amp;IF(NOT(OR($Z193="Yes",$Z193="N/A")),", Assets","")&amp;IF(NOT(OR($AA193="Yes",$AA193="N/A")),", List","")&amp;IF($AB193="",", Ops decision",IF(AND($AB193="Yes",$AD193&lt;&gt;"Yes"),", Ops",""))&amp;IF($U193="",", Owner","")&amp;IF($K193="",", Segment",""),3,200)))</f>
        <v/>
      </c>
      <c r="AH193" s="29" t="str">
        <f aca="true">IF($O193="","",$O193-TODAY())</f>
        <v/>
      </c>
      <c r="AI193" s="26" t="str">
        <f aca="false">IF($O193="","",$O193-WEEKDAY($O193,3))</f>
        <v/>
      </c>
      <c r="AJ193" s="30" t="str">
        <f aca="false">IF($O193="","",DATE(YEAR($O193),MONTH($O193),1))</f>
        <v/>
      </c>
      <c r="AK193" s="31" t="str">
        <f aca="false">IF(OR($O193="",$K193=""),"",COUNTIFS('Comms Calendar'!$K$5:$K$504,$K193,'Comms Calendar'!$B$5:$B$504,$B193,'Comms Calendar'!$AI$5:$AI$504,$AI193,'Comms Calendar'!$AE$5:$AE$504,"&lt;&gt;Cancelled"))</f>
        <v/>
      </c>
      <c r="AL193" s="27" t="str">
        <f aca="false">IF($AK193="","",IF($AK193&gt;'Rules &amp; Guardrails'!$C$3,"Over cap","OK"))</f>
        <v/>
      </c>
      <c r="AM193" s="27" t="str">
        <f aca="false">IF(OR($O193="",$K193=""),"",IF(COUNTIFS('Comms Calendar'!$K$5:$K$504,$K193,'Comms Calendar'!$B$5:$B$504,$B193,'Comms Calendar'!$O$5:$O$504,$O193,'Comms Calendar'!$AE$5:$AE$504,"&lt;&gt;Cancelled")&gt;1,"Clash",""))</f>
        <v/>
      </c>
      <c r="AN193" s="27" t="str">
        <f aca="false">IF($O193="","",IF(IF($B193="Global",COUNTIF('Rules &amp; Guardrails'!$F$9:$F$60,$O193),COUNTIFS('Rules &amp; Guardrails'!$F$9:$F$60,$O193,'Rules &amp; Guardrails'!$G$9:$G$60,$B193)+COUNTIFS('Rules &amp; Guardrails'!$F$9:$F$60,$O193,'Rules &amp; Guardrails'!$G$9:$G$60,"Global"))&gt;0,"Blackout",""))</f>
        <v/>
      </c>
      <c r="AO193" s="6"/>
      <c r="AP193" s="25"/>
      <c r="AQ193" s="23"/>
      <c r="AR193" s="31" t="str">
        <f aca="false">IF($D193="","",IFERROR(VLOOKUP($D193,'Rules &amp; Guardrails'!$A$9:$D$24,2,0),"Other"))</f>
        <v/>
      </c>
      <c r="AS193" s="31" t="str">
        <f aca="false">IF($O193="","",$O193&amp;"|"&amp;$B193)</f>
        <v/>
      </c>
    </row>
    <row r="194" customFormat="false" ht="15" hidden="false" customHeight="false" outlineLevel="0" collapsed="false">
      <c r="A194" s="23"/>
      <c r="B194" s="23"/>
      <c r="C194" s="23"/>
      <c r="D194" s="23"/>
      <c r="E194" s="23"/>
      <c r="F194" s="23"/>
      <c r="G194" s="6"/>
      <c r="H194" s="6"/>
      <c r="I194" s="23"/>
      <c r="J194" s="23"/>
      <c r="K194" s="23"/>
      <c r="L194" s="6"/>
      <c r="M194" s="6"/>
      <c r="N194" s="24"/>
      <c r="O194" s="25"/>
      <c r="P194" s="23"/>
      <c r="Q194" s="23"/>
      <c r="R194" s="23"/>
      <c r="S194" s="23"/>
      <c r="T194" s="26" t="str">
        <f aca="false">IF(OR($O194="",$D194=""),"",WORKDAY($O194,-IFERROR(VLOOKUP($D194,'Rules &amp; Guardrails'!$A$9:$D$24,3,0),10)))</f>
        <v/>
      </c>
      <c r="U194" s="23"/>
      <c r="V194" s="23"/>
      <c r="W194" s="23"/>
      <c r="X194" s="6"/>
      <c r="Y194" s="23"/>
      <c r="Z194" s="23"/>
      <c r="AA194" s="23"/>
      <c r="AB194" s="23"/>
      <c r="AC194" s="23"/>
      <c r="AD194" s="23"/>
      <c r="AE194" s="23"/>
      <c r="AF194" s="27" t="str">
        <f aca="true">IF($O194="","",IF(OR($AE194="Cancelled",$AE194="On hold",$AE194="Launched"),$AE194,IF(AND($Y194="Approved",OR($Z194="Yes",$Z194="N/A"),OR($AA194="Yes",$AA194="N/A"),OR($AB194="No",$AB194="N/A",AND($AB194="Yes",$AD194="Yes"))),"Ready",IF($O194&lt;TODAY(),"Overdue",IF($O194-TODAY()&lt;='Rules &amp; Guardrails'!$C$5,"At Risk","In Progress")))))</f>
        <v/>
      </c>
      <c r="AG194" s="28" t="str">
        <f aca="false">IF($O194="","",IF(OR($AE194="Launched",$AE194="Cancelled"),"",MID(IF($Y194&lt;&gt;"Approved",", Content approval","")&amp;IF(NOT(OR($Z194="Yes",$Z194="N/A")),", Assets","")&amp;IF(NOT(OR($AA194="Yes",$AA194="N/A")),", List","")&amp;IF($AB194="",", Ops decision",IF(AND($AB194="Yes",$AD194&lt;&gt;"Yes"),", Ops",""))&amp;IF($U194="",", Owner","")&amp;IF($K194="",", Segment",""),3,200)))</f>
        <v/>
      </c>
      <c r="AH194" s="29" t="str">
        <f aca="true">IF($O194="","",$O194-TODAY())</f>
        <v/>
      </c>
      <c r="AI194" s="26" t="str">
        <f aca="false">IF($O194="","",$O194-WEEKDAY($O194,3))</f>
        <v/>
      </c>
      <c r="AJ194" s="30" t="str">
        <f aca="false">IF($O194="","",DATE(YEAR($O194),MONTH($O194),1))</f>
        <v/>
      </c>
      <c r="AK194" s="31" t="str">
        <f aca="false">IF(OR($O194="",$K194=""),"",COUNTIFS('Comms Calendar'!$K$5:$K$504,$K194,'Comms Calendar'!$B$5:$B$504,$B194,'Comms Calendar'!$AI$5:$AI$504,$AI194,'Comms Calendar'!$AE$5:$AE$504,"&lt;&gt;Cancelled"))</f>
        <v/>
      </c>
      <c r="AL194" s="27" t="str">
        <f aca="false">IF($AK194="","",IF($AK194&gt;'Rules &amp; Guardrails'!$C$3,"Over cap","OK"))</f>
        <v/>
      </c>
      <c r="AM194" s="27" t="str">
        <f aca="false">IF(OR($O194="",$K194=""),"",IF(COUNTIFS('Comms Calendar'!$K$5:$K$504,$K194,'Comms Calendar'!$B$5:$B$504,$B194,'Comms Calendar'!$O$5:$O$504,$O194,'Comms Calendar'!$AE$5:$AE$504,"&lt;&gt;Cancelled")&gt;1,"Clash",""))</f>
        <v/>
      </c>
      <c r="AN194" s="27" t="str">
        <f aca="false">IF($O194="","",IF(IF($B194="Global",COUNTIF('Rules &amp; Guardrails'!$F$9:$F$60,$O194),COUNTIFS('Rules &amp; Guardrails'!$F$9:$F$60,$O194,'Rules &amp; Guardrails'!$G$9:$G$60,$B194)+COUNTIFS('Rules &amp; Guardrails'!$F$9:$F$60,$O194,'Rules &amp; Guardrails'!$G$9:$G$60,"Global"))&gt;0,"Blackout",""))</f>
        <v/>
      </c>
      <c r="AO194" s="6"/>
      <c r="AP194" s="25"/>
      <c r="AQ194" s="23"/>
      <c r="AR194" s="31" t="str">
        <f aca="false">IF($D194="","",IFERROR(VLOOKUP($D194,'Rules &amp; Guardrails'!$A$9:$D$24,2,0),"Other"))</f>
        <v/>
      </c>
      <c r="AS194" s="31" t="str">
        <f aca="false">IF($O194="","",$O194&amp;"|"&amp;$B194)</f>
        <v/>
      </c>
    </row>
    <row r="195" customFormat="false" ht="15" hidden="false" customHeight="false" outlineLevel="0" collapsed="false">
      <c r="A195" s="23"/>
      <c r="B195" s="23"/>
      <c r="C195" s="23"/>
      <c r="D195" s="23"/>
      <c r="E195" s="23"/>
      <c r="F195" s="23"/>
      <c r="G195" s="6"/>
      <c r="H195" s="6"/>
      <c r="I195" s="23"/>
      <c r="J195" s="23"/>
      <c r="K195" s="23"/>
      <c r="L195" s="6"/>
      <c r="M195" s="6"/>
      <c r="N195" s="24"/>
      <c r="O195" s="25"/>
      <c r="P195" s="23"/>
      <c r="Q195" s="23"/>
      <c r="R195" s="23"/>
      <c r="S195" s="23"/>
      <c r="T195" s="26" t="str">
        <f aca="false">IF(OR($O195="",$D195=""),"",WORKDAY($O195,-IFERROR(VLOOKUP($D195,'Rules &amp; Guardrails'!$A$9:$D$24,3,0),10)))</f>
        <v/>
      </c>
      <c r="U195" s="23"/>
      <c r="V195" s="23"/>
      <c r="W195" s="23"/>
      <c r="X195" s="6"/>
      <c r="Y195" s="23"/>
      <c r="Z195" s="23"/>
      <c r="AA195" s="23"/>
      <c r="AB195" s="23"/>
      <c r="AC195" s="23"/>
      <c r="AD195" s="23"/>
      <c r="AE195" s="23"/>
      <c r="AF195" s="27" t="str">
        <f aca="true">IF($O195="","",IF(OR($AE195="Cancelled",$AE195="On hold",$AE195="Launched"),$AE195,IF(AND($Y195="Approved",OR($Z195="Yes",$Z195="N/A"),OR($AA195="Yes",$AA195="N/A"),OR($AB195="No",$AB195="N/A",AND($AB195="Yes",$AD195="Yes"))),"Ready",IF($O195&lt;TODAY(),"Overdue",IF($O195-TODAY()&lt;='Rules &amp; Guardrails'!$C$5,"At Risk","In Progress")))))</f>
        <v/>
      </c>
      <c r="AG195" s="28" t="str">
        <f aca="false">IF($O195="","",IF(OR($AE195="Launched",$AE195="Cancelled"),"",MID(IF($Y195&lt;&gt;"Approved",", Content approval","")&amp;IF(NOT(OR($Z195="Yes",$Z195="N/A")),", Assets","")&amp;IF(NOT(OR($AA195="Yes",$AA195="N/A")),", List","")&amp;IF($AB195="",", Ops decision",IF(AND($AB195="Yes",$AD195&lt;&gt;"Yes"),", Ops",""))&amp;IF($U195="",", Owner","")&amp;IF($K195="",", Segment",""),3,200)))</f>
        <v/>
      </c>
      <c r="AH195" s="29" t="str">
        <f aca="true">IF($O195="","",$O195-TODAY())</f>
        <v/>
      </c>
      <c r="AI195" s="26" t="str">
        <f aca="false">IF($O195="","",$O195-WEEKDAY($O195,3))</f>
        <v/>
      </c>
      <c r="AJ195" s="30" t="str">
        <f aca="false">IF($O195="","",DATE(YEAR($O195),MONTH($O195),1))</f>
        <v/>
      </c>
      <c r="AK195" s="31" t="str">
        <f aca="false">IF(OR($O195="",$K195=""),"",COUNTIFS('Comms Calendar'!$K$5:$K$504,$K195,'Comms Calendar'!$B$5:$B$504,$B195,'Comms Calendar'!$AI$5:$AI$504,$AI195,'Comms Calendar'!$AE$5:$AE$504,"&lt;&gt;Cancelled"))</f>
        <v/>
      </c>
      <c r="AL195" s="27" t="str">
        <f aca="false">IF($AK195="","",IF($AK195&gt;'Rules &amp; Guardrails'!$C$3,"Over cap","OK"))</f>
        <v/>
      </c>
      <c r="AM195" s="27" t="str">
        <f aca="false">IF(OR($O195="",$K195=""),"",IF(COUNTIFS('Comms Calendar'!$K$5:$K$504,$K195,'Comms Calendar'!$B$5:$B$504,$B195,'Comms Calendar'!$O$5:$O$504,$O195,'Comms Calendar'!$AE$5:$AE$504,"&lt;&gt;Cancelled")&gt;1,"Clash",""))</f>
        <v/>
      </c>
      <c r="AN195" s="27" t="str">
        <f aca="false">IF($O195="","",IF(IF($B195="Global",COUNTIF('Rules &amp; Guardrails'!$F$9:$F$60,$O195),COUNTIFS('Rules &amp; Guardrails'!$F$9:$F$60,$O195,'Rules &amp; Guardrails'!$G$9:$G$60,$B195)+COUNTIFS('Rules &amp; Guardrails'!$F$9:$F$60,$O195,'Rules &amp; Guardrails'!$G$9:$G$60,"Global"))&gt;0,"Blackout",""))</f>
        <v/>
      </c>
      <c r="AO195" s="6"/>
      <c r="AP195" s="25"/>
      <c r="AQ195" s="23"/>
      <c r="AR195" s="31" t="str">
        <f aca="false">IF($D195="","",IFERROR(VLOOKUP($D195,'Rules &amp; Guardrails'!$A$9:$D$24,2,0),"Other"))</f>
        <v/>
      </c>
      <c r="AS195" s="31" t="str">
        <f aca="false">IF($O195="","",$O195&amp;"|"&amp;$B195)</f>
        <v/>
      </c>
    </row>
    <row r="196" customFormat="false" ht="15" hidden="false" customHeight="false" outlineLevel="0" collapsed="false">
      <c r="A196" s="23"/>
      <c r="B196" s="23"/>
      <c r="C196" s="23"/>
      <c r="D196" s="23"/>
      <c r="E196" s="23"/>
      <c r="F196" s="23"/>
      <c r="G196" s="6"/>
      <c r="H196" s="6"/>
      <c r="I196" s="23"/>
      <c r="J196" s="23"/>
      <c r="K196" s="23"/>
      <c r="L196" s="6"/>
      <c r="M196" s="6"/>
      <c r="N196" s="24"/>
      <c r="O196" s="25"/>
      <c r="P196" s="23"/>
      <c r="Q196" s="23"/>
      <c r="R196" s="23"/>
      <c r="S196" s="23"/>
      <c r="T196" s="26" t="str">
        <f aca="false">IF(OR($O196="",$D196=""),"",WORKDAY($O196,-IFERROR(VLOOKUP($D196,'Rules &amp; Guardrails'!$A$9:$D$24,3,0),10)))</f>
        <v/>
      </c>
      <c r="U196" s="23"/>
      <c r="V196" s="23"/>
      <c r="W196" s="23"/>
      <c r="X196" s="6"/>
      <c r="Y196" s="23"/>
      <c r="Z196" s="23"/>
      <c r="AA196" s="23"/>
      <c r="AB196" s="23"/>
      <c r="AC196" s="23"/>
      <c r="AD196" s="23"/>
      <c r="AE196" s="23"/>
      <c r="AF196" s="27" t="str">
        <f aca="true">IF($O196="","",IF(OR($AE196="Cancelled",$AE196="On hold",$AE196="Launched"),$AE196,IF(AND($Y196="Approved",OR($Z196="Yes",$Z196="N/A"),OR($AA196="Yes",$AA196="N/A"),OR($AB196="No",$AB196="N/A",AND($AB196="Yes",$AD196="Yes"))),"Ready",IF($O196&lt;TODAY(),"Overdue",IF($O196-TODAY()&lt;='Rules &amp; Guardrails'!$C$5,"At Risk","In Progress")))))</f>
        <v/>
      </c>
      <c r="AG196" s="28" t="str">
        <f aca="false">IF($O196="","",IF(OR($AE196="Launched",$AE196="Cancelled"),"",MID(IF($Y196&lt;&gt;"Approved",", Content approval","")&amp;IF(NOT(OR($Z196="Yes",$Z196="N/A")),", Assets","")&amp;IF(NOT(OR($AA196="Yes",$AA196="N/A")),", List","")&amp;IF($AB196="",", Ops decision",IF(AND($AB196="Yes",$AD196&lt;&gt;"Yes"),", Ops",""))&amp;IF($U196="",", Owner","")&amp;IF($K196="",", Segment",""),3,200)))</f>
        <v/>
      </c>
      <c r="AH196" s="29" t="str">
        <f aca="true">IF($O196="","",$O196-TODAY())</f>
        <v/>
      </c>
      <c r="AI196" s="26" t="str">
        <f aca="false">IF($O196="","",$O196-WEEKDAY($O196,3))</f>
        <v/>
      </c>
      <c r="AJ196" s="30" t="str">
        <f aca="false">IF($O196="","",DATE(YEAR($O196),MONTH($O196),1))</f>
        <v/>
      </c>
      <c r="AK196" s="31" t="str">
        <f aca="false">IF(OR($O196="",$K196=""),"",COUNTIFS('Comms Calendar'!$K$5:$K$504,$K196,'Comms Calendar'!$B$5:$B$504,$B196,'Comms Calendar'!$AI$5:$AI$504,$AI196,'Comms Calendar'!$AE$5:$AE$504,"&lt;&gt;Cancelled"))</f>
        <v/>
      </c>
      <c r="AL196" s="27" t="str">
        <f aca="false">IF($AK196="","",IF($AK196&gt;'Rules &amp; Guardrails'!$C$3,"Over cap","OK"))</f>
        <v/>
      </c>
      <c r="AM196" s="27" t="str">
        <f aca="false">IF(OR($O196="",$K196=""),"",IF(COUNTIFS('Comms Calendar'!$K$5:$K$504,$K196,'Comms Calendar'!$B$5:$B$504,$B196,'Comms Calendar'!$O$5:$O$504,$O196,'Comms Calendar'!$AE$5:$AE$504,"&lt;&gt;Cancelled")&gt;1,"Clash",""))</f>
        <v/>
      </c>
      <c r="AN196" s="27" t="str">
        <f aca="false">IF($O196="","",IF(IF($B196="Global",COUNTIF('Rules &amp; Guardrails'!$F$9:$F$60,$O196),COUNTIFS('Rules &amp; Guardrails'!$F$9:$F$60,$O196,'Rules &amp; Guardrails'!$G$9:$G$60,$B196)+COUNTIFS('Rules &amp; Guardrails'!$F$9:$F$60,$O196,'Rules &amp; Guardrails'!$G$9:$G$60,"Global"))&gt;0,"Blackout",""))</f>
        <v/>
      </c>
      <c r="AO196" s="6"/>
      <c r="AP196" s="25"/>
      <c r="AQ196" s="23"/>
      <c r="AR196" s="31" t="str">
        <f aca="false">IF($D196="","",IFERROR(VLOOKUP($D196,'Rules &amp; Guardrails'!$A$9:$D$24,2,0),"Other"))</f>
        <v/>
      </c>
      <c r="AS196" s="31" t="str">
        <f aca="false">IF($O196="","",$O196&amp;"|"&amp;$B196)</f>
        <v/>
      </c>
    </row>
    <row r="197" customFormat="false" ht="15" hidden="false" customHeight="false" outlineLevel="0" collapsed="false">
      <c r="A197" s="23"/>
      <c r="B197" s="23"/>
      <c r="C197" s="23"/>
      <c r="D197" s="23"/>
      <c r="E197" s="23"/>
      <c r="F197" s="23"/>
      <c r="G197" s="6"/>
      <c r="H197" s="6"/>
      <c r="I197" s="23"/>
      <c r="J197" s="23"/>
      <c r="K197" s="23"/>
      <c r="L197" s="6"/>
      <c r="M197" s="6"/>
      <c r="N197" s="24"/>
      <c r="O197" s="25"/>
      <c r="P197" s="23"/>
      <c r="Q197" s="23"/>
      <c r="R197" s="23"/>
      <c r="S197" s="23"/>
      <c r="T197" s="26" t="str">
        <f aca="false">IF(OR($O197="",$D197=""),"",WORKDAY($O197,-IFERROR(VLOOKUP($D197,'Rules &amp; Guardrails'!$A$9:$D$24,3,0),10)))</f>
        <v/>
      </c>
      <c r="U197" s="23"/>
      <c r="V197" s="23"/>
      <c r="W197" s="23"/>
      <c r="X197" s="6"/>
      <c r="Y197" s="23"/>
      <c r="Z197" s="23"/>
      <c r="AA197" s="23"/>
      <c r="AB197" s="23"/>
      <c r="AC197" s="23"/>
      <c r="AD197" s="23"/>
      <c r="AE197" s="23"/>
      <c r="AF197" s="27" t="str">
        <f aca="true">IF($O197="","",IF(OR($AE197="Cancelled",$AE197="On hold",$AE197="Launched"),$AE197,IF(AND($Y197="Approved",OR($Z197="Yes",$Z197="N/A"),OR($AA197="Yes",$AA197="N/A"),OR($AB197="No",$AB197="N/A",AND($AB197="Yes",$AD197="Yes"))),"Ready",IF($O197&lt;TODAY(),"Overdue",IF($O197-TODAY()&lt;='Rules &amp; Guardrails'!$C$5,"At Risk","In Progress")))))</f>
        <v/>
      </c>
      <c r="AG197" s="28" t="str">
        <f aca="false">IF($O197="","",IF(OR($AE197="Launched",$AE197="Cancelled"),"",MID(IF($Y197&lt;&gt;"Approved",", Content approval","")&amp;IF(NOT(OR($Z197="Yes",$Z197="N/A")),", Assets","")&amp;IF(NOT(OR($AA197="Yes",$AA197="N/A")),", List","")&amp;IF($AB197="",", Ops decision",IF(AND($AB197="Yes",$AD197&lt;&gt;"Yes"),", Ops",""))&amp;IF($U197="",", Owner","")&amp;IF($K197="",", Segment",""),3,200)))</f>
        <v/>
      </c>
      <c r="AH197" s="29" t="str">
        <f aca="true">IF($O197="","",$O197-TODAY())</f>
        <v/>
      </c>
      <c r="AI197" s="26" t="str">
        <f aca="false">IF($O197="","",$O197-WEEKDAY($O197,3))</f>
        <v/>
      </c>
      <c r="AJ197" s="30" t="str">
        <f aca="false">IF($O197="","",DATE(YEAR($O197),MONTH($O197),1))</f>
        <v/>
      </c>
      <c r="AK197" s="31" t="str">
        <f aca="false">IF(OR($O197="",$K197=""),"",COUNTIFS('Comms Calendar'!$K$5:$K$504,$K197,'Comms Calendar'!$B$5:$B$504,$B197,'Comms Calendar'!$AI$5:$AI$504,$AI197,'Comms Calendar'!$AE$5:$AE$504,"&lt;&gt;Cancelled"))</f>
        <v/>
      </c>
      <c r="AL197" s="27" t="str">
        <f aca="false">IF($AK197="","",IF($AK197&gt;'Rules &amp; Guardrails'!$C$3,"Over cap","OK"))</f>
        <v/>
      </c>
      <c r="AM197" s="27" t="str">
        <f aca="false">IF(OR($O197="",$K197=""),"",IF(COUNTIFS('Comms Calendar'!$K$5:$K$504,$K197,'Comms Calendar'!$B$5:$B$504,$B197,'Comms Calendar'!$O$5:$O$504,$O197,'Comms Calendar'!$AE$5:$AE$504,"&lt;&gt;Cancelled")&gt;1,"Clash",""))</f>
        <v/>
      </c>
      <c r="AN197" s="27" t="str">
        <f aca="false">IF($O197="","",IF(IF($B197="Global",COUNTIF('Rules &amp; Guardrails'!$F$9:$F$60,$O197),COUNTIFS('Rules &amp; Guardrails'!$F$9:$F$60,$O197,'Rules &amp; Guardrails'!$G$9:$G$60,$B197)+COUNTIFS('Rules &amp; Guardrails'!$F$9:$F$60,$O197,'Rules &amp; Guardrails'!$G$9:$G$60,"Global"))&gt;0,"Blackout",""))</f>
        <v/>
      </c>
      <c r="AO197" s="6"/>
      <c r="AP197" s="25"/>
      <c r="AQ197" s="23"/>
      <c r="AR197" s="31" t="str">
        <f aca="false">IF($D197="","",IFERROR(VLOOKUP($D197,'Rules &amp; Guardrails'!$A$9:$D$24,2,0),"Other"))</f>
        <v/>
      </c>
      <c r="AS197" s="31" t="str">
        <f aca="false">IF($O197="","",$O197&amp;"|"&amp;$B197)</f>
        <v/>
      </c>
    </row>
    <row r="198" customFormat="false" ht="15" hidden="false" customHeight="false" outlineLevel="0" collapsed="false">
      <c r="A198" s="23"/>
      <c r="B198" s="23"/>
      <c r="C198" s="23"/>
      <c r="D198" s="23"/>
      <c r="E198" s="23"/>
      <c r="F198" s="23"/>
      <c r="G198" s="6"/>
      <c r="H198" s="6"/>
      <c r="I198" s="23"/>
      <c r="J198" s="23"/>
      <c r="K198" s="23"/>
      <c r="L198" s="6"/>
      <c r="M198" s="6"/>
      <c r="N198" s="24"/>
      <c r="O198" s="25"/>
      <c r="P198" s="23"/>
      <c r="Q198" s="23"/>
      <c r="R198" s="23"/>
      <c r="S198" s="23"/>
      <c r="T198" s="26" t="str">
        <f aca="false">IF(OR($O198="",$D198=""),"",WORKDAY($O198,-IFERROR(VLOOKUP($D198,'Rules &amp; Guardrails'!$A$9:$D$24,3,0),10)))</f>
        <v/>
      </c>
      <c r="U198" s="23"/>
      <c r="V198" s="23"/>
      <c r="W198" s="23"/>
      <c r="X198" s="6"/>
      <c r="Y198" s="23"/>
      <c r="Z198" s="23"/>
      <c r="AA198" s="23"/>
      <c r="AB198" s="23"/>
      <c r="AC198" s="23"/>
      <c r="AD198" s="23"/>
      <c r="AE198" s="23"/>
      <c r="AF198" s="27" t="str">
        <f aca="true">IF($O198="","",IF(OR($AE198="Cancelled",$AE198="On hold",$AE198="Launched"),$AE198,IF(AND($Y198="Approved",OR($Z198="Yes",$Z198="N/A"),OR($AA198="Yes",$AA198="N/A"),OR($AB198="No",$AB198="N/A",AND($AB198="Yes",$AD198="Yes"))),"Ready",IF($O198&lt;TODAY(),"Overdue",IF($O198-TODAY()&lt;='Rules &amp; Guardrails'!$C$5,"At Risk","In Progress")))))</f>
        <v/>
      </c>
      <c r="AG198" s="28" t="str">
        <f aca="false">IF($O198="","",IF(OR($AE198="Launched",$AE198="Cancelled"),"",MID(IF($Y198&lt;&gt;"Approved",", Content approval","")&amp;IF(NOT(OR($Z198="Yes",$Z198="N/A")),", Assets","")&amp;IF(NOT(OR($AA198="Yes",$AA198="N/A")),", List","")&amp;IF($AB198="",", Ops decision",IF(AND($AB198="Yes",$AD198&lt;&gt;"Yes"),", Ops",""))&amp;IF($U198="",", Owner","")&amp;IF($K198="",", Segment",""),3,200)))</f>
        <v/>
      </c>
      <c r="AH198" s="29" t="str">
        <f aca="true">IF($O198="","",$O198-TODAY())</f>
        <v/>
      </c>
      <c r="AI198" s="26" t="str">
        <f aca="false">IF($O198="","",$O198-WEEKDAY($O198,3))</f>
        <v/>
      </c>
      <c r="AJ198" s="30" t="str">
        <f aca="false">IF($O198="","",DATE(YEAR($O198),MONTH($O198),1))</f>
        <v/>
      </c>
      <c r="AK198" s="31" t="str">
        <f aca="false">IF(OR($O198="",$K198=""),"",COUNTIFS('Comms Calendar'!$K$5:$K$504,$K198,'Comms Calendar'!$B$5:$B$504,$B198,'Comms Calendar'!$AI$5:$AI$504,$AI198,'Comms Calendar'!$AE$5:$AE$504,"&lt;&gt;Cancelled"))</f>
        <v/>
      </c>
      <c r="AL198" s="27" t="str">
        <f aca="false">IF($AK198="","",IF($AK198&gt;'Rules &amp; Guardrails'!$C$3,"Over cap","OK"))</f>
        <v/>
      </c>
      <c r="AM198" s="27" t="str">
        <f aca="false">IF(OR($O198="",$K198=""),"",IF(COUNTIFS('Comms Calendar'!$K$5:$K$504,$K198,'Comms Calendar'!$B$5:$B$504,$B198,'Comms Calendar'!$O$5:$O$504,$O198,'Comms Calendar'!$AE$5:$AE$504,"&lt;&gt;Cancelled")&gt;1,"Clash",""))</f>
        <v/>
      </c>
      <c r="AN198" s="27" t="str">
        <f aca="false">IF($O198="","",IF(IF($B198="Global",COUNTIF('Rules &amp; Guardrails'!$F$9:$F$60,$O198),COUNTIFS('Rules &amp; Guardrails'!$F$9:$F$60,$O198,'Rules &amp; Guardrails'!$G$9:$G$60,$B198)+COUNTIFS('Rules &amp; Guardrails'!$F$9:$F$60,$O198,'Rules &amp; Guardrails'!$G$9:$G$60,"Global"))&gt;0,"Blackout",""))</f>
        <v/>
      </c>
      <c r="AO198" s="6"/>
      <c r="AP198" s="25"/>
      <c r="AQ198" s="23"/>
      <c r="AR198" s="31" t="str">
        <f aca="false">IF($D198="","",IFERROR(VLOOKUP($D198,'Rules &amp; Guardrails'!$A$9:$D$24,2,0),"Other"))</f>
        <v/>
      </c>
      <c r="AS198" s="31" t="str">
        <f aca="false">IF($O198="","",$O198&amp;"|"&amp;$B198)</f>
        <v/>
      </c>
    </row>
    <row r="199" customFormat="false" ht="15" hidden="false" customHeight="false" outlineLevel="0" collapsed="false">
      <c r="A199" s="23"/>
      <c r="B199" s="23"/>
      <c r="C199" s="23"/>
      <c r="D199" s="23"/>
      <c r="E199" s="23"/>
      <c r="F199" s="23"/>
      <c r="G199" s="6"/>
      <c r="H199" s="6"/>
      <c r="I199" s="23"/>
      <c r="J199" s="23"/>
      <c r="K199" s="23"/>
      <c r="L199" s="6"/>
      <c r="M199" s="6"/>
      <c r="N199" s="24"/>
      <c r="O199" s="25"/>
      <c r="P199" s="23"/>
      <c r="Q199" s="23"/>
      <c r="R199" s="23"/>
      <c r="S199" s="23"/>
      <c r="T199" s="26" t="str">
        <f aca="false">IF(OR($O199="",$D199=""),"",WORKDAY($O199,-IFERROR(VLOOKUP($D199,'Rules &amp; Guardrails'!$A$9:$D$24,3,0),10)))</f>
        <v/>
      </c>
      <c r="U199" s="23"/>
      <c r="V199" s="23"/>
      <c r="W199" s="23"/>
      <c r="X199" s="6"/>
      <c r="Y199" s="23"/>
      <c r="Z199" s="23"/>
      <c r="AA199" s="23"/>
      <c r="AB199" s="23"/>
      <c r="AC199" s="23"/>
      <c r="AD199" s="23"/>
      <c r="AE199" s="23"/>
      <c r="AF199" s="27" t="str">
        <f aca="true">IF($O199="","",IF(OR($AE199="Cancelled",$AE199="On hold",$AE199="Launched"),$AE199,IF(AND($Y199="Approved",OR($Z199="Yes",$Z199="N/A"),OR($AA199="Yes",$AA199="N/A"),OR($AB199="No",$AB199="N/A",AND($AB199="Yes",$AD199="Yes"))),"Ready",IF($O199&lt;TODAY(),"Overdue",IF($O199-TODAY()&lt;='Rules &amp; Guardrails'!$C$5,"At Risk","In Progress")))))</f>
        <v/>
      </c>
      <c r="AG199" s="28" t="str">
        <f aca="false">IF($O199="","",IF(OR($AE199="Launched",$AE199="Cancelled"),"",MID(IF($Y199&lt;&gt;"Approved",", Content approval","")&amp;IF(NOT(OR($Z199="Yes",$Z199="N/A")),", Assets","")&amp;IF(NOT(OR($AA199="Yes",$AA199="N/A")),", List","")&amp;IF($AB199="",", Ops decision",IF(AND($AB199="Yes",$AD199&lt;&gt;"Yes"),", Ops",""))&amp;IF($U199="",", Owner","")&amp;IF($K199="",", Segment",""),3,200)))</f>
        <v/>
      </c>
      <c r="AH199" s="29" t="str">
        <f aca="true">IF($O199="","",$O199-TODAY())</f>
        <v/>
      </c>
      <c r="AI199" s="26" t="str">
        <f aca="false">IF($O199="","",$O199-WEEKDAY($O199,3))</f>
        <v/>
      </c>
      <c r="AJ199" s="30" t="str">
        <f aca="false">IF($O199="","",DATE(YEAR($O199),MONTH($O199),1))</f>
        <v/>
      </c>
      <c r="AK199" s="31" t="str">
        <f aca="false">IF(OR($O199="",$K199=""),"",COUNTIFS('Comms Calendar'!$K$5:$K$504,$K199,'Comms Calendar'!$B$5:$B$504,$B199,'Comms Calendar'!$AI$5:$AI$504,$AI199,'Comms Calendar'!$AE$5:$AE$504,"&lt;&gt;Cancelled"))</f>
        <v/>
      </c>
      <c r="AL199" s="27" t="str">
        <f aca="false">IF($AK199="","",IF($AK199&gt;'Rules &amp; Guardrails'!$C$3,"Over cap","OK"))</f>
        <v/>
      </c>
      <c r="AM199" s="27" t="str">
        <f aca="false">IF(OR($O199="",$K199=""),"",IF(COUNTIFS('Comms Calendar'!$K$5:$K$504,$K199,'Comms Calendar'!$B$5:$B$504,$B199,'Comms Calendar'!$O$5:$O$504,$O199,'Comms Calendar'!$AE$5:$AE$504,"&lt;&gt;Cancelled")&gt;1,"Clash",""))</f>
        <v/>
      </c>
      <c r="AN199" s="27" t="str">
        <f aca="false">IF($O199="","",IF(IF($B199="Global",COUNTIF('Rules &amp; Guardrails'!$F$9:$F$60,$O199),COUNTIFS('Rules &amp; Guardrails'!$F$9:$F$60,$O199,'Rules &amp; Guardrails'!$G$9:$G$60,$B199)+COUNTIFS('Rules &amp; Guardrails'!$F$9:$F$60,$O199,'Rules &amp; Guardrails'!$G$9:$G$60,"Global"))&gt;0,"Blackout",""))</f>
        <v/>
      </c>
      <c r="AO199" s="6"/>
      <c r="AP199" s="25"/>
      <c r="AQ199" s="23"/>
      <c r="AR199" s="31" t="str">
        <f aca="false">IF($D199="","",IFERROR(VLOOKUP($D199,'Rules &amp; Guardrails'!$A$9:$D$24,2,0),"Other"))</f>
        <v/>
      </c>
      <c r="AS199" s="31" t="str">
        <f aca="false">IF($O199="","",$O199&amp;"|"&amp;$B199)</f>
        <v/>
      </c>
    </row>
    <row r="200" customFormat="false" ht="15" hidden="false" customHeight="false" outlineLevel="0" collapsed="false">
      <c r="A200" s="23"/>
      <c r="B200" s="23"/>
      <c r="C200" s="23"/>
      <c r="D200" s="23"/>
      <c r="E200" s="23"/>
      <c r="F200" s="23"/>
      <c r="G200" s="6"/>
      <c r="H200" s="6"/>
      <c r="I200" s="23"/>
      <c r="J200" s="23"/>
      <c r="K200" s="23"/>
      <c r="L200" s="6"/>
      <c r="M200" s="6"/>
      <c r="N200" s="24"/>
      <c r="O200" s="25"/>
      <c r="P200" s="23"/>
      <c r="Q200" s="23"/>
      <c r="R200" s="23"/>
      <c r="S200" s="23"/>
      <c r="T200" s="26" t="str">
        <f aca="false">IF(OR($O200="",$D200=""),"",WORKDAY($O200,-IFERROR(VLOOKUP($D200,'Rules &amp; Guardrails'!$A$9:$D$24,3,0),10)))</f>
        <v/>
      </c>
      <c r="U200" s="23"/>
      <c r="V200" s="23"/>
      <c r="W200" s="23"/>
      <c r="X200" s="6"/>
      <c r="Y200" s="23"/>
      <c r="Z200" s="23"/>
      <c r="AA200" s="23"/>
      <c r="AB200" s="23"/>
      <c r="AC200" s="23"/>
      <c r="AD200" s="23"/>
      <c r="AE200" s="23"/>
      <c r="AF200" s="27" t="str">
        <f aca="true">IF($O200="","",IF(OR($AE200="Cancelled",$AE200="On hold",$AE200="Launched"),$AE200,IF(AND($Y200="Approved",OR($Z200="Yes",$Z200="N/A"),OR($AA200="Yes",$AA200="N/A"),OR($AB200="No",$AB200="N/A",AND($AB200="Yes",$AD200="Yes"))),"Ready",IF($O200&lt;TODAY(),"Overdue",IF($O200-TODAY()&lt;='Rules &amp; Guardrails'!$C$5,"At Risk","In Progress")))))</f>
        <v/>
      </c>
      <c r="AG200" s="28" t="str">
        <f aca="false">IF($O200="","",IF(OR($AE200="Launched",$AE200="Cancelled"),"",MID(IF($Y200&lt;&gt;"Approved",", Content approval","")&amp;IF(NOT(OR($Z200="Yes",$Z200="N/A")),", Assets","")&amp;IF(NOT(OR($AA200="Yes",$AA200="N/A")),", List","")&amp;IF($AB200="",", Ops decision",IF(AND($AB200="Yes",$AD200&lt;&gt;"Yes"),", Ops",""))&amp;IF($U200="",", Owner","")&amp;IF($K200="",", Segment",""),3,200)))</f>
        <v/>
      </c>
      <c r="AH200" s="29" t="str">
        <f aca="true">IF($O200="","",$O200-TODAY())</f>
        <v/>
      </c>
      <c r="AI200" s="26" t="str">
        <f aca="false">IF($O200="","",$O200-WEEKDAY($O200,3))</f>
        <v/>
      </c>
      <c r="AJ200" s="30" t="str">
        <f aca="false">IF($O200="","",DATE(YEAR($O200),MONTH($O200),1))</f>
        <v/>
      </c>
      <c r="AK200" s="31" t="str">
        <f aca="false">IF(OR($O200="",$K200=""),"",COUNTIFS('Comms Calendar'!$K$5:$K$504,$K200,'Comms Calendar'!$B$5:$B$504,$B200,'Comms Calendar'!$AI$5:$AI$504,$AI200,'Comms Calendar'!$AE$5:$AE$504,"&lt;&gt;Cancelled"))</f>
        <v/>
      </c>
      <c r="AL200" s="27" t="str">
        <f aca="false">IF($AK200="","",IF($AK200&gt;'Rules &amp; Guardrails'!$C$3,"Over cap","OK"))</f>
        <v/>
      </c>
      <c r="AM200" s="27" t="str">
        <f aca="false">IF(OR($O200="",$K200=""),"",IF(COUNTIFS('Comms Calendar'!$K$5:$K$504,$K200,'Comms Calendar'!$B$5:$B$504,$B200,'Comms Calendar'!$O$5:$O$504,$O200,'Comms Calendar'!$AE$5:$AE$504,"&lt;&gt;Cancelled")&gt;1,"Clash",""))</f>
        <v/>
      </c>
      <c r="AN200" s="27" t="str">
        <f aca="false">IF($O200="","",IF(IF($B200="Global",COUNTIF('Rules &amp; Guardrails'!$F$9:$F$60,$O200),COUNTIFS('Rules &amp; Guardrails'!$F$9:$F$60,$O200,'Rules &amp; Guardrails'!$G$9:$G$60,$B200)+COUNTIFS('Rules &amp; Guardrails'!$F$9:$F$60,$O200,'Rules &amp; Guardrails'!$G$9:$G$60,"Global"))&gt;0,"Blackout",""))</f>
        <v/>
      </c>
      <c r="AO200" s="6"/>
      <c r="AP200" s="25"/>
      <c r="AQ200" s="23"/>
      <c r="AR200" s="31" t="str">
        <f aca="false">IF($D200="","",IFERROR(VLOOKUP($D200,'Rules &amp; Guardrails'!$A$9:$D$24,2,0),"Other"))</f>
        <v/>
      </c>
      <c r="AS200" s="31" t="str">
        <f aca="false">IF($O200="","",$O200&amp;"|"&amp;$B200)</f>
        <v/>
      </c>
    </row>
    <row r="201" customFormat="false" ht="15" hidden="false" customHeight="false" outlineLevel="0" collapsed="false">
      <c r="A201" s="23"/>
      <c r="B201" s="23"/>
      <c r="C201" s="23"/>
      <c r="D201" s="23"/>
      <c r="E201" s="23"/>
      <c r="F201" s="23"/>
      <c r="G201" s="6"/>
      <c r="H201" s="6"/>
      <c r="I201" s="23"/>
      <c r="J201" s="23"/>
      <c r="K201" s="23"/>
      <c r="L201" s="6"/>
      <c r="M201" s="6"/>
      <c r="N201" s="24"/>
      <c r="O201" s="25"/>
      <c r="P201" s="23"/>
      <c r="Q201" s="23"/>
      <c r="R201" s="23"/>
      <c r="S201" s="23"/>
      <c r="T201" s="26" t="str">
        <f aca="false">IF(OR($O201="",$D201=""),"",WORKDAY($O201,-IFERROR(VLOOKUP($D201,'Rules &amp; Guardrails'!$A$9:$D$24,3,0),10)))</f>
        <v/>
      </c>
      <c r="U201" s="23"/>
      <c r="V201" s="23"/>
      <c r="W201" s="23"/>
      <c r="X201" s="6"/>
      <c r="Y201" s="23"/>
      <c r="Z201" s="23"/>
      <c r="AA201" s="23"/>
      <c r="AB201" s="23"/>
      <c r="AC201" s="23"/>
      <c r="AD201" s="23"/>
      <c r="AE201" s="23"/>
      <c r="AF201" s="27" t="str">
        <f aca="true">IF($O201="","",IF(OR($AE201="Cancelled",$AE201="On hold",$AE201="Launched"),$AE201,IF(AND($Y201="Approved",OR($Z201="Yes",$Z201="N/A"),OR($AA201="Yes",$AA201="N/A"),OR($AB201="No",$AB201="N/A",AND($AB201="Yes",$AD201="Yes"))),"Ready",IF($O201&lt;TODAY(),"Overdue",IF($O201-TODAY()&lt;='Rules &amp; Guardrails'!$C$5,"At Risk","In Progress")))))</f>
        <v/>
      </c>
      <c r="AG201" s="28" t="str">
        <f aca="false">IF($O201="","",IF(OR($AE201="Launched",$AE201="Cancelled"),"",MID(IF($Y201&lt;&gt;"Approved",", Content approval","")&amp;IF(NOT(OR($Z201="Yes",$Z201="N/A")),", Assets","")&amp;IF(NOT(OR($AA201="Yes",$AA201="N/A")),", List","")&amp;IF($AB201="",", Ops decision",IF(AND($AB201="Yes",$AD201&lt;&gt;"Yes"),", Ops",""))&amp;IF($U201="",", Owner","")&amp;IF($K201="",", Segment",""),3,200)))</f>
        <v/>
      </c>
      <c r="AH201" s="29" t="str">
        <f aca="true">IF($O201="","",$O201-TODAY())</f>
        <v/>
      </c>
      <c r="AI201" s="26" t="str">
        <f aca="false">IF($O201="","",$O201-WEEKDAY($O201,3))</f>
        <v/>
      </c>
      <c r="AJ201" s="30" t="str">
        <f aca="false">IF($O201="","",DATE(YEAR($O201),MONTH($O201),1))</f>
        <v/>
      </c>
      <c r="AK201" s="31" t="str">
        <f aca="false">IF(OR($O201="",$K201=""),"",COUNTIFS('Comms Calendar'!$K$5:$K$504,$K201,'Comms Calendar'!$B$5:$B$504,$B201,'Comms Calendar'!$AI$5:$AI$504,$AI201,'Comms Calendar'!$AE$5:$AE$504,"&lt;&gt;Cancelled"))</f>
        <v/>
      </c>
      <c r="AL201" s="27" t="str">
        <f aca="false">IF($AK201="","",IF($AK201&gt;'Rules &amp; Guardrails'!$C$3,"Over cap","OK"))</f>
        <v/>
      </c>
      <c r="AM201" s="27" t="str">
        <f aca="false">IF(OR($O201="",$K201=""),"",IF(COUNTIFS('Comms Calendar'!$K$5:$K$504,$K201,'Comms Calendar'!$B$5:$B$504,$B201,'Comms Calendar'!$O$5:$O$504,$O201,'Comms Calendar'!$AE$5:$AE$504,"&lt;&gt;Cancelled")&gt;1,"Clash",""))</f>
        <v/>
      </c>
      <c r="AN201" s="27" t="str">
        <f aca="false">IF($O201="","",IF(IF($B201="Global",COUNTIF('Rules &amp; Guardrails'!$F$9:$F$60,$O201),COUNTIFS('Rules &amp; Guardrails'!$F$9:$F$60,$O201,'Rules &amp; Guardrails'!$G$9:$G$60,$B201)+COUNTIFS('Rules &amp; Guardrails'!$F$9:$F$60,$O201,'Rules &amp; Guardrails'!$G$9:$G$60,"Global"))&gt;0,"Blackout",""))</f>
        <v/>
      </c>
      <c r="AO201" s="6"/>
      <c r="AP201" s="25"/>
      <c r="AQ201" s="23"/>
      <c r="AR201" s="31" t="str">
        <f aca="false">IF($D201="","",IFERROR(VLOOKUP($D201,'Rules &amp; Guardrails'!$A$9:$D$24,2,0),"Other"))</f>
        <v/>
      </c>
      <c r="AS201" s="31" t="str">
        <f aca="false">IF($O201="","",$O201&amp;"|"&amp;$B201)</f>
        <v/>
      </c>
    </row>
    <row r="202" customFormat="false" ht="15" hidden="false" customHeight="false" outlineLevel="0" collapsed="false">
      <c r="A202" s="23"/>
      <c r="B202" s="23"/>
      <c r="C202" s="23"/>
      <c r="D202" s="23"/>
      <c r="E202" s="23"/>
      <c r="F202" s="23"/>
      <c r="G202" s="6"/>
      <c r="H202" s="6"/>
      <c r="I202" s="23"/>
      <c r="J202" s="23"/>
      <c r="K202" s="23"/>
      <c r="L202" s="6"/>
      <c r="M202" s="6"/>
      <c r="N202" s="24"/>
      <c r="O202" s="25"/>
      <c r="P202" s="23"/>
      <c r="Q202" s="23"/>
      <c r="R202" s="23"/>
      <c r="S202" s="23"/>
      <c r="T202" s="26" t="str">
        <f aca="false">IF(OR($O202="",$D202=""),"",WORKDAY($O202,-IFERROR(VLOOKUP($D202,'Rules &amp; Guardrails'!$A$9:$D$24,3,0),10)))</f>
        <v/>
      </c>
      <c r="U202" s="23"/>
      <c r="V202" s="23"/>
      <c r="W202" s="23"/>
      <c r="X202" s="6"/>
      <c r="Y202" s="23"/>
      <c r="Z202" s="23"/>
      <c r="AA202" s="23"/>
      <c r="AB202" s="23"/>
      <c r="AC202" s="23"/>
      <c r="AD202" s="23"/>
      <c r="AE202" s="23"/>
      <c r="AF202" s="27" t="str">
        <f aca="true">IF($O202="","",IF(OR($AE202="Cancelled",$AE202="On hold",$AE202="Launched"),$AE202,IF(AND($Y202="Approved",OR($Z202="Yes",$Z202="N/A"),OR($AA202="Yes",$AA202="N/A"),OR($AB202="No",$AB202="N/A",AND($AB202="Yes",$AD202="Yes"))),"Ready",IF($O202&lt;TODAY(),"Overdue",IF($O202-TODAY()&lt;='Rules &amp; Guardrails'!$C$5,"At Risk","In Progress")))))</f>
        <v/>
      </c>
      <c r="AG202" s="28" t="str">
        <f aca="false">IF($O202="","",IF(OR($AE202="Launched",$AE202="Cancelled"),"",MID(IF($Y202&lt;&gt;"Approved",", Content approval","")&amp;IF(NOT(OR($Z202="Yes",$Z202="N/A")),", Assets","")&amp;IF(NOT(OR($AA202="Yes",$AA202="N/A")),", List","")&amp;IF($AB202="",", Ops decision",IF(AND($AB202="Yes",$AD202&lt;&gt;"Yes"),", Ops",""))&amp;IF($U202="",", Owner","")&amp;IF($K202="",", Segment",""),3,200)))</f>
        <v/>
      </c>
      <c r="AH202" s="29" t="str">
        <f aca="true">IF($O202="","",$O202-TODAY())</f>
        <v/>
      </c>
      <c r="AI202" s="26" t="str">
        <f aca="false">IF($O202="","",$O202-WEEKDAY($O202,3))</f>
        <v/>
      </c>
      <c r="AJ202" s="30" t="str">
        <f aca="false">IF($O202="","",DATE(YEAR($O202),MONTH($O202),1))</f>
        <v/>
      </c>
      <c r="AK202" s="31" t="str">
        <f aca="false">IF(OR($O202="",$K202=""),"",COUNTIFS('Comms Calendar'!$K$5:$K$504,$K202,'Comms Calendar'!$B$5:$B$504,$B202,'Comms Calendar'!$AI$5:$AI$504,$AI202,'Comms Calendar'!$AE$5:$AE$504,"&lt;&gt;Cancelled"))</f>
        <v/>
      </c>
      <c r="AL202" s="27" t="str">
        <f aca="false">IF($AK202="","",IF($AK202&gt;'Rules &amp; Guardrails'!$C$3,"Over cap","OK"))</f>
        <v/>
      </c>
      <c r="AM202" s="27" t="str">
        <f aca="false">IF(OR($O202="",$K202=""),"",IF(COUNTIFS('Comms Calendar'!$K$5:$K$504,$K202,'Comms Calendar'!$B$5:$B$504,$B202,'Comms Calendar'!$O$5:$O$504,$O202,'Comms Calendar'!$AE$5:$AE$504,"&lt;&gt;Cancelled")&gt;1,"Clash",""))</f>
        <v/>
      </c>
      <c r="AN202" s="27" t="str">
        <f aca="false">IF($O202="","",IF(IF($B202="Global",COUNTIF('Rules &amp; Guardrails'!$F$9:$F$60,$O202),COUNTIFS('Rules &amp; Guardrails'!$F$9:$F$60,$O202,'Rules &amp; Guardrails'!$G$9:$G$60,$B202)+COUNTIFS('Rules &amp; Guardrails'!$F$9:$F$60,$O202,'Rules &amp; Guardrails'!$G$9:$G$60,"Global"))&gt;0,"Blackout",""))</f>
        <v/>
      </c>
      <c r="AO202" s="6"/>
      <c r="AP202" s="25"/>
      <c r="AQ202" s="23"/>
      <c r="AR202" s="31" t="str">
        <f aca="false">IF($D202="","",IFERROR(VLOOKUP($D202,'Rules &amp; Guardrails'!$A$9:$D$24,2,0),"Other"))</f>
        <v/>
      </c>
      <c r="AS202" s="31" t="str">
        <f aca="false">IF($O202="","",$O202&amp;"|"&amp;$B202)</f>
        <v/>
      </c>
    </row>
    <row r="203" customFormat="false" ht="15" hidden="false" customHeight="false" outlineLevel="0" collapsed="false">
      <c r="A203" s="23"/>
      <c r="B203" s="23"/>
      <c r="C203" s="23"/>
      <c r="D203" s="23"/>
      <c r="E203" s="23"/>
      <c r="F203" s="23"/>
      <c r="G203" s="6"/>
      <c r="H203" s="6"/>
      <c r="I203" s="23"/>
      <c r="J203" s="23"/>
      <c r="K203" s="23"/>
      <c r="L203" s="6"/>
      <c r="M203" s="6"/>
      <c r="N203" s="24"/>
      <c r="O203" s="25"/>
      <c r="P203" s="23"/>
      <c r="Q203" s="23"/>
      <c r="R203" s="23"/>
      <c r="S203" s="23"/>
      <c r="T203" s="26" t="str">
        <f aca="false">IF(OR($O203="",$D203=""),"",WORKDAY($O203,-IFERROR(VLOOKUP($D203,'Rules &amp; Guardrails'!$A$9:$D$24,3,0),10)))</f>
        <v/>
      </c>
      <c r="U203" s="23"/>
      <c r="V203" s="23"/>
      <c r="W203" s="23"/>
      <c r="X203" s="6"/>
      <c r="Y203" s="23"/>
      <c r="Z203" s="23"/>
      <c r="AA203" s="23"/>
      <c r="AB203" s="23"/>
      <c r="AC203" s="23"/>
      <c r="AD203" s="23"/>
      <c r="AE203" s="23"/>
      <c r="AF203" s="27" t="str">
        <f aca="true">IF($O203="","",IF(OR($AE203="Cancelled",$AE203="On hold",$AE203="Launched"),$AE203,IF(AND($Y203="Approved",OR($Z203="Yes",$Z203="N/A"),OR($AA203="Yes",$AA203="N/A"),OR($AB203="No",$AB203="N/A",AND($AB203="Yes",$AD203="Yes"))),"Ready",IF($O203&lt;TODAY(),"Overdue",IF($O203-TODAY()&lt;='Rules &amp; Guardrails'!$C$5,"At Risk","In Progress")))))</f>
        <v/>
      </c>
      <c r="AG203" s="28" t="str">
        <f aca="false">IF($O203="","",IF(OR($AE203="Launched",$AE203="Cancelled"),"",MID(IF($Y203&lt;&gt;"Approved",", Content approval","")&amp;IF(NOT(OR($Z203="Yes",$Z203="N/A")),", Assets","")&amp;IF(NOT(OR($AA203="Yes",$AA203="N/A")),", List","")&amp;IF($AB203="",", Ops decision",IF(AND($AB203="Yes",$AD203&lt;&gt;"Yes"),", Ops",""))&amp;IF($U203="",", Owner","")&amp;IF($K203="",", Segment",""),3,200)))</f>
        <v/>
      </c>
      <c r="AH203" s="29" t="str">
        <f aca="true">IF($O203="","",$O203-TODAY())</f>
        <v/>
      </c>
      <c r="AI203" s="26" t="str">
        <f aca="false">IF($O203="","",$O203-WEEKDAY($O203,3))</f>
        <v/>
      </c>
      <c r="AJ203" s="30" t="str">
        <f aca="false">IF($O203="","",DATE(YEAR($O203),MONTH($O203),1))</f>
        <v/>
      </c>
      <c r="AK203" s="31" t="str">
        <f aca="false">IF(OR($O203="",$K203=""),"",COUNTIFS('Comms Calendar'!$K$5:$K$504,$K203,'Comms Calendar'!$B$5:$B$504,$B203,'Comms Calendar'!$AI$5:$AI$504,$AI203,'Comms Calendar'!$AE$5:$AE$504,"&lt;&gt;Cancelled"))</f>
        <v/>
      </c>
      <c r="AL203" s="27" t="str">
        <f aca="false">IF($AK203="","",IF($AK203&gt;'Rules &amp; Guardrails'!$C$3,"Over cap","OK"))</f>
        <v/>
      </c>
      <c r="AM203" s="27" t="str">
        <f aca="false">IF(OR($O203="",$K203=""),"",IF(COUNTIFS('Comms Calendar'!$K$5:$K$504,$K203,'Comms Calendar'!$B$5:$B$504,$B203,'Comms Calendar'!$O$5:$O$504,$O203,'Comms Calendar'!$AE$5:$AE$504,"&lt;&gt;Cancelled")&gt;1,"Clash",""))</f>
        <v/>
      </c>
      <c r="AN203" s="27" t="str">
        <f aca="false">IF($O203="","",IF(IF($B203="Global",COUNTIF('Rules &amp; Guardrails'!$F$9:$F$60,$O203),COUNTIFS('Rules &amp; Guardrails'!$F$9:$F$60,$O203,'Rules &amp; Guardrails'!$G$9:$G$60,$B203)+COUNTIFS('Rules &amp; Guardrails'!$F$9:$F$60,$O203,'Rules &amp; Guardrails'!$G$9:$G$60,"Global"))&gt;0,"Blackout",""))</f>
        <v/>
      </c>
      <c r="AO203" s="6"/>
      <c r="AP203" s="25"/>
      <c r="AQ203" s="23"/>
      <c r="AR203" s="31" t="str">
        <f aca="false">IF($D203="","",IFERROR(VLOOKUP($D203,'Rules &amp; Guardrails'!$A$9:$D$24,2,0),"Other"))</f>
        <v/>
      </c>
      <c r="AS203" s="31" t="str">
        <f aca="false">IF($O203="","",$O203&amp;"|"&amp;$B203)</f>
        <v/>
      </c>
    </row>
    <row r="204" customFormat="false" ht="15" hidden="false" customHeight="false" outlineLevel="0" collapsed="false">
      <c r="A204" s="23"/>
      <c r="B204" s="23"/>
      <c r="C204" s="23"/>
      <c r="D204" s="23"/>
      <c r="E204" s="23"/>
      <c r="F204" s="23"/>
      <c r="G204" s="6"/>
      <c r="H204" s="6"/>
      <c r="I204" s="23"/>
      <c r="J204" s="23"/>
      <c r="K204" s="23"/>
      <c r="L204" s="6"/>
      <c r="M204" s="6"/>
      <c r="N204" s="24"/>
      <c r="O204" s="25"/>
      <c r="P204" s="23"/>
      <c r="Q204" s="23"/>
      <c r="R204" s="23"/>
      <c r="S204" s="23"/>
      <c r="T204" s="26" t="str">
        <f aca="false">IF(OR($O204="",$D204=""),"",WORKDAY($O204,-IFERROR(VLOOKUP($D204,'Rules &amp; Guardrails'!$A$9:$D$24,3,0),10)))</f>
        <v/>
      </c>
      <c r="U204" s="23"/>
      <c r="V204" s="23"/>
      <c r="W204" s="23"/>
      <c r="X204" s="6"/>
      <c r="Y204" s="23"/>
      <c r="Z204" s="23"/>
      <c r="AA204" s="23"/>
      <c r="AB204" s="23"/>
      <c r="AC204" s="23"/>
      <c r="AD204" s="23"/>
      <c r="AE204" s="23"/>
      <c r="AF204" s="27" t="str">
        <f aca="true">IF($O204="","",IF(OR($AE204="Cancelled",$AE204="On hold",$AE204="Launched"),$AE204,IF(AND($Y204="Approved",OR($Z204="Yes",$Z204="N/A"),OR($AA204="Yes",$AA204="N/A"),OR($AB204="No",$AB204="N/A",AND($AB204="Yes",$AD204="Yes"))),"Ready",IF($O204&lt;TODAY(),"Overdue",IF($O204-TODAY()&lt;='Rules &amp; Guardrails'!$C$5,"At Risk","In Progress")))))</f>
        <v/>
      </c>
      <c r="AG204" s="28" t="str">
        <f aca="false">IF($O204="","",IF(OR($AE204="Launched",$AE204="Cancelled"),"",MID(IF($Y204&lt;&gt;"Approved",", Content approval","")&amp;IF(NOT(OR($Z204="Yes",$Z204="N/A")),", Assets","")&amp;IF(NOT(OR($AA204="Yes",$AA204="N/A")),", List","")&amp;IF($AB204="",", Ops decision",IF(AND($AB204="Yes",$AD204&lt;&gt;"Yes"),", Ops",""))&amp;IF($U204="",", Owner","")&amp;IF($K204="",", Segment",""),3,200)))</f>
        <v/>
      </c>
      <c r="AH204" s="29" t="str">
        <f aca="true">IF($O204="","",$O204-TODAY())</f>
        <v/>
      </c>
      <c r="AI204" s="26" t="str">
        <f aca="false">IF($O204="","",$O204-WEEKDAY($O204,3))</f>
        <v/>
      </c>
      <c r="AJ204" s="30" t="str">
        <f aca="false">IF($O204="","",DATE(YEAR($O204),MONTH($O204),1))</f>
        <v/>
      </c>
      <c r="AK204" s="31" t="str">
        <f aca="false">IF(OR($O204="",$K204=""),"",COUNTIFS('Comms Calendar'!$K$5:$K$504,$K204,'Comms Calendar'!$B$5:$B$504,$B204,'Comms Calendar'!$AI$5:$AI$504,$AI204,'Comms Calendar'!$AE$5:$AE$504,"&lt;&gt;Cancelled"))</f>
        <v/>
      </c>
      <c r="AL204" s="27" t="str">
        <f aca="false">IF($AK204="","",IF($AK204&gt;'Rules &amp; Guardrails'!$C$3,"Over cap","OK"))</f>
        <v/>
      </c>
      <c r="AM204" s="27" t="str">
        <f aca="false">IF(OR($O204="",$K204=""),"",IF(COUNTIFS('Comms Calendar'!$K$5:$K$504,$K204,'Comms Calendar'!$B$5:$B$504,$B204,'Comms Calendar'!$O$5:$O$504,$O204,'Comms Calendar'!$AE$5:$AE$504,"&lt;&gt;Cancelled")&gt;1,"Clash",""))</f>
        <v/>
      </c>
      <c r="AN204" s="27" t="str">
        <f aca="false">IF($O204="","",IF(IF($B204="Global",COUNTIF('Rules &amp; Guardrails'!$F$9:$F$60,$O204),COUNTIFS('Rules &amp; Guardrails'!$F$9:$F$60,$O204,'Rules &amp; Guardrails'!$G$9:$G$60,$B204)+COUNTIFS('Rules &amp; Guardrails'!$F$9:$F$60,$O204,'Rules &amp; Guardrails'!$G$9:$G$60,"Global"))&gt;0,"Blackout",""))</f>
        <v/>
      </c>
      <c r="AO204" s="6"/>
      <c r="AP204" s="25"/>
      <c r="AQ204" s="23"/>
      <c r="AR204" s="31" t="str">
        <f aca="false">IF($D204="","",IFERROR(VLOOKUP($D204,'Rules &amp; Guardrails'!$A$9:$D$24,2,0),"Other"))</f>
        <v/>
      </c>
      <c r="AS204" s="31" t="str">
        <f aca="false">IF($O204="","",$O204&amp;"|"&amp;$B204)</f>
        <v/>
      </c>
    </row>
    <row r="205" customFormat="false" ht="15" hidden="false" customHeight="false" outlineLevel="0" collapsed="false">
      <c r="A205" s="23"/>
      <c r="B205" s="23"/>
      <c r="C205" s="23"/>
      <c r="D205" s="23"/>
      <c r="E205" s="23"/>
      <c r="F205" s="23"/>
      <c r="G205" s="6"/>
      <c r="H205" s="6"/>
      <c r="I205" s="23"/>
      <c r="J205" s="23"/>
      <c r="K205" s="23"/>
      <c r="L205" s="6"/>
      <c r="M205" s="6"/>
      <c r="N205" s="24"/>
      <c r="O205" s="25"/>
      <c r="P205" s="23"/>
      <c r="Q205" s="23"/>
      <c r="R205" s="23"/>
      <c r="S205" s="23"/>
      <c r="T205" s="26" t="str">
        <f aca="false">IF(OR($O205="",$D205=""),"",WORKDAY($O205,-IFERROR(VLOOKUP($D205,'Rules &amp; Guardrails'!$A$9:$D$24,3,0),10)))</f>
        <v/>
      </c>
      <c r="U205" s="23"/>
      <c r="V205" s="23"/>
      <c r="W205" s="23"/>
      <c r="X205" s="6"/>
      <c r="Y205" s="23"/>
      <c r="Z205" s="23"/>
      <c r="AA205" s="23"/>
      <c r="AB205" s="23"/>
      <c r="AC205" s="23"/>
      <c r="AD205" s="23"/>
      <c r="AE205" s="23"/>
      <c r="AF205" s="27" t="str">
        <f aca="true">IF($O205="","",IF(OR($AE205="Cancelled",$AE205="On hold",$AE205="Launched"),$AE205,IF(AND($Y205="Approved",OR($Z205="Yes",$Z205="N/A"),OR($AA205="Yes",$AA205="N/A"),OR($AB205="No",$AB205="N/A",AND($AB205="Yes",$AD205="Yes"))),"Ready",IF($O205&lt;TODAY(),"Overdue",IF($O205-TODAY()&lt;='Rules &amp; Guardrails'!$C$5,"At Risk","In Progress")))))</f>
        <v/>
      </c>
      <c r="AG205" s="28" t="str">
        <f aca="false">IF($O205="","",IF(OR($AE205="Launched",$AE205="Cancelled"),"",MID(IF($Y205&lt;&gt;"Approved",", Content approval","")&amp;IF(NOT(OR($Z205="Yes",$Z205="N/A")),", Assets","")&amp;IF(NOT(OR($AA205="Yes",$AA205="N/A")),", List","")&amp;IF($AB205="",", Ops decision",IF(AND($AB205="Yes",$AD205&lt;&gt;"Yes"),", Ops",""))&amp;IF($U205="",", Owner","")&amp;IF($K205="",", Segment",""),3,200)))</f>
        <v/>
      </c>
      <c r="AH205" s="29" t="str">
        <f aca="true">IF($O205="","",$O205-TODAY())</f>
        <v/>
      </c>
      <c r="AI205" s="26" t="str">
        <f aca="false">IF($O205="","",$O205-WEEKDAY($O205,3))</f>
        <v/>
      </c>
      <c r="AJ205" s="30" t="str">
        <f aca="false">IF($O205="","",DATE(YEAR($O205),MONTH($O205),1))</f>
        <v/>
      </c>
      <c r="AK205" s="31" t="str">
        <f aca="false">IF(OR($O205="",$K205=""),"",COUNTIFS('Comms Calendar'!$K$5:$K$504,$K205,'Comms Calendar'!$B$5:$B$504,$B205,'Comms Calendar'!$AI$5:$AI$504,$AI205,'Comms Calendar'!$AE$5:$AE$504,"&lt;&gt;Cancelled"))</f>
        <v/>
      </c>
      <c r="AL205" s="27" t="str">
        <f aca="false">IF($AK205="","",IF($AK205&gt;'Rules &amp; Guardrails'!$C$3,"Over cap","OK"))</f>
        <v/>
      </c>
      <c r="AM205" s="27" t="str">
        <f aca="false">IF(OR($O205="",$K205=""),"",IF(COUNTIFS('Comms Calendar'!$K$5:$K$504,$K205,'Comms Calendar'!$B$5:$B$504,$B205,'Comms Calendar'!$O$5:$O$504,$O205,'Comms Calendar'!$AE$5:$AE$504,"&lt;&gt;Cancelled")&gt;1,"Clash",""))</f>
        <v/>
      </c>
      <c r="AN205" s="27" t="str">
        <f aca="false">IF($O205="","",IF(IF($B205="Global",COUNTIF('Rules &amp; Guardrails'!$F$9:$F$60,$O205),COUNTIFS('Rules &amp; Guardrails'!$F$9:$F$60,$O205,'Rules &amp; Guardrails'!$G$9:$G$60,$B205)+COUNTIFS('Rules &amp; Guardrails'!$F$9:$F$60,$O205,'Rules &amp; Guardrails'!$G$9:$G$60,"Global"))&gt;0,"Blackout",""))</f>
        <v/>
      </c>
      <c r="AO205" s="6"/>
      <c r="AP205" s="25"/>
      <c r="AQ205" s="23"/>
      <c r="AR205" s="31" t="str">
        <f aca="false">IF($D205="","",IFERROR(VLOOKUP($D205,'Rules &amp; Guardrails'!$A$9:$D$24,2,0),"Other"))</f>
        <v/>
      </c>
      <c r="AS205" s="31" t="str">
        <f aca="false">IF($O205="","",$O205&amp;"|"&amp;$B205)</f>
        <v/>
      </c>
    </row>
    <row r="206" customFormat="false" ht="15" hidden="false" customHeight="false" outlineLevel="0" collapsed="false">
      <c r="A206" s="23"/>
      <c r="B206" s="23"/>
      <c r="C206" s="23"/>
      <c r="D206" s="23"/>
      <c r="E206" s="23"/>
      <c r="F206" s="23"/>
      <c r="G206" s="6"/>
      <c r="H206" s="6"/>
      <c r="I206" s="23"/>
      <c r="J206" s="23"/>
      <c r="K206" s="23"/>
      <c r="L206" s="6"/>
      <c r="M206" s="6"/>
      <c r="N206" s="24"/>
      <c r="O206" s="25"/>
      <c r="P206" s="23"/>
      <c r="Q206" s="23"/>
      <c r="R206" s="23"/>
      <c r="S206" s="23"/>
      <c r="T206" s="26" t="str">
        <f aca="false">IF(OR($O206="",$D206=""),"",WORKDAY($O206,-IFERROR(VLOOKUP($D206,'Rules &amp; Guardrails'!$A$9:$D$24,3,0),10)))</f>
        <v/>
      </c>
      <c r="U206" s="23"/>
      <c r="V206" s="23"/>
      <c r="W206" s="23"/>
      <c r="X206" s="6"/>
      <c r="Y206" s="23"/>
      <c r="Z206" s="23"/>
      <c r="AA206" s="23"/>
      <c r="AB206" s="23"/>
      <c r="AC206" s="23"/>
      <c r="AD206" s="23"/>
      <c r="AE206" s="23"/>
      <c r="AF206" s="27" t="str">
        <f aca="true">IF($O206="","",IF(OR($AE206="Cancelled",$AE206="On hold",$AE206="Launched"),$AE206,IF(AND($Y206="Approved",OR($Z206="Yes",$Z206="N/A"),OR($AA206="Yes",$AA206="N/A"),OR($AB206="No",$AB206="N/A",AND($AB206="Yes",$AD206="Yes"))),"Ready",IF($O206&lt;TODAY(),"Overdue",IF($O206-TODAY()&lt;='Rules &amp; Guardrails'!$C$5,"At Risk","In Progress")))))</f>
        <v/>
      </c>
      <c r="AG206" s="28" t="str">
        <f aca="false">IF($O206="","",IF(OR($AE206="Launched",$AE206="Cancelled"),"",MID(IF($Y206&lt;&gt;"Approved",", Content approval","")&amp;IF(NOT(OR($Z206="Yes",$Z206="N/A")),", Assets","")&amp;IF(NOT(OR($AA206="Yes",$AA206="N/A")),", List","")&amp;IF($AB206="",", Ops decision",IF(AND($AB206="Yes",$AD206&lt;&gt;"Yes"),", Ops",""))&amp;IF($U206="",", Owner","")&amp;IF($K206="",", Segment",""),3,200)))</f>
        <v/>
      </c>
      <c r="AH206" s="29" t="str">
        <f aca="true">IF($O206="","",$O206-TODAY())</f>
        <v/>
      </c>
      <c r="AI206" s="26" t="str">
        <f aca="false">IF($O206="","",$O206-WEEKDAY($O206,3))</f>
        <v/>
      </c>
      <c r="AJ206" s="30" t="str">
        <f aca="false">IF($O206="","",DATE(YEAR($O206),MONTH($O206),1))</f>
        <v/>
      </c>
      <c r="AK206" s="31" t="str">
        <f aca="false">IF(OR($O206="",$K206=""),"",COUNTIFS('Comms Calendar'!$K$5:$K$504,$K206,'Comms Calendar'!$B$5:$B$504,$B206,'Comms Calendar'!$AI$5:$AI$504,$AI206,'Comms Calendar'!$AE$5:$AE$504,"&lt;&gt;Cancelled"))</f>
        <v/>
      </c>
      <c r="AL206" s="27" t="str">
        <f aca="false">IF($AK206="","",IF($AK206&gt;'Rules &amp; Guardrails'!$C$3,"Over cap","OK"))</f>
        <v/>
      </c>
      <c r="AM206" s="27" t="str">
        <f aca="false">IF(OR($O206="",$K206=""),"",IF(COUNTIFS('Comms Calendar'!$K$5:$K$504,$K206,'Comms Calendar'!$B$5:$B$504,$B206,'Comms Calendar'!$O$5:$O$504,$O206,'Comms Calendar'!$AE$5:$AE$504,"&lt;&gt;Cancelled")&gt;1,"Clash",""))</f>
        <v/>
      </c>
      <c r="AN206" s="27" t="str">
        <f aca="false">IF($O206="","",IF(IF($B206="Global",COUNTIF('Rules &amp; Guardrails'!$F$9:$F$60,$O206),COUNTIFS('Rules &amp; Guardrails'!$F$9:$F$60,$O206,'Rules &amp; Guardrails'!$G$9:$G$60,$B206)+COUNTIFS('Rules &amp; Guardrails'!$F$9:$F$60,$O206,'Rules &amp; Guardrails'!$G$9:$G$60,"Global"))&gt;0,"Blackout",""))</f>
        <v/>
      </c>
      <c r="AO206" s="6"/>
      <c r="AP206" s="25"/>
      <c r="AQ206" s="23"/>
      <c r="AR206" s="31" t="str">
        <f aca="false">IF($D206="","",IFERROR(VLOOKUP($D206,'Rules &amp; Guardrails'!$A$9:$D$24,2,0),"Other"))</f>
        <v/>
      </c>
      <c r="AS206" s="31" t="str">
        <f aca="false">IF($O206="","",$O206&amp;"|"&amp;$B206)</f>
        <v/>
      </c>
    </row>
    <row r="207" customFormat="false" ht="15" hidden="false" customHeight="false" outlineLevel="0" collapsed="false">
      <c r="A207" s="23"/>
      <c r="B207" s="23"/>
      <c r="C207" s="23"/>
      <c r="D207" s="23"/>
      <c r="E207" s="23"/>
      <c r="F207" s="23"/>
      <c r="G207" s="6"/>
      <c r="H207" s="6"/>
      <c r="I207" s="23"/>
      <c r="J207" s="23"/>
      <c r="K207" s="23"/>
      <c r="L207" s="6"/>
      <c r="M207" s="6"/>
      <c r="N207" s="24"/>
      <c r="O207" s="25"/>
      <c r="P207" s="23"/>
      <c r="Q207" s="23"/>
      <c r="R207" s="23"/>
      <c r="S207" s="23"/>
      <c r="T207" s="26" t="str">
        <f aca="false">IF(OR($O207="",$D207=""),"",WORKDAY($O207,-IFERROR(VLOOKUP($D207,'Rules &amp; Guardrails'!$A$9:$D$24,3,0),10)))</f>
        <v/>
      </c>
      <c r="U207" s="23"/>
      <c r="V207" s="23"/>
      <c r="W207" s="23"/>
      <c r="X207" s="6"/>
      <c r="Y207" s="23"/>
      <c r="Z207" s="23"/>
      <c r="AA207" s="23"/>
      <c r="AB207" s="23"/>
      <c r="AC207" s="23"/>
      <c r="AD207" s="23"/>
      <c r="AE207" s="23"/>
      <c r="AF207" s="27" t="str">
        <f aca="true">IF($O207="","",IF(OR($AE207="Cancelled",$AE207="On hold",$AE207="Launched"),$AE207,IF(AND($Y207="Approved",OR($Z207="Yes",$Z207="N/A"),OR($AA207="Yes",$AA207="N/A"),OR($AB207="No",$AB207="N/A",AND($AB207="Yes",$AD207="Yes"))),"Ready",IF($O207&lt;TODAY(),"Overdue",IF($O207-TODAY()&lt;='Rules &amp; Guardrails'!$C$5,"At Risk","In Progress")))))</f>
        <v/>
      </c>
      <c r="AG207" s="28" t="str">
        <f aca="false">IF($O207="","",IF(OR($AE207="Launched",$AE207="Cancelled"),"",MID(IF($Y207&lt;&gt;"Approved",", Content approval","")&amp;IF(NOT(OR($Z207="Yes",$Z207="N/A")),", Assets","")&amp;IF(NOT(OR($AA207="Yes",$AA207="N/A")),", List","")&amp;IF($AB207="",", Ops decision",IF(AND($AB207="Yes",$AD207&lt;&gt;"Yes"),", Ops",""))&amp;IF($U207="",", Owner","")&amp;IF($K207="",", Segment",""),3,200)))</f>
        <v/>
      </c>
      <c r="AH207" s="29" t="str">
        <f aca="true">IF($O207="","",$O207-TODAY())</f>
        <v/>
      </c>
      <c r="AI207" s="26" t="str">
        <f aca="false">IF($O207="","",$O207-WEEKDAY($O207,3))</f>
        <v/>
      </c>
      <c r="AJ207" s="30" t="str">
        <f aca="false">IF($O207="","",DATE(YEAR($O207),MONTH($O207),1))</f>
        <v/>
      </c>
      <c r="AK207" s="31" t="str">
        <f aca="false">IF(OR($O207="",$K207=""),"",COUNTIFS('Comms Calendar'!$K$5:$K$504,$K207,'Comms Calendar'!$B$5:$B$504,$B207,'Comms Calendar'!$AI$5:$AI$504,$AI207,'Comms Calendar'!$AE$5:$AE$504,"&lt;&gt;Cancelled"))</f>
        <v/>
      </c>
      <c r="AL207" s="27" t="str">
        <f aca="false">IF($AK207="","",IF($AK207&gt;'Rules &amp; Guardrails'!$C$3,"Over cap","OK"))</f>
        <v/>
      </c>
      <c r="AM207" s="27" t="str">
        <f aca="false">IF(OR($O207="",$K207=""),"",IF(COUNTIFS('Comms Calendar'!$K$5:$K$504,$K207,'Comms Calendar'!$B$5:$B$504,$B207,'Comms Calendar'!$O$5:$O$504,$O207,'Comms Calendar'!$AE$5:$AE$504,"&lt;&gt;Cancelled")&gt;1,"Clash",""))</f>
        <v/>
      </c>
      <c r="AN207" s="27" t="str">
        <f aca="false">IF($O207="","",IF(IF($B207="Global",COUNTIF('Rules &amp; Guardrails'!$F$9:$F$60,$O207),COUNTIFS('Rules &amp; Guardrails'!$F$9:$F$60,$O207,'Rules &amp; Guardrails'!$G$9:$G$60,$B207)+COUNTIFS('Rules &amp; Guardrails'!$F$9:$F$60,$O207,'Rules &amp; Guardrails'!$G$9:$G$60,"Global"))&gt;0,"Blackout",""))</f>
        <v/>
      </c>
      <c r="AO207" s="6"/>
      <c r="AP207" s="25"/>
      <c r="AQ207" s="23"/>
      <c r="AR207" s="31" t="str">
        <f aca="false">IF($D207="","",IFERROR(VLOOKUP($D207,'Rules &amp; Guardrails'!$A$9:$D$24,2,0),"Other"))</f>
        <v/>
      </c>
      <c r="AS207" s="31" t="str">
        <f aca="false">IF($O207="","",$O207&amp;"|"&amp;$B207)</f>
        <v/>
      </c>
    </row>
    <row r="208" customFormat="false" ht="15" hidden="false" customHeight="false" outlineLevel="0" collapsed="false">
      <c r="A208" s="23"/>
      <c r="B208" s="23"/>
      <c r="C208" s="23"/>
      <c r="D208" s="23"/>
      <c r="E208" s="23"/>
      <c r="F208" s="23"/>
      <c r="G208" s="6"/>
      <c r="H208" s="6"/>
      <c r="I208" s="23"/>
      <c r="J208" s="23"/>
      <c r="K208" s="23"/>
      <c r="L208" s="6"/>
      <c r="M208" s="6"/>
      <c r="N208" s="24"/>
      <c r="O208" s="25"/>
      <c r="P208" s="23"/>
      <c r="Q208" s="23"/>
      <c r="R208" s="23"/>
      <c r="S208" s="23"/>
      <c r="T208" s="26" t="str">
        <f aca="false">IF(OR($O208="",$D208=""),"",WORKDAY($O208,-IFERROR(VLOOKUP($D208,'Rules &amp; Guardrails'!$A$9:$D$24,3,0),10)))</f>
        <v/>
      </c>
      <c r="U208" s="23"/>
      <c r="V208" s="23"/>
      <c r="W208" s="23"/>
      <c r="X208" s="6"/>
      <c r="Y208" s="23"/>
      <c r="Z208" s="23"/>
      <c r="AA208" s="23"/>
      <c r="AB208" s="23"/>
      <c r="AC208" s="23"/>
      <c r="AD208" s="23"/>
      <c r="AE208" s="23"/>
      <c r="AF208" s="27" t="str">
        <f aca="true">IF($O208="","",IF(OR($AE208="Cancelled",$AE208="On hold",$AE208="Launched"),$AE208,IF(AND($Y208="Approved",OR($Z208="Yes",$Z208="N/A"),OR($AA208="Yes",$AA208="N/A"),OR($AB208="No",$AB208="N/A",AND($AB208="Yes",$AD208="Yes"))),"Ready",IF($O208&lt;TODAY(),"Overdue",IF($O208-TODAY()&lt;='Rules &amp; Guardrails'!$C$5,"At Risk","In Progress")))))</f>
        <v/>
      </c>
      <c r="AG208" s="28" t="str">
        <f aca="false">IF($O208="","",IF(OR($AE208="Launched",$AE208="Cancelled"),"",MID(IF($Y208&lt;&gt;"Approved",", Content approval","")&amp;IF(NOT(OR($Z208="Yes",$Z208="N/A")),", Assets","")&amp;IF(NOT(OR($AA208="Yes",$AA208="N/A")),", List","")&amp;IF($AB208="",", Ops decision",IF(AND($AB208="Yes",$AD208&lt;&gt;"Yes"),", Ops",""))&amp;IF($U208="",", Owner","")&amp;IF($K208="",", Segment",""),3,200)))</f>
        <v/>
      </c>
      <c r="AH208" s="29" t="str">
        <f aca="true">IF($O208="","",$O208-TODAY())</f>
        <v/>
      </c>
      <c r="AI208" s="26" t="str">
        <f aca="false">IF($O208="","",$O208-WEEKDAY($O208,3))</f>
        <v/>
      </c>
      <c r="AJ208" s="30" t="str">
        <f aca="false">IF($O208="","",DATE(YEAR($O208),MONTH($O208),1))</f>
        <v/>
      </c>
      <c r="AK208" s="31" t="str">
        <f aca="false">IF(OR($O208="",$K208=""),"",COUNTIFS('Comms Calendar'!$K$5:$K$504,$K208,'Comms Calendar'!$B$5:$B$504,$B208,'Comms Calendar'!$AI$5:$AI$504,$AI208,'Comms Calendar'!$AE$5:$AE$504,"&lt;&gt;Cancelled"))</f>
        <v/>
      </c>
      <c r="AL208" s="27" t="str">
        <f aca="false">IF($AK208="","",IF($AK208&gt;'Rules &amp; Guardrails'!$C$3,"Over cap","OK"))</f>
        <v/>
      </c>
      <c r="AM208" s="27" t="str">
        <f aca="false">IF(OR($O208="",$K208=""),"",IF(COUNTIFS('Comms Calendar'!$K$5:$K$504,$K208,'Comms Calendar'!$B$5:$B$504,$B208,'Comms Calendar'!$O$5:$O$504,$O208,'Comms Calendar'!$AE$5:$AE$504,"&lt;&gt;Cancelled")&gt;1,"Clash",""))</f>
        <v/>
      </c>
      <c r="AN208" s="27" t="str">
        <f aca="false">IF($O208="","",IF(IF($B208="Global",COUNTIF('Rules &amp; Guardrails'!$F$9:$F$60,$O208),COUNTIFS('Rules &amp; Guardrails'!$F$9:$F$60,$O208,'Rules &amp; Guardrails'!$G$9:$G$60,$B208)+COUNTIFS('Rules &amp; Guardrails'!$F$9:$F$60,$O208,'Rules &amp; Guardrails'!$G$9:$G$60,"Global"))&gt;0,"Blackout",""))</f>
        <v/>
      </c>
      <c r="AO208" s="6"/>
      <c r="AP208" s="25"/>
      <c r="AQ208" s="23"/>
      <c r="AR208" s="31" t="str">
        <f aca="false">IF($D208="","",IFERROR(VLOOKUP($D208,'Rules &amp; Guardrails'!$A$9:$D$24,2,0),"Other"))</f>
        <v/>
      </c>
      <c r="AS208" s="31" t="str">
        <f aca="false">IF($O208="","",$O208&amp;"|"&amp;$B208)</f>
        <v/>
      </c>
    </row>
    <row r="209" customFormat="false" ht="15" hidden="false" customHeight="false" outlineLevel="0" collapsed="false">
      <c r="A209" s="23"/>
      <c r="B209" s="23"/>
      <c r="C209" s="23"/>
      <c r="D209" s="23"/>
      <c r="E209" s="23"/>
      <c r="F209" s="23"/>
      <c r="G209" s="6"/>
      <c r="H209" s="6"/>
      <c r="I209" s="23"/>
      <c r="J209" s="23"/>
      <c r="K209" s="23"/>
      <c r="L209" s="6"/>
      <c r="M209" s="6"/>
      <c r="N209" s="24"/>
      <c r="O209" s="25"/>
      <c r="P209" s="23"/>
      <c r="Q209" s="23"/>
      <c r="R209" s="23"/>
      <c r="S209" s="23"/>
      <c r="T209" s="26" t="str">
        <f aca="false">IF(OR($O209="",$D209=""),"",WORKDAY($O209,-IFERROR(VLOOKUP($D209,'Rules &amp; Guardrails'!$A$9:$D$24,3,0),10)))</f>
        <v/>
      </c>
      <c r="U209" s="23"/>
      <c r="V209" s="23"/>
      <c r="W209" s="23"/>
      <c r="X209" s="6"/>
      <c r="Y209" s="23"/>
      <c r="Z209" s="23"/>
      <c r="AA209" s="23"/>
      <c r="AB209" s="23"/>
      <c r="AC209" s="23"/>
      <c r="AD209" s="23"/>
      <c r="AE209" s="23"/>
      <c r="AF209" s="27" t="str">
        <f aca="true">IF($O209="","",IF(OR($AE209="Cancelled",$AE209="On hold",$AE209="Launched"),$AE209,IF(AND($Y209="Approved",OR($Z209="Yes",$Z209="N/A"),OR($AA209="Yes",$AA209="N/A"),OR($AB209="No",$AB209="N/A",AND($AB209="Yes",$AD209="Yes"))),"Ready",IF($O209&lt;TODAY(),"Overdue",IF($O209-TODAY()&lt;='Rules &amp; Guardrails'!$C$5,"At Risk","In Progress")))))</f>
        <v/>
      </c>
      <c r="AG209" s="28" t="str">
        <f aca="false">IF($O209="","",IF(OR($AE209="Launched",$AE209="Cancelled"),"",MID(IF($Y209&lt;&gt;"Approved",", Content approval","")&amp;IF(NOT(OR($Z209="Yes",$Z209="N/A")),", Assets","")&amp;IF(NOT(OR($AA209="Yes",$AA209="N/A")),", List","")&amp;IF($AB209="",", Ops decision",IF(AND($AB209="Yes",$AD209&lt;&gt;"Yes"),", Ops",""))&amp;IF($U209="",", Owner","")&amp;IF($K209="",", Segment",""),3,200)))</f>
        <v/>
      </c>
      <c r="AH209" s="29" t="str">
        <f aca="true">IF($O209="","",$O209-TODAY())</f>
        <v/>
      </c>
      <c r="AI209" s="26" t="str">
        <f aca="false">IF($O209="","",$O209-WEEKDAY($O209,3))</f>
        <v/>
      </c>
      <c r="AJ209" s="30" t="str">
        <f aca="false">IF($O209="","",DATE(YEAR($O209),MONTH($O209),1))</f>
        <v/>
      </c>
      <c r="AK209" s="31" t="str">
        <f aca="false">IF(OR($O209="",$K209=""),"",COUNTIFS('Comms Calendar'!$K$5:$K$504,$K209,'Comms Calendar'!$B$5:$B$504,$B209,'Comms Calendar'!$AI$5:$AI$504,$AI209,'Comms Calendar'!$AE$5:$AE$504,"&lt;&gt;Cancelled"))</f>
        <v/>
      </c>
      <c r="AL209" s="27" t="str">
        <f aca="false">IF($AK209="","",IF($AK209&gt;'Rules &amp; Guardrails'!$C$3,"Over cap","OK"))</f>
        <v/>
      </c>
      <c r="AM209" s="27" t="str">
        <f aca="false">IF(OR($O209="",$K209=""),"",IF(COUNTIFS('Comms Calendar'!$K$5:$K$504,$K209,'Comms Calendar'!$B$5:$B$504,$B209,'Comms Calendar'!$O$5:$O$504,$O209,'Comms Calendar'!$AE$5:$AE$504,"&lt;&gt;Cancelled")&gt;1,"Clash",""))</f>
        <v/>
      </c>
      <c r="AN209" s="27" t="str">
        <f aca="false">IF($O209="","",IF(IF($B209="Global",COUNTIF('Rules &amp; Guardrails'!$F$9:$F$60,$O209),COUNTIFS('Rules &amp; Guardrails'!$F$9:$F$60,$O209,'Rules &amp; Guardrails'!$G$9:$G$60,$B209)+COUNTIFS('Rules &amp; Guardrails'!$F$9:$F$60,$O209,'Rules &amp; Guardrails'!$G$9:$G$60,"Global"))&gt;0,"Blackout",""))</f>
        <v/>
      </c>
      <c r="AO209" s="6"/>
      <c r="AP209" s="25"/>
      <c r="AQ209" s="23"/>
      <c r="AR209" s="31" t="str">
        <f aca="false">IF($D209="","",IFERROR(VLOOKUP($D209,'Rules &amp; Guardrails'!$A$9:$D$24,2,0),"Other"))</f>
        <v/>
      </c>
      <c r="AS209" s="31" t="str">
        <f aca="false">IF($O209="","",$O209&amp;"|"&amp;$B209)</f>
        <v/>
      </c>
    </row>
    <row r="210" customFormat="false" ht="15" hidden="false" customHeight="false" outlineLevel="0" collapsed="false">
      <c r="A210" s="23"/>
      <c r="B210" s="23"/>
      <c r="C210" s="23"/>
      <c r="D210" s="23"/>
      <c r="E210" s="23"/>
      <c r="F210" s="23"/>
      <c r="G210" s="6"/>
      <c r="H210" s="6"/>
      <c r="I210" s="23"/>
      <c r="J210" s="23"/>
      <c r="K210" s="23"/>
      <c r="L210" s="6"/>
      <c r="M210" s="6"/>
      <c r="N210" s="24"/>
      <c r="O210" s="25"/>
      <c r="P210" s="23"/>
      <c r="Q210" s="23"/>
      <c r="R210" s="23"/>
      <c r="S210" s="23"/>
      <c r="T210" s="26" t="str">
        <f aca="false">IF(OR($O210="",$D210=""),"",WORKDAY($O210,-IFERROR(VLOOKUP($D210,'Rules &amp; Guardrails'!$A$9:$D$24,3,0),10)))</f>
        <v/>
      </c>
      <c r="U210" s="23"/>
      <c r="V210" s="23"/>
      <c r="W210" s="23"/>
      <c r="X210" s="6"/>
      <c r="Y210" s="23"/>
      <c r="Z210" s="23"/>
      <c r="AA210" s="23"/>
      <c r="AB210" s="23"/>
      <c r="AC210" s="23"/>
      <c r="AD210" s="23"/>
      <c r="AE210" s="23"/>
      <c r="AF210" s="27" t="str">
        <f aca="true">IF($O210="","",IF(OR($AE210="Cancelled",$AE210="On hold",$AE210="Launched"),$AE210,IF(AND($Y210="Approved",OR($Z210="Yes",$Z210="N/A"),OR($AA210="Yes",$AA210="N/A"),OR($AB210="No",$AB210="N/A",AND($AB210="Yes",$AD210="Yes"))),"Ready",IF($O210&lt;TODAY(),"Overdue",IF($O210-TODAY()&lt;='Rules &amp; Guardrails'!$C$5,"At Risk","In Progress")))))</f>
        <v/>
      </c>
      <c r="AG210" s="28" t="str">
        <f aca="false">IF($O210="","",IF(OR($AE210="Launched",$AE210="Cancelled"),"",MID(IF($Y210&lt;&gt;"Approved",", Content approval","")&amp;IF(NOT(OR($Z210="Yes",$Z210="N/A")),", Assets","")&amp;IF(NOT(OR($AA210="Yes",$AA210="N/A")),", List","")&amp;IF($AB210="",", Ops decision",IF(AND($AB210="Yes",$AD210&lt;&gt;"Yes"),", Ops",""))&amp;IF($U210="",", Owner","")&amp;IF($K210="",", Segment",""),3,200)))</f>
        <v/>
      </c>
      <c r="AH210" s="29" t="str">
        <f aca="true">IF($O210="","",$O210-TODAY())</f>
        <v/>
      </c>
      <c r="AI210" s="26" t="str">
        <f aca="false">IF($O210="","",$O210-WEEKDAY($O210,3))</f>
        <v/>
      </c>
      <c r="AJ210" s="30" t="str">
        <f aca="false">IF($O210="","",DATE(YEAR($O210),MONTH($O210),1))</f>
        <v/>
      </c>
      <c r="AK210" s="31" t="str">
        <f aca="false">IF(OR($O210="",$K210=""),"",COUNTIFS('Comms Calendar'!$K$5:$K$504,$K210,'Comms Calendar'!$B$5:$B$504,$B210,'Comms Calendar'!$AI$5:$AI$504,$AI210,'Comms Calendar'!$AE$5:$AE$504,"&lt;&gt;Cancelled"))</f>
        <v/>
      </c>
      <c r="AL210" s="27" t="str">
        <f aca="false">IF($AK210="","",IF($AK210&gt;'Rules &amp; Guardrails'!$C$3,"Over cap","OK"))</f>
        <v/>
      </c>
      <c r="AM210" s="27" t="str">
        <f aca="false">IF(OR($O210="",$K210=""),"",IF(COUNTIFS('Comms Calendar'!$K$5:$K$504,$K210,'Comms Calendar'!$B$5:$B$504,$B210,'Comms Calendar'!$O$5:$O$504,$O210,'Comms Calendar'!$AE$5:$AE$504,"&lt;&gt;Cancelled")&gt;1,"Clash",""))</f>
        <v/>
      </c>
      <c r="AN210" s="27" t="str">
        <f aca="false">IF($O210="","",IF(IF($B210="Global",COUNTIF('Rules &amp; Guardrails'!$F$9:$F$60,$O210),COUNTIFS('Rules &amp; Guardrails'!$F$9:$F$60,$O210,'Rules &amp; Guardrails'!$G$9:$G$60,$B210)+COUNTIFS('Rules &amp; Guardrails'!$F$9:$F$60,$O210,'Rules &amp; Guardrails'!$G$9:$G$60,"Global"))&gt;0,"Blackout",""))</f>
        <v/>
      </c>
      <c r="AO210" s="6"/>
      <c r="AP210" s="25"/>
      <c r="AQ210" s="23"/>
      <c r="AR210" s="31" t="str">
        <f aca="false">IF($D210="","",IFERROR(VLOOKUP($D210,'Rules &amp; Guardrails'!$A$9:$D$24,2,0),"Other"))</f>
        <v/>
      </c>
      <c r="AS210" s="31" t="str">
        <f aca="false">IF($O210="","",$O210&amp;"|"&amp;$B210)</f>
        <v/>
      </c>
    </row>
    <row r="211" customFormat="false" ht="15" hidden="false" customHeight="false" outlineLevel="0" collapsed="false">
      <c r="A211" s="23"/>
      <c r="B211" s="23"/>
      <c r="C211" s="23"/>
      <c r="D211" s="23"/>
      <c r="E211" s="23"/>
      <c r="F211" s="23"/>
      <c r="G211" s="6"/>
      <c r="H211" s="6"/>
      <c r="I211" s="23"/>
      <c r="J211" s="23"/>
      <c r="K211" s="23"/>
      <c r="L211" s="6"/>
      <c r="M211" s="6"/>
      <c r="N211" s="24"/>
      <c r="O211" s="25"/>
      <c r="P211" s="23"/>
      <c r="Q211" s="23"/>
      <c r="R211" s="23"/>
      <c r="S211" s="23"/>
      <c r="T211" s="26" t="str">
        <f aca="false">IF(OR($O211="",$D211=""),"",WORKDAY($O211,-IFERROR(VLOOKUP($D211,'Rules &amp; Guardrails'!$A$9:$D$24,3,0),10)))</f>
        <v/>
      </c>
      <c r="U211" s="23"/>
      <c r="V211" s="23"/>
      <c r="W211" s="23"/>
      <c r="X211" s="6"/>
      <c r="Y211" s="23"/>
      <c r="Z211" s="23"/>
      <c r="AA211" s="23"/>
      <c r="AB211" s="23"/>
      <c r="AC211" s="23"/>
      <c r="AD211" s="23"/>
      <c r="AE211" s="23"/>
      <c r="AF211" s="27" t="str">
        <f aca="true">IF($O211="","",IF(OR($AE211="Cancelled",$AE211="On hold",$AE211="Launched"),$AE211,IF(AND($Y211="Approved",OR($Z211="Yes",$Z211="N/A"),OR($AA211="Yes",$AA211="N/A"),OR($AB211="No",$AB211="N/A",AND($AB211="Yes",$AD211="Yes"))),"Ready",IF($O211&lt;TODAY(),"Overdue",IF($O211-TODAY()&lt;='Rules &amp; Guardrails'!$C$5,"At Risk","In Progress")))))</f>
        <v/>
      </c>
      <c r="AG211" s="28" t="str">
        <f aca="false">IF($O211="","",IF(OR($AE211="Launched",$AE211="Cancelled"),"",MID(IF($Y211&lt;&gt;"Approved",", Content approval","")&amp;IF(NOT(OR($Z211="Yes",$Z211="N/A")),", Assets","")&amp;IF(NOT(OR($AA211="Yes",$AA211="N/A")),", List","")&amp;IF($AB211="",", Ops decision",IF(AND($AB211="Yes",$AD211&lt;&gt;"Yes"),", Ops",""))&amp;IF($U211="",", Owner","")&amp;IF($K211="",", Segment",""),3,200)))</f>
        <v/>
      </c>
      <c r="AH211" s="29" t="str">
        <f aca="true">IF($O211="","",$O211-TODAY())</f>
        <v/>
      </c>
      <c r="AI211" s="26" t="str">
        <f aca="false">IF($O211="","",$O211-WEEKDAY($O211,3))</f>
        <v/>
      </c>
      <c r="AJ211" s="30" t="str">
        <f aca="false">IF($O211="","",DATE(YEAR($O211),MONTH($O211),1))</f>
        <v/>
      </c>
      <c r="AK211" s="31" t="str">
        <f aca="false">IF(OR($O211="",$K211=""),"",COUNTIFS('Comms Calendar'!$K$5:$K$504,$K211,'Comms Calendar'!$B$5:$B$504,$B211,'Comms Calendar'!$AI$5:$AI$504,$AI211,'Comms Calendar'!$AE$5:$AE$504,"&lt;&gt;Cancelled"))</f>
        <v/>
      </c>
      <c r="AL211" s="27" t="str">
        <f aca="false">IF($AK211="","",IF($AK211&gt;'Rules &amp; Guardrails'!$C$3,"Over cap","OK"))</f>
        <v/>
      </c>
      <c r="AM211" s="27" t="str">
        <f aca="false">IF(OR($O211="",$K211=""),"",IF(COUNTIFS('Comms Calendar'!$K$5:$K$504,$K211,'Comms Calendar'!$B$5:$B$504,$B211,'Comms Calendar'!$O$5:$O$504,$O211,'Comms Calendar'!$AE$5:$AE$504,"&lt;&gt;Cancelled")&gt;1,"Clash",""))</f>
        <v/>
      </c>
      <c r="AN211" s="27" t="str">
        <f aca="false">IF($O211="","",IF(IF($B211="Global",COUNTIF('Rules &amp; Guardrails'!$F$9:$F$60,$O211),COUNTIFS('Rules &amp; Guardrails'!$F$9:$F$60,$O211,'Rules &amp; Guardrails'!$G$9:$G$60,$B211)+COUNTIFS('Rules &amp; Guardrails'!$F$9:$F$60,$O211,'Rules &amp; Guardrails'!$G$9:$G$60,"Global"))&gt;0,"Blackout",""))</f>
        <v/>
      </c>
      <c r="AO211" s="6"/>
      <c r="AP211" s="25"/>
      <c r="AQ211" s="23"/>
      <c r="AR211" s="31" t="str">
        <f aca="false">IF($D211="","",IFERROR(VLOOKUP($D211,'Rules &amp; Guardrails'!$A$9:$D$24,2,0),"Other"))</f>
        <v/>
      </c>
      <c r="AS211" s="31" t="str">
        <f aca="false">IF($O211="","",$O211&amp;"|"&amp;$B211)</f>
        <v/>
      </c>
    </row>
    <row r="212" customFormat="false" ht="15" hidden="false" customHeight="false" outlineLevel="0" collapsed="false">
      <c r="A212" s="23"/>
      <c r="B212" s="23"/>
      <c r="C212" s="23"/>
      <c r="D212" s="23"/>
      <c r="E212" s="23"/>
      <c r="F212" s="23"/>
      <c r="G212" s="6"/>
      <c r="H212" s="6"/>
      <c r="I212" s="23"/>
      <c r="J212" s="23"/>
      <c r="K212" s="23"/>
      <c r="L212" s="6"/>
      <c r="M212" s="6"/>
      <c r="N212" s="24"/>
      <c r="O212" s="25"/>
      <c r="P212" s="23"/>
      <c r="Q212" s="23"/>
      <c r="R212" s="23"/>
      <c r="S212" s="23"/>
      <c r="T212" s="26" t="str">
        <f aca="false">IF(OR($O212="",$D212=""),"",WORKDAY($O212,-IFERROR(VLOOKUP($D212,'Rules &amp; Guardrails'!$A$9:$D$24,3,0),10)))</f>
        <v/>
      </c>
      <c r="U212" s="23"/>
      <c r="V212" s="23"/>
      <c r="W212" s="23"/>
      <c r="X212" s="6"/>
      <c r="Y212" s="23"/>
      <c r="Z212" s="23"/>
      <c r="AA212" s="23"/>
      <c r="AB212" s="23"/>
      <c r="AC212" s="23"/>
      <c r="AD212" s="23"/>
      <c r="AE212" s="23"/>
      <c r="AF212" s="27" t="str">
        <f aca="true">IF($O212="","",IF(OR($AE212="Cancelled",$AE212="On hold",$AE212="Launched"),$AE212,IF(AND($Y212="Approved",OR($Z212="Yes",$Z212="N/A"),OR($AA212="Yes",$AA212="N/A"),OR($AB212="No",$AB212="N/A",AND($AB212="Yes",$AD212="Yes"))),"Ready",IF($O212&lt;TODAY(),"Overdue",IF($O212-TODAY()&lt;='Rules &amp; Guardrails'!$C$5,"At Risk","In Progress")))))</f>
        <v/>
      </c>
      <c r="AG212" s="28" t="str">
        <f aca="false">IF($O212="","",IF(OR($AE212="Launched",$AE212="Cancelled"),"",MID(IF($Y212&lt;&gt;"Approved",", Content approval","")&amp;IF(NOT(OR($Z212="Yes",$Z212="N/A")),", Assets","")&amp;IF(NOT(OR($AA212="Yes",$AA212="N/A")),", List","")&amp;IF($AB212="",", Ops decision",IF(AND($AB212="Yes",$AD212&lt;&gt;"Yes"),", Ops",""))&amp;IF($U212="",", Owner","")&amp;IF($K212="",", Segment",""),3,200)))</f>
        <v/>
      </c>
      <c r="AH212" s="29" t="str">
        <f aca="true">IF($O212="","",$O212-TODAY())</f>
        <v/>
      </c>
      <c r="AI212" s="26" t="str">
        <f aca="false">IF($O212="","",$O212-WEEKDAY($O212,3))</f>
        <v/>
      </c>
      <c r="AJ212" s="30" t="str">
        <f aca="false">IF($O212="","",DATE(YEAR($O212),MONTH($O212),1))</f>
        <v/>
      </c>
      <c r="AK212" s="31" t="str">
        <f aca="false">IF(OR($O212="",$K212=""),"",COUNTIFS('Comms Calendar'!$K$5:$K$504,$K212,'Comms Calendar'!$B$5:$B$504,$B212,'Comms Calendar'!$AI$5:$AI$504,$AI212,'Comms Calendar'!$AE$5:$AE$504,"&lt;&gt;Cancelled"))</f>
        <v/>
      </c>
      <c r="AL212" s="27" t="str">
        <f aca="false">IF($AK212="","",IF($AK212&gt;'Rules &amp; Guardrails'!$C$3,"Over cap","OK"))</f>
        <v/>
      </c>
      <c r="AM212" s="27" t="str">
        <f aca="false">IF(OR($O212="",$K212=""),"",IF(COUNTIFS('Comms Calendar'!$K$5:$K$504,$K212,'Comms Calendar'!$B$5:$B$504,$B212,'Comms Calendar'!$O$5:$O$504,$O212,'Comms Calendar'!$AE$5:$AE$504,"&lt;&gt;Cancelled")&gt;1,"Clash",""))</f>
        <v/>
      </c>
      <c r="AN212" s="27" t="str">
        <f aca="false">IF($O212="","",IF(IF($B212="Global",COUNTIF('Rules &amp; Guardrails'!$F$9:$F$60,$O212),COUNTIFS('Rules &amp; Guardrails'!$F$9:$F$60,$O212,'Rules &amp; Guardrails'!$G$9:$G$60,$B212)+COUNTIFS('Rules &amp; Guardrails'!$F$9:$F$60,$O212,'Rules &amp; Guardrails'!$G$9:$G$60,"Global"))&gt;0,"Blackout",""))</f>
        <v/>
      </c>
      <c r="AO212" s="6"/>
      <c r="AP212" s="25"/>
      <c r="AQ212" s="23"/>
      <c r="AR212" s="31" t="str">
        <f aca="false">IF($D212="","",IFERROR(VLOOKUP($D212,'Rules &amp; Guardrails'!$A$9:$D$24,2,0),"Other"))</f>
        <v/>
      </c>
      <c r="AS212" s="31" t="str">
        <f aca="false">IF($O212="","",$O212&amp;"|"&amp;$B212)</f>
        <v/>
      </c>
    </row>
    <row r="213" customFormat="false" ht="15" hidden="false" customHeight="false" outlineLevel="0" collapsed="false">
      <c r="A213" s="23"/>
      <c r="B213" s="23"/>
      <c r="C213" s="23"/>
      <c r="D213" s="23"/>
      <c r="E213" s="23"/>
      <c r="F213" s="23"/>
      <c r="G213" s="6"/>
      <c r="H213" s="6"/>
      <c r="I213" s="23"/>
      <c r="J213" s="23"/>
      <c r="K213" s="23"/>
      <c r="L213" s="6"/>
      <c r="M213" s="6"/>
      <c r="N213" s="24"/>
      <c r="O213" s="25"/>
      <c r="P213" s="23"/>
      <c r="Q213" s="23"/>
      <c r="R213" s="23"/>
      <c r="S213" s="23"/>
      <c r="T213" s="26" t="str">
        <f aca="false">IF(OR($O213="",$D213=""),"",WORKDAY($O213,-IFERROR(VLOOKUP($D213,'Rules &amp; Guardrails'!$A$9:$D$24,3,0),10)))</f>
        <v/>
      </c>
      <c r="U213" s="23"/>
      <c r="V213" s="23"/>
      <c r="W213" s="23"/>
      <c r="X213" s="6"/>
      <c r="Y213" s="23"/>
      <c r="Z213" s="23"/>
      <c r="AA213" s="23"/>
      <c r="AB213" s="23"/>
      <c r="AC213" s="23"/>
      <c r="AD213" s="23"/>
      <c r="AE213" s="23"/>
      <c r="AF213" s="27" t="str">
        <f aca="true">IF($O213="","",IF(OR($AE213="Cancelled",$AE213="On hold",$AE213="Launched"),$AE213,IF(AND($Y213="Approved",OR($Z213="Yes",$Z213="N/A"),OR($AA213="Yes",$AA213="N/A"),OR($AB213="No",$AB213="N/A",AND($AB213="Yes",$AD213="Yes"))),"Ready",IF($O213&lt;TODAY(),"Overdue",IF($O213-TODAY()&lt;='Rules &amp; Guardrails'!$C$5,"At Risk","In Progress")))))</f>
        <v/>
      </c>
      <c r="AG213" s="28" t="str">
        <f aca="false">IF($O213="","",IF(OR($AE213="Launched",$AE213="Cancelled"),"",MID(IF($Y213&lt;&gt;"Approved",", Content approval","")&amp;IF(NOT(OR($Z213="Yes",$Z213="N/A")),", Assets","")&amp;IF(NOT(OR($AA213="Yes",$AA213="N/A")),", List","")&amp;IF($AB213="",", Ops decision",IF(AND($AB213="Yes",$AD213&lt;&gt;"Yes"),", Ops",""))&amp;IF($U213="",", Owner","")&amp;IF($K213="",", Segment",""),3,200)))</f>
        <v/>
      </c>
      <c r="AH213" s="29" t="str">
        <f aca="true">IF($O213="","",$O213-TODAY())</f>
        <v/>
      </c>
      <c r="AI213" s="26" t="str">
        <f aca="false">IF($O213="","",$O213-WEEKDAY($O213,3))</f>
        <v/>
      </c>
      <c r="AJ213" s="30" t="str">
        <f aca="false">IF($O213="","",DATE(YEAR($O213),MONTH($O213),1))</f>
        <v/>
      </c>
      <c r="AK213" s="31" t="str">
        <f aca="false">IF(OR($O213="",$K213=""),"",COUNTIFS('Comms Calendar'!$K$5:$K$504,$K213,'Comms Calendar'!$B$5:$B$504,$B213,'Comms Calendar'!$AI$5:$AI$504,$AI213,'Comms Calendar'!$AE$5:$AE$504,"&lt;&gt;Cancelled"))</f>
        <v/>
      </c>
      <c r="AL213" s="27" t="str">
        <f aca="false">IF($AK213="","",IF($AK213&gt;'Rules &amp; Guardrails'!$C$3,"Over cap","OK"))</f>
        <v/>
      </c>
      <c r="AM213" s="27" t="str">
        <f aca="false">IF(OR($O213="",$K213=""),"",IF(COUNTIFS('Comms Calendar'!$K$5:$K$504,$K213,'Comms Calendar'!$B$5:$B$504,$B213,'Comms Calendar'!$O$5:$O$504,$O213,'Comms Calendar'!$AE$5:$AE$504,"&lt;&gt;Cancelled")&gt;1,"Clash",""))</f>
        <v/>
      </c>
      <c r="AN213" s="27" t="str">
        <f aca="false">IF($O213="","",IF(IF($B213="Global",COUNTIF('Rules &amp; Guardrails'!$F$9:$F$60,$O213),COUNTIFS('Rules &amp; Guardrails'!$F$9:$F$60,$O213,'Rules &amp; Guardrails'!$G$9:$G$60,$B213)+COUNTIFS('Rules &amp; Guardrails'!$F$9:$F$60,$O213,'Rules &amp; Guardrails'!$G$9:$G$60,"Global"))&gt;0,"Blackout",""))</f>
        <v/>
      </c>
      <c r="AO213" s="6"/>
      <c r="AP213" s="25"/>
      <c r="AQ213" s="23"/>
      <c r="AR213" s="31" t="str">
        <f aca="false">IF($D213="","",IFERROR(VLOOKUP($D213,'Rules &amp; Guardrails'!$A$9:$D$24,2,0),"Other"))</f>
        <v/>
      </c>
      <c r="AS213" s="31" t="str">
        <f aca="false">IF($O213="","",$O213&amp;"|"&amp;$B213)</f>
        <v/>
      </c>
    </row>
    <row r="214" customFormat="false" ht="15" hidden="false" customHeight="false" outlineLevel="0" collapsed="false">
      <c r="A214" s="23"/>
      <c r="B214" s="23"/>
      <c r="C214" s="23"/>
      <c r="D214" s="23"/>
      <c r="E214" s="23"/>
      <c r="F214" s="23"/>
      <c r="G214" s="6"/>
      <c r="H214" s="6"/>
      <c r="I214" s="23"/>
      <c r="J214" s="23"/>
      <c r="K214" s="23"/>
      <c r="L214" s="6"/>
      <c r="M214" s="6"/>
      <c r="N214" s="24"/>
      <c r="O214" s="25"/>
      <c r="P214" s="23"/>
      <c r="Q214" s="23"/>
      <c r="R214" s="23"/>
      <c r="S214" s="23"/>
      <c r="T214" s="26" t="str">
        <f aca="false">IF(OR($O214="",$D214=""),"",WORKDAY($O214,-IFERROR(VLOOKUP($D214,'Rules &amp; Guardrails'!$A$9:$D$24,3,0),10)))</f>
        <v/>
      </c>
      <c r="U214" s="23"/>
      <c r="V214" s="23"/>
      <c r="W214" s="23"/>
      <c r="X214" s="6"/>
      <c r="Y214" s="23"/>
      <c r="Z214" s="23"/>
      <c r="AA214" s="23"/>
      <c r="AB214" s="23"/>
      <c r="AC214" s="23"/>
      <c r="AD214" s="23"/>
      <c r="AE214" s="23"/>
      <c r="AF214" s="27" t="str">
        <f aca="true">IF($O214="","",IF(OR($AE214="Cancelled",$AE214="On hold",$AE214="Launched"),$AE214,IF(AND($Y214="Approved",OR($Z214="Yes",$Z214="N/A"),OR($AA214="Yes",$AA214="N/A"),OR($AB214="No",$AB214="N/A",AND($AB214="Yes",$AD214="Yes"))),"Ready",IF($O214&lt;TODAY(),"Overdue",IF($O214-TODAY()&lt;='Rules &amp; Guardrails'!$C$5,"At Risk","In Progress")))))</f>
        <v/>
      </c>
      <c r="AG214" s="28" t="str">
        <f aca="false">IF($O214="","",IF(OR($AE214="Launched",$AE214="Cancelled"),"",MID(IF($Y214&lt;&gt;"Approved",", Content approval","")&amp;IF(NOT(OR($Z214="Yes",$Z214="N/A")),", Assets","")&amp;IF(NOT(OR($AA214="Yes",$AA214="N/A")),", List","")&amp;IF($AB214="",", Ops decision",IF(AND($AB214="Yes",$AD214&lt;&gt;"Yes"),", Ops",""))&amp;IF($U214="",", Owner","")&amp;IF($K214="",", Segment",""),3,200)))</f>
        <v/>
      </c>
      <c r="AH214" s="29" t="str">
        <f aca="true">IF($O214="","",$O214-TODAY())</f>
        <v/>
      </c>
      <c r="AI214" s="26" t="str">
        <f aca="false">IF($O214="","",$O214-WEEKDAY($O214,3))</f>
        <v/>
      </c>
      <c r="AJ214" s="30" t="str">
        <f aca="false">IF($O214="","",DATE(YEAR($O214),MONTH($O214),1))</f>
        <v/>
      </c>
      <c r="AK214" s="31" t="str">
        <f aca="false">IF(OR($O214="",$K214=""),"",COUNTIFS('Comms Calendar'!$K$5:$K$504,$K214,'Comms Calendar'!$B$5:$B$504,$B214,'Comms Calendar'!$AI$5:$AI$504,$AI214,'Comms Calendar'!$AE$5:$AE$504,"&lt;&gt;Cancelled"))</f>
        <v/>
      </c>
      <c r="AL214" s="27" t="str">
        <f aca="false">IF($AK214="","",IF($AK214&gt;'Rules &amp; Guardrails'!$C$3,"Over cap","OK"))</f>
        <v/>
      </c>
      <c r="AM214" s="27" t="str">
        <f aca="false">IF(OR($O214="",$K214=""),"",IF(COUNTIFS('Comms Calendar'!$K$5:$K$504,$K214,'Comms Calendar'!$B$5:$B$504,$B214,'Comms Calendar'!$O$5:$O$504,$O214,'Comms Calendar'!$AE$5:$AE$504,"&lt;&gt;Cancelled")&gt;1,"Clash",""))</f>
        <v/>
      </c>
      <c r="AN214" s="27" t="str">
        <f aca="false">IF($O214="","",IF(IF($B214="Global",COUNTIF('Rules &amp; Guardrails'!$F$9:$F$60,$O214),COUNTIFS('Rules &amp; Guardrails'!$F$9:$F$60,$O214,'Rules &amp; Guardrails'!$G$9:$G$60,$B214)+COUNTIFS('Rules &amp; Guardrails'!$F$9:$F$60,$O214,'Rules &amp; Guardrails'!$G$9:$G$60,"Global"))&gt;0,"Blackout",""))</f>
        <v/>
      </c>
      <c r="AO214" s="6"/>
      <c r="AP214" s="25"/>
      <c r="AQ214" s="23"/>
      <c r="AR214" s="31" t="str">
        <f aca="false">IF($D214="","",IFERROR(VLOOKUP($D214,'Rules &amp; Guardrails'!$A$9:$D$24,2,0),"Other"))</f>
        <v/>
      </c>
      <c r="AS214" s="31" t="str">
        <f aca="false">IF($O214="","",$O214&amp;"|"&amp;$B214)</f>
        <v/>
      </c>
    </row>
    <row r="215" customFormat="false" ht="15" hidden="false" customHeight="false" outlineLevel="0" collapsed="false">
      <c r="A215" s="23"/>
      <c r="B215" s="23"/>
      <c r="C215" s="23"/>
      <c r="D215" s="23"/>
      <c r="E215" s="23"/>
      <c r="F215" s="23"/>
      <c r="G215" s="6"/>
      <c r="H215" s="6"/>
      <c r="I215" s="23"/>
      <c r="J215" s="23"/>
      <c r="K215" s="23"/>
      <c r="L215" s="6"/>
      <c r="M215" s="6"/>
      <c r="N215" s="24"/>
      <c r="O215" s="25"/>
      <c r="P215" s="23"/>
      <c r="Q215" s="23"/>
      <c r="R215" s="23"/>
      <c r="S215" s="23"/>
      <c r="T215" s="26" t="str">
        <f aca="false">IF(OR($O215="",$D215=""),"",WORKDAY($O215,-IFERROR(VLOOKUP($D215,'Rules &amp; Guardrails'!$A$9:$D$24,3,0),10)))</f>
        <v/>
      </c>
      <c r="U215" s="23"/>
      <c r="V215" s="23"/>
      <c r="W215" s="23"/>
      <c r="X215" s="6"/>
      <c r="Y215" s="23"/>
      <c r="Z215" s="23"/>
      <c r="AA215" s="23"/>
      <c r="AB215" s="23"/>
      <c r="AC215" s="23"/>
      <c r="AD215" s="23"/>
      <c r="AE215" s="23"/>
      <c r="AF215" s="27" t="str">
        <f aca="true">IF($O215="","",IF(OR($AE215="Cancelled",$AE215="On hold",$AE215="Launched"),$AE215,IF(AND($Y215="Approved",OR($Z215="Yes",$Z215="N/A"),OR($AA215="Yes",$AA215="N/A"),OR($AB215="No",$AB215="N/A",AND($AB215="Yes",$AD215="Yes"))),"Ready",IF($O215&lt;TODAY(),"Overdue",IF($O215-TODAY()&lt;='Rules &amp; Guardrails'!$C$5,"At Risk","In Progress")))))</f>
        <v/>
      </c>
      <c r="AG215" s="28" t="str">
        <f aca="false">IF($O215="","",IF(OR($AE215="Launched",$AE215="Cancelled"),"",MID(IF($Y215&lt;&gt;"Approved",", Content approval","")&amp;IF(NOT(OR($Z215="Yes",$Z215="N/A")),", Assets","")&amp;IF(NOT(OR($AA215="Yes",$AA215="N/A")),", List","")&amp;IF($AB215="",", Ops decision",IF(AND($AB215="Yes",$AD215&lt;&gt;"Yes"),", Ops",""))&amp;IF($U215="",", Owner","")&amp;IF($K215="",", Segment",""),3,200)))</f>
        <v/>
      </c>
      <c r="AH215" s="29" t="str">
        <f aca="true">IF($O215="","",$O215-TODAY())</f>
        <v/>
      </c>
      <c r="AI215" s="26" t="str">
        <f aca="false">IF($O215="","",$O215-WEEKDAY($O215,3))</f>
        <v/>
      </c>
      <c r="AJ215" s="30" t="str">
        <f aca="false">IF($O215="","",DATE(YEAR($O215),MONTH($O215),1))</f>
        <v/>
      </c>
      <c r="AK215" s="31" t="str">
        <f aca="false">IF(OR($O215="",$K215=""),"",COUNTIFS('Comms Calendar'!$K$5:$K$504,$K215,'Comms Calendar'!$B$5:$B$504,$B215,'Comms Calendar'!$AI$5:$AI$504,$AI215,'Comms Calendar'!$AE$5:$AE$504,"&lt;&gt;Cancelled"))</f>
        <v/>
      </c>
      <c r="AL215" s="27" t="str">
        <f aca="false">IF($AK215="","",IF($AK215&gt;'Rules &amp; Guardrails'!$C$3,"Over cap","OK"))</f>
        <v/>
      </c>
      <c r="AM215" s="27" t="str">
        <f aca="false">IF(OR($O215="",$K215=""),"",IF(COUNTIFS('Comms Calendar'!$K$5:$K$504,$K215,'Comms Calendar'!$B$5:$B$504,$B215,'Comms Calendar'!$O$5:$O$504,$O215,'Comms Calendar'!$AE$5:$AE$504,"&lt;&gt;Cancelled")&gt;1,"Clash",""))</f>
        <v/>
      </c>
      <c r="AN215" s="27" t="str">
        <f aca="false">IF($O215="","",IF(IF($B215="Global",COUNTIF('Rules &amp; Guardrails'!$F$9:$F$60,$O215),COUNTIFS('Rules &amp; Guardrails'!$F$9:$F$60,$O215,'Rules &amp; Guardrails'!$G$9:$G$60,$B215)+COUNTIFS('Rules &amp; Guardrails'!$F$9:$F$60,$O215,'Rules &amp; Guardrails'!$G$9:$G$60,"Global"))&gt;0,"Blackout",""))</f>
        <v/>
      </c>
      <c r="AO215" s="6"/>
      <c r="AP215" s="25"/>
      <c r="AQ215" s="23"/>
      <c r="AR215" s="31" t="str">
        <f aca="false">IF($D215="","",IFERROR(VLOOKUP($D215,'Rules &amp; Guardrails'!$A$9:$D$24,2,0),"Other"))</f>
        <v/>
      </c>
      <c r="AS215" s="31" t="str">
        <f aca="false">IF($O215="","",$O215&amp;"|"&amp;$B215)</f>
        <v/>
      </c>
    </row>
    <row r="216" customFormat="false" ht="15" hidden="false" customHeight="false" outlineLevel="0" collapsed="false">
      <c r="A216" s="23"/>
      <c r="B216" s="23"/>
      <c r="C216" s="23"/>
      <c r="D216" s="23"/>
      <c r="E216" s="23"/>
      <c r="F216" s="23"/>
      <c r="G216" s="6"/>
      <c r="H216" s="6"/>
      <c r="I216" s="23"/>
      <c r="J216" s="23"/>
      <c r="K216" s="23"/>
      <c r="L216" s="6"/>
      <c r="M216" s="6"/>
      <c r="N216" s="24"/>
      <c r="O216" s="25"/>
      <c r="P216" s="23"/>
      <c r="Q216" s="23"/>
      <c r="R216" s="23"/>
      <c r="S216" s="23"/>
      <c r="T216" s="26" t="str">
        <f aca="false">IF(OR($O216="",$D216=""),"",WORKDAY($O216,-IFERROR(VLOOKUP($D216,'Rules &amp; Guardrails'!$A$9:$D$24,3,0),10)))</f>
        <v/>
      </c>
      <c r="U216" s="23"/>
      <c r="V216" s="23"/>
      <c r="W216" s="23"/>
      <c r="X216" s="6"/>
      <c r="Y216" s="23"/>
      <c r="Z216" s="23"/>
      <c r="AA216" s="23"/>
      <c r="AB216" s="23"/>
      <c r="AC216" s="23"/>
      <c r="AD216" s="23"/>
      <c r="AE216" s="23"/>
      <c r="AF216" s="27" t="str">
        <f aca="true">IF($O216="","",IF(OR($AE216="Cancelled",$AE216="On hold",$AE216="Launched"),$AE216,IF(AND($Y216="Approved",OR($Z216="Yes",$Z216="N/A"),OR($AA216="Yes",$AA216="N/A"),OR($AB216="No",$AB216="N/A",AND($AB216="Yes",$AD216="Yes"))),"Ready",IF($O216&lt;TODAY(),"Overdue",IF($O216-TODAY()&lt;='Rules &amp; Guardrails'!$C$5,"At Risk","In Progress")))))</f>
        <v/>
      </c>
      <c r="AG216" s="28" t="str">
        <f aca="false">IF($O216="","",IF(OR($AE216="Launched",$AE216="Cancelled"),"",MID(IF($Y216&lt;&gt;"Approved",", Content approval","")&amp;IF(NOT(OR($Z216="Yes",$Z216="N/A")),", Assets","")&amp;IF(NOT(OR($AA216="Yes",$AA216="N/A")),", List","")&amp;IF($AB216="",", Ops decision",IF(AND($AB216="Yes",$AD216&lt;&gt;"Yes"),", Ops",""))&amp;IF($U216="",", Owner","")&amp;IF($K216="",", Segment",""),3,200)))</f>
        <v/>
      </c>
      <c r="AH216" s="29" t="str">
        <f aca="true">IF($O216="","",$O216-TODAY())</f>
        <v/>
      </c>
      <c r="AI216" s="26" t="str">
        <f aca="false">IF($O216="","",$O216-WEEKDAY($O216,3))</f>
        <v/>
      </c>
      <c r="AJ216" s="30" t="str">
        <f aca="false">IF($O216="","",DATE(YEAR($O216),MONTH($O216),1))</f>
        <v/>
      </c>
      <c r="AK216" s="31" t="str">
        <f aca="false">IF(OR($O216="",$K216=""),"",COUNTIFS('Comms Calendar'!$K$5:$K$504,$K216,'Comms Calendar'!$B$5:$B$504,$B216,'Comms Calendar'!$AI$5:$AI$504,$AI216,'Comms Calendar'!$AE$5:$AE$504,"&lt;&gt;Cancelled"))</f>
        <v/>
      </c>
      <c r="AL216" s="27" t="str">
        <f aca="false">IF($AK216="","",IF($AK216&gt;'Rules &amp; Guardrails'!$C$3,"Over cap","OK"))</f>
        <v/>
      </c>
      <c r="AM216" s="27" t="str">
        <f aca="false">IF(OR($O216="",$K216=""),"",IF(COUNTIFS('Comms Calendar'!$K$5:$K$504,$K216,'Comms Calendar'!$B$5:$B$504,$B216,'Comms Calendar'!$O$5:$O$504,$O216,'Comms Calendar'!$AE$5:$AE$504,"&lt;&gt;Cancelled")&gt;1,"Clash",""))</f>
        <v/>
      </c>
      <c r="AN216" s="27" t="str">
        <f aca="false">IF($O216="","",IF(IF($B216="Global",COUNTIF('Rules &amp; Guardrails'!$F$9:$F$60,$O216),COUNTIFS('Rules &amp; Guardrails'!$F$9:$F$60,$O216,'Rules &amp; Guardrails'!$G$9:$G$60,$B216)+COUNTIFS('Rules &amp; Guardrails'!$F$9:$F$60,$O216,'Rules &amp; Guardrails'!$G$9:$G$60,"Global"))&gt;0,"Blackout",""))</f>
        <v/>
      </c>
      <c r="AO216" s="6"/>
      <c r="AP216" s="25"/>
      <c r="AQ216" s="23"/>
      <c r="AR216" s="31" t="str">
        <f aca="false">IF($D216="","",IFERROR(VLOOKUP($D216,'Rules &amp; Guardrails'!$A$9:$D$24,2,0),"Other"))</f>
        <v/>
      </c>
      <c r="AS216" s="31" t="str">
        <f aca="false">IF($O216="","",$O216&amp;"|"&amp;$B216)</f>
        <v/>
      </c>
    </row>
    <row r="217" customFormat="false" ht="15" hidden="false" customHeight="false" outlineLevel="0" collapsed="false">
      <c r="A217" s="23"/>
      <c r="B217" s="23"/>
      <c r="C217" s="23"/>
      <c r="D217" s="23"/>
      <c r="E217" s="23"/>
      <c r="F217" s="23"/>
      <c r="G217" s="6"/>
      <c r="H217" s="6"/>
      <c r="I217" s="23"/>
      <c r="J217" s="23"/>
      <c r="K217" s="23"/>
      <c r="L217" s="6"/>
      <c r="M217" s="6"/>
      <c r="N217" s="24"/>
      <c r="O217" s="25"/>
      <c r="P217" s="23"/>
      <c r="Q217" s="23"/>
      <c r="R217" s="23"/>
      <c r="S217" s="23"/>
      <c r="T217" s="26" t="str">
        <f aca="false">IF(OR($O217="",$D217=""),"",WORKDAY($O217,-IFERROR(VLOOKUP($D217,'Rules &amp; Guardrails'!$A$9:$D$24,3,0),10)))</f>
        <v/>
      </c>
      <c r="U217" s="23"/>
      <c r="V217" s="23"/>
      <c r="W217" s="23"/>
      <c r="X217" s="6"/>
      <c r="Y217" s="23"/>
      <c r="Z217" s="23"/>
      <c r="AA217" s="23"/>
      <c r="AB217" s="23"/>
      <c r="AC217" s="23"/>
      <c r="AD217" s="23"/>
      <c r="AE217" s="23"/>
      <c r="AF217" s="27" t="str">
        <f aca="true">IF($O217="","",IF(OR($AE217="Cancelled",$AE217="On hold",$AE217="Launched"),$AE217,IF(AND($Y217="Approved",OR($Z217="Yes",$Z217="N/A"),OR($AA217="Yes",$AA217="N/A"),OR($AB217="No",$AB217="N/A",AND($AB217="Yes",$AD217="Yes"))),"Ready",IF($O217&lt;TODAY(),"Overdue",IF($O217-TODAY()&lt;='Rules &amp; Guardrails'!$C$5,"At Risk","In Progress")))))</f>
        <v/>
      </c>
      <c r="AG217" s="28" t="str">
        <f aca="false">IF($O217="","",IF(OR($AE217="Launched",$AE217="Cancelled"),"",MID(IF($Y217&lt;&gt;"Approved",", Content approval","")&amp;IF(NOT(OR($Z217="Yes",$Z217="N/A")),", Assets","")&amp;IF(NOT(OR($AA217="Yes",$AA217="N/A")),", List","")&amp;IF($AB217="",", Ops decision",IF(AND($AB217="Yes",$AD217&lt;&gt;"Yes"),", Ops",""))&amp;IF($U217="",", Owner","")&amp;IF($K217="",", Segment",""),3,200)))</f>
        <v/>
      </c>
      <c r="AH217" s="29" t="str">
        <f aca="true">IF($O217="","",$O217-TODAY())</f>
        <v/>
      </c>
      <c r="AI217" s="26" t="str">
        <f aca="false">IF($O217="","",$O217-WEEKDAY($O217,3))</f>
        <v/>
      </c>
      <c r="AJ217" s="30" t="str">
        <f aca="false">IF($O217="","",DATE(YEAR($O217),MONTH($O217),1))</f>
        <v/>
      </c>
      <c r="AK217" s="31" t="str">
        <f aca="false">IF(OR($O217="",$K217=""),"",COUNTIFS('Comms Calendar'!$K$5:$K$504,$K217,'Comms Calendar'!$B$5:$B$504,$B217,'Comms Calendar'!$AI$5:$AI$504,$AI217,'Comms Calendar'!$AE$5:$AE$504,"&lt;&gt;Cancelled"))</f>
        <v/>
      </c>
      <c r="AL217" s="27" t="str">
        <f aca="false">IF($AK217="","",IF($AK217&gt;'Rules &amp; Guardrails'!$C$3,"Over cap","OK"))</f>
        <v/>
      </c>
      <c r="AM217" s="27" t="str">
        <f aca="false">IF(OR($O217="",$K217=""),"",IF(COUNTIFS('Comms Calendar'!$K$5:$K$504,$K217,'Comms Calendar'!$B$5:$B$504,$B217,'Comms Calendar'!$O$5:$O$504,$O217,'Comms Calendar'!$AE$5:$AE$504,"&lt;&gt;Cancelled")&gt;1,"Clash",""))</f>
        <v/>
      </c>
      <c r="AN217" s="27" t="str">
        <f aca="false">IF($O217="","",IF(IF($B217="Global",COUNTIF('Rules &amp; Guardrails'!$F$9:$F$60,$O217),COUNTIFS('Rules &amp; Guardrails'!$F$9:$F$60,$O217,'Rules &amp; Guardrails'!$G$9:$G$60,$B217)+COUNTIFS('Rules &amp; Guardrails'!$F$9:$F$60,$O217,'Rules &amp; Guardrails'!$G$9:$G$60,"Global"))&gt;0,"Blackout",""))</f>
        <v/>
      </c>
      <c r="AO217" s="6"/>
      <c r="AP217" s="25"/>
      <c r="AQ217" s="23"/>
      <c r="AR217" s="31" t="str">
        <f aca="false">IF($D217="","",IFERROR(VLOOKUP($D217,'Rules &amp; Guardrails'!$A$9:$D$24,2,0),"Other"))</f>
        <v/>
      </c>
      <c r="AS217" s="31" t="str">
        <f aca="false">IF($O217="","",$O217&amp;"|"&amp;$B217)</f>
        <v/>
      </c>
    </row>
    <row r="218" customFormat="false" ht="15" hidden="false" customHeight="false" outlineLevel="0" collapsed="false">
      <c r="A218" s="23"/>
      <c r="B218" s="23"/>
      <c r="C218" s="23"/>
      <c r="D218" s="23"/>
      <c r="E218" s="23"/>
      <c r="F218" s="23"/>
      <c r="G218" s="6"/>
      <c r="H218" s="6"/>
      <c r="I218" s="23"/>
      <c r="J218" s="23"/>
      <c r="K218" s="23"/>
      <c r="L218" s="6"/>
      <c r="M218" s="6"/>
      <c r="N218" s="24"/>
      <c r="O218" s="25"/>
      <c r="P218" s="23"/>
      <c r="Q218" s="23"/>
      <c r="R218" s="23"/>
      <c r="S218" s="23"/>
      <c r="T218" s="26" t="str">
        <f aca="false">IF(OR($O218="",$D218=""),"",WORKDAY($O218,-IFERROR(VLOOKUP($D218,'Rules &amp; Guardrails'!$A$9:$D$24,3,0),10)))</f>
        <v/>
      </c>
      <c r="U218" s="23"/>
      <c r="V218" s="23"/>
      <c r="W218" s="23"/>
      <c r="X218" s="6"/>
      <c r="Y218" s="23"/>
      <c r="Z218" s="23"/>
      <c r="AA218" s="23"/>
      <c r="AB218" s="23"/>
      <c r="AC218" s="23"/>
      <c r="AD218" s="23"/>
      <c r="AE218" s="23"/>
      <c r="AF218" s="27" t="str">
        <f aca="true">IF($O218="","",IF(OR($AE218="Cancelled",$AE218="On hold",$AE218="Launched"),$AE218,IF(AND($Y218="Approved",OR($Z218="Yes",$Z218="N/A"),OR($AA218="Yes",$AA218="N/A"),OR($AB218="No",$AB218="N/A",AND($AB218="Yes",$AD218="Yes"))),"Ready",IF($O218&lt;TODAY(),"Overdue",IF($O218-TODAY()&lt;='Rules &amp; Guardrails'!$C$5,"At Risk","In Progress")))))</f>
        <v/>
      </c>
      <c r="AG218" s="28" t="str">
        <f aca="false">IF($O218="","",IF(OR($AE218="Launched",$AE218="Cancelled"),"",MID(IF($Y218&lt;&gt;"Approved",", Content approval","")&amp;IF(NOT(OR($Z218="Yes",$Z218="N/A")),", Assets","")&amp;IF(NOT(OR($AA218="Yes",$AA218="N/A")),", List","")&amp;IF($AB218="",", Ops decision",IF(AND($AB218="Yes",$AD218&lt;&gt;"Yes"),", Ops",""))&amp;IF($U218="",", Owner","")&amp;IF($K218="",", Segment",""),3,200)))</f>
        <v/>
      </c>
      <c r="AH218" s="29" t="str">
        <f aca="true">IF($O218="","",$O218-TODAY())</f>
        <v/>
      </c>
      <c r="AI218" s="26" t="str">
        <f aca="false">IF($O218="","",$O218-WEEKDAY($O218,3))</f>
        <v/>
      </c>
      <c r="AJ218" s="30" t="str">
        <f aca="false">IF($O218="","",DATE(YEAR($O218),MONTH($O218),1))</f>
        <v/>
      </c>
      <c r="AK218" s="31" t="str">
        <f aca="false">IF(OR($O218="",$K218=""),"",COUNTIFS('Comms Calendar'!$K$5:$K$504,$K218,'Comms Calendar'!$B$5:$B$504,$B218,'Comms Calendar'!$AI$5:$AI$504,$AI218,'Comms Calendar'!$AE$5:$AE$504,"&lt;&gt;Cancelled"))</f>
        <v/>
      </c>
      <c r="AL218" s="27" t="str">
        <f aca="false">IF($AK218="","",IF($AK218&gt;'Rules &amp; Guardrails'!$C$3,"Over cap","OK"))</f>
        <v/>
      </c>
      <c r="AM218" s="27" t="str">
        <f aca="false">IF(OR($O218="",$K218=""),"",IF(COUNTIFS('Comms Calendar'!$K$5:$K$504,$K218,'Comms Calendar'!$B$5:$B$504,$B218,'Comms Calendar'!$O$5:$O$504,$O218,'Comms Calendar'!$AE$5:$AE$504,"&lt;&gt;Cancelled")&gt;1,"Clash",""))</f>
        <v/>
      </c>
      <c r="AN218" s="27" t="str">
        <f aca="false">IF($O218="","",IF(IF($B218="Global",COUNTIF('Rules &amp; Guardrails'!$F$9:$F$60,$O218),COUNTIFS('Rules &amp; Guardrails'!$F$9:$F$60,$O218,'Rules &amp; Guardrails'!$G$9:$G$60,$B218)+COUNTIFS('Rules &amp; Guardrails'!$F$9:$F$60,$O218,'Rules &amp; Guardrails'!$G$9:$G$60,"Global"))&gt;0,"Blackout",""))</f>
        <v/>
      </c>
      <c r="AO218" s="6"/>
      <c r="AP218" s="25"/>
      <c r="AQ218" s="23"/>
      <c r="AR218" s="31" t="str">
        <f aca="false">IF($D218="","",IFERROR(VLOOKUP($D218,'Rules &amp; Guardrails'!$A$9:$D$24,2,0),"Other"))</f>
        <v/>
      </c>
      <c r="AS218" s="31" t="str">
        <f aca="false">IF($O218="","",$O218&amp;"|"&amp;$B218)</f>
        <v/>
      </c>
    </row>
    <row r="219" customFormat="false" ht="15" hidden="false" customHeight="false" outlineLevel="0" collapsed="false">
      <c r="A219" s="23"/>
      <c r="B219" s="23"/>
      <c r="C219" s="23"/>
      <c r="D219" s="23"/>
      <c r="E219" s="23"/>
      <c r="F219" s="23"/>
      <c r="G219" s="6"/>
      <c r="H219" s="6"/>
      <c r="I219" s="23"/>
      <c r="J219" s="23"/>
      <c r="K219" s="23"/>
      <c r="L219" s="6"/>
      <c r="M219" s="6"/>
      <c r="N219" s="24"/>
      <c r="O219" s="25"/>
      <c r="P219" s="23"/>
      <c r="Q219" s="23"/>
      <c r="R219" s="23"/>
      <c r="S219" s="23"/>
      <c r="T219" s="26" t="str">
        <f aca="false">IF(OR($O219="",$D219=""),"",WORKDAY($O219,-IFERROR(VLOOKUP($D219,'Rules &amp; Guardrails'!$A$9:$D$24,3,0),10)))</f>
        <v/>
      </c>
      <c r="U219" s="23"/>
      <c r="V219" s="23"/>
      <c r="W219" s="23"/>
      <c r="X219" s="6"/>
      <c r="Y219" s="23"/>
      <c r="Z219" s="23"/>
      <c r="AA219" s="23"/>
      <c r="AB219" s="23"/>
      <c r="AC219" s="23"/>
      <c r="AD219" s="23"/>
      <c r="AE219" s="23"/>
      <c r="AF219" s="27" t="str">
        <f aca="true">IF($O219="","",IF(OR($AE219="Cancelled",$AE219="On hold",$AE219="Launched"),$AE219,IF(AND($Y219="Approved",OR($Z219="Yes",$Z219="N/A"),OR($AA219="Yes",$AA219="N/A"),OR($AB219="No",$AB219="N/A",AND($AB219="Yes",$AD219="Yes"))),"Ready",IF($O219&lt;TODAY(),"Overdue",IF($O219-TODAY()&lt;='Rules &amp; Guardrails'!$C$5,"At Risk","In Progress")))))</f>
        <v/>
      </c>
      <c r="AG219" s="28" t="str">
        <f aca="false">IF($O219="","",IF(OR($AE219="Launched",$AE219="Cancelled"),"",MID(IF($Y219&lt;&gt;"Approved",", Content approval","")&amp;IF(NOT(OR($Z219="Yes",$Z219="N/A")),", Assets","")&amp;IF(NOT(OR($AA219="Yes",$AA219="N/A")),", List","")&amp;IF($AB219="",", Ops decision",IF(AND($AB219="Yes",$AD219&lt;&gt;"Yes"),", Ops",""))&amp;IF($U219="",", Owner","")&amp;IF($K219="",", Segment",""),3,200)))</f>
        <v/>
      </c>
      <c r="AH219" s="29" t="str">
        <f aca="true">IF($O219="","",$O219-TODAY())</f>
        <v/>
      </c>
      <c r="AI219" s="26" t="str">
        <f aca="false">IF($O219="","",$O219-WEEKDAY($O219,3))</f>
        <v/>
      </c>
      <c r="AJ219" s="30" t="str">
        <f aca="false">IF($O219="","",DATE(YEAR($O219),MONTH($O219),1))</f>
        <v/>
      </c>
      <c r="AK219" s="31" t="str">
        <f aca="false">IF(OR($O219="",$K219=""),"",COUNTIFS('Comms Calendar'!$K$5:$K$504,$K219,'Comms Calendar'!$B$5:$B$504,$B219,'Comms Calendar'!$AI$5:$AI$504,$AI219,'Comms Calendar'!$AE$5:$AE$504,"&lt;&gt;Cancelled"))</f>
        <v/>
      </c>
      <c r="AL219" s="27" t="str">
        <f aca="false">IF($AK219="","",IF($AK219&gt;'Rules &amp; Guardrails'!$C$3,"Over cap","OK"))</f>
        <v/>
      </c>
      <c r="AM219" s="27" t="str">
        <f aca="false">IF(OR($O219="",$K219=""),"",IF(COUNTIFS('Comms Calendar'!$K$5:$K$504,$K219,'Comms Calendar'!$B$5:$B$504,$B219,'Comms Calendar'!$O$5:$O$504,$O219,'Comms Calendar'!$AE$5:$AE$504,"&lt;&gt;Cancelled")&gt;1,"Clash",""))</f>
        <v/>
      </c>
      <c r="AN219" s="27" t="str">
        <f aca="false">IF($O219="","",IF(IF($B219="Global",COUNTIF('Rules &amp; Guardrails'!$F$9:$F$60,$O219),COUNTIFS('Rules &amp; Guardrails'!$F$9:$F$60,$O219,'Rules &amp; Guardrails'!$G$9:$G$60,$B219)+COUNTIFS('Rules &amp; Guardrails'!$F$9:$F$60,$O219,'Rules &amp; Guardrails'!$G$9:$G$60,"Global"))&gt;0,"Blackout",""))</f>
        <v/>
      </c>
      <c r="AO219" s="6"/>
      <c r="AP219" s="25"/>
      <c r="AQ219" s="23"/>
      <c r="AR219" s="31" t="str">
        <f aca="false">IF($D219="","",IFERROR(VLOOKUP($D219,'Rules &amp; Guardrails'!$A$9:$D$24,2,0),"Other"))</f>
        <v/>
      </c>
      <c r="AS219" s="31" t="str">
        <f aca="false">IF($O219="","",$O219&amp;"|"&amp;$B219)</f>
        <v/>
      </c>
    </row>
    <row r="220" customFormat="false" ht="15" hidden="false" customHeight="false" outlineLevel="0" collapsed="false">
      <c r="A220" s="23"/>
      <c r="B220" s="23"/>
      <c r="C220" s="23"/>
      <c r="D220" s="23"/>
      <c r="E220" s="23"/>
      <c r="F220" s="23"/>
      <c r="G220" s="6"/>
      <c r="H220" s="6"/>
      <c r="I220" s="23"/>
      <c r="J220" s="23"/>
      <c r="K220" s="23"/>
      <c r="L220" s="6"/>
      <c r="M220" s="6"/>
      <c r="N220" s="24"/>
      <c r="O220" s="25"/>
      <c r="P220" s="23"/>
      <c r="Q220" s="23"/>
      <c r="R220" s="23"/>
      <c r="S220" s="23"/>
      <c r="T220" s="26" t="str">
        <f aca="false">IF(OR($O220="",$D220=""),"",WORKDAY($O220,-IFERROR(VLOOKUP($D220,'Rules &amp; Guardrails'!$A$9:$D$24,3,0),10)))</f>
        <v/>
      </c>
      <c r="U220" s="23"/>
      <c r="V220" s="23"/>
      <c r="W220" s="23"/>
      <c r="X220" s="6"/>
      <c r="Y220" s="23"/>
      <c r="Z220" s="23"/>
      <c r="AA220" s="23"/>
      <c r="AB220" s="23"/>
      <c r="AC220" s="23"/>
      <c r="AD220" s="23"/>
      <c r="AE220" s="23"/>
      <c r="AF220" s="27" t="str">
        <f aca="true">IF($O220="","",IF(OR($AE220="Cancelled",$AE220="On hold",$AE220="Launched"),$AE220,IF(AND($Y220="Approved",OR($Z220="Yes",$Z220="N/A"),OR($AA220="Yes",$AA220="N/A"),OR($AB220="No",$AB220="N/A",AND($AB220="Yes",$AD220="Yes"))),"Ready",IF($O220&lt;TODAY(),"Overdue",IF($O220-TODAY()&lt;='Rules &amp; Guardrails'!$C$5,"At Risk","In Progress")))))</f>
        <v/>
      </c>
      <c r="AG220" s="28" t="str">
        <f aca="false">IF($O220="","",IF(OR($AE220="Launched",$AE220="Cancelled"),"",MID(IF($Y220&lt;&gt;"Approved",", Content approval","")&amp;IF(NOT(OR($Z220="Yes",$Z220="N/A")),", Assets","")&amp;IF(NOT(OR($AA220="Yes",$AA220="N/A")),", List","")&amp;IF($AB220="",", Ops decision",IF(AND($AB220="Yes",$AD220&lt;&gt;"Yes"),", Ops",""))&amp;IF($U220="",", Owner","")&amp;IF($K220="",", Segment",""),3,200)))</f>
        <v/>
      </c>
      <c r="AH220" s="29" t="str">
        <f aca="true">IF($O220="","",$O220-TODAY())</f>
        <v/>
      </c>
      <c r="AI220" s="26" t="str">
        <f aca="false">IF($O220="","",$O220-WEEKDAY($O220,3))</f>
        <v/>
      </c>
      <c r="AJ220" s="30" t="str">
        <f aca="false">IF($O220="","",DATE(YEAR($O220),MONTH($O220),1))</f>
        <v/>
      </c>
      <c r="AK220" s="31" t="str">
        <f aca="false">IF(OR($O220="",$K220=""),"",COUNTIFS('Comms Calendar'!$K$5:$K$504,$K220,'Comms Calendar'!$B$5:$B$504,$B220,'Comms Calendar'!$AI$5:$AI$504,$AI220,'Comms Calendar'!$AE$5:$AE$504,"&lt;&gt;Cancelled"))</f>
        <v/>
      </c>
      <c r="AL220" s="27" t="str">
        <f aca="false">IF($AK220="","",IF($AK220&gt;'Rules &amp; Guardrails'!$C$3,"Over cap","OK"))</f>
        <v/>
      </c>
      <c r="AM220" s="27" t="str">
        <f aca="false">IF(OR($O220="",$K220=""),"",IF(COUNTIFS('Comms Calendar'!$K$5:$K$504,$K220,'Comms Calendar'!$B$5:$B$504,$B220,'Comms Calendar'!$O$5:$O$504,$O220,'Comms Calendar'!$AE$5:$AE$504,"&lt;&gt;Cancelled")&gt;1,"Clash",""))</f>
        <v/>
      </c>
      <c r="AN220" s="27" t="str">
        <f aca="false">IF($O220="","",IF(IF($B220="Global",COUNTIF('Rules &amp; Guardrails'!$F$9:$F$60,$O220),COUNTIFS('Rules &amp; Guardrails'!$F$9:$F$60,$O220,'Rules &amp; Guardrails'!$G$9:$G$60,$B220)+COUNTIFS('Rules &amp; Guardrails'!$F$9:$F$60,$O220,'Rules &amp; Guardrails'!$G$9:$G$60,"Global"))&gt;0,"Blackout",""))</f>
        <v/>
      </c>
      <c r="AO220" s="6"/>
      <c r="AP220" s="25"/>
      <c r="AQ220" s="23"/>
      <c r="AR220" s="31" t="str">
        <f aca="false">IF($D220="","",IFERROR(VLOOKUP($D220,'Rules &amp; Guardrails'!$A$9:$D$24,2,0),"Other"))</f>
        <v/>
      </c>
      <c r="AS220" s="31" t="str">
        <f aca="false">IF($O220="","",$O220&amp;"|"&amp;$B220)</f>
        <v/>
      </c>
    </row>
    <row r="221" customFormat="false" ht="15" hidden="false" customHeight="false" outlineLevel="0" collapsed="false">
      <c r="A221" s="23"/>
      <c r="B221" s="23"/>
      <c r="C221" s="23"/>
      <c r="D221" s="23"/>
      <c r="E221" s="23"/>
      <c r="F221" s="23"/>
      <c r="G221" s="6"/>
      <c r="H221" s="6"/>
      <c r="I221" s="23"/>
      <c r="J221" s="23"/>
      <c r="K221" s="23"/>
      <c r="L221" s="6"/>
      <c r="M221" s="6"/>
      <c r="N221" s="24"/>
      <c r="O221" s="25"/>
      <c r="P221" s="23"/>
      <c r="Q221" s="23"/>
      <c r="R221" s="23"/>
      <c r="S221" s="23"/>
      <c r="T221" s="26" t="str">
        <f aca="false">IF(OR($O221="",$D221=""),"",WORKDAY($O221,-IFERROR(VLOOKUP($D221,'Rules &amp; Guardrails'!$A$9:$D$24,3,0),10)))</f>
        <v/>
      </c>
      <c r="U221" s="23"/>
      <c r="V221" s="23"/>
      <c r="W221" s="23"/>
      <c r="X221" s="6"/>
      <c r="Y221" s="23"/>
      <c r="Z221" s="23"/>
      <c r="AA221" s="23"/>
      <c r="AB221" s="23"/>
      <c r="AC221" s="23"/>
      <c r="AD221" s="23"/>
      <c r="AE221" s="23"/>
      <c r="AF221" s="27" t="str">
        <f aca="true">IF($O221="","",IF(OR($AE221="Cancelled",$AE221="On hold",$AE221="Launched"),$AE221,IF(AND($Y221="Approved",OR($Z221="Yes",$Z221="N/A"),OR($AA221="Yes",$AA221="N/A"),OR($AB221="No",$AB221="N/A",AND($AB221="Yes",$AD221="Yes"))),"Ready",IF($O221&lt;TODAY(),"Overdue",IF($O221-TODAY()&lt;='Rules &amp; Guardrails'!$C$5,"At Risk","In Progress")))))</f>
        <v/>
      </c>
      <c r="AG221" s="28" t="str">
        <f aca="false">IF($O221="","",IF(OR($AE221="Launched",$AE221="Cancelled"),"",MID(IF($Y221&lt;&gt;"Approved",", Content approval","")&amp;IF(NOT(OR($Z221="Yes",$Z221="N/A")),", Assets","")&amp;IF(NOT(OR($AA221="Yes",$AA221="N/A")),", List","")&amp;IF($AB221="",", Ops decision",IF(AND($AB221="Yes",$AD221&lt;&gt;"Yes"),", Ops",""))&amp;IF($U221="",", Owner","")&amp;IF($K221="",", Segment",""),3,200)))</f>
        <v/>
      </c>
      <c r="AH221" s="29" t="str">
        <f aca="true">IF($O221="","",$O221-TODAY())</f>
        <v/>
      </c>
      <c r="AI221" s="26" t="str">
        <f aca="false">IF($O221="","",$O221-WEEKDAY($O221,3))</f>
        <v/>
      </c>
      <c r="AJ221" s="30" t="str">
        <f aca="false">IF($O221="","",DATE(YEAR($O221),MONTH($O221),1))</f>
        <v/>
      </c>
      <c r="AK221" s="31" t="str">
        <f aca="false">IF(OR($O221="",$K221=""),"",COUNTIFS('Comms Calendar'!$K$5:$K$504,$K221,'Comms Calendar'!$B$5:$B$504,$B221,'Comms Calendar'!$AI$5:$AI$504,$AI221,'Comms Calendar'!$AE$5:$AE$504,"&lt;&gt;Cancelled"))</f>
        <v/>
      </c>
      <c r="AL221" s="27" t="str">
        <f aca="false">IF($AK221="","",IF($AK221&gt;'Rules &amp; Guardrails'!$C$3,"Over cap","OK"))</f>
        <v/>
      </c>
      <c r="AM221" s="27" t="str">
        <f aca="false">IF(OR($O221="",$K221=""),"",IF(COUNTIFS('Comms Calendar'!$K$5:$K$504,$K221,'Comms Calendar'!$B$5:$B$504,$B221,'Comms Calendar'!$O$5:$O$504,$O221,'Comms Calendar'!$AE$5:$AE$504,"&lt;&gt;Cancelled")&gt;1,"Clash",""))</f>
        <v/>
      </c>
      <c r="AN221" s="27" t="str">
        <f aca="false">IF($O221="","",IF(IF($B221="Global",COUNTIF('Rules &amp; Guardrails'!$F$9:$F$60,$O221),COUNTIFS('Rules &amp; Guardrails'!$F$9:$F$60,$O221,'Rules &amp; Guardrails'!$G$9:$G$60,$B221)+COUNTIFS('Rules &amp; Guardrails'!$F$9:$F$60,$O221,'Rules &amp; Guardrails'!$G$9:$G$60,"Global"))&gt;0,"Blackout",""))</f>
        <v/>
      </c>
      <c r="AO221" s="6"/>
      <c r="AP221" s="25"/>
      <c r="AQ221" s="23"/>
      <c r="AR221" s="31" t="str">
        <f aca="false">IF($D221="","",IFERROR(VLOOKUP($D221,'Rules &amp; Guardrails'!$A$9:$D$24,2,0),"Other"))</f>
        <v/>
      </c>
      <c r="AS221" s="31" t="str">
        <f aca="false">IF($O221="","",$O221&amp;"|"&amp;$B221)</f>
        <v/>
      </c>
    </row>
    <row r="222" customFormat="false" ht="15" hidden="false" customHeight="false" outlineLevel="0" collapsed="false">
      <c r="A222" s="23"/>
      <c r="B222" s="23"/>
      <c r="C222" s="23"/>
      <c r="D222" s="23"/>
      <c r="E222" s="23"/>
      <c r="F222" s="23"/>
      <c r="G222" s="6"/>
      <c r="H222" s="6"/>
      <c r="I222" s="23"/>
      <c r="J222" s="23"/>
      <c r="K222" s="23"/>
      <c r="L222" s="6"/>
      <c r="M222" s="6"/>
      <c r="N222" s="24"/>
      <c r="O222" s="25"/>
      <c r="P222" s="23"/>
      <c r="Q222" s="23"/>
      <c r="R222" s="23"/>
      <c r="S222" s="23"/>
      <c r="T222" s="26" t="str">
        <f aca="false">IF(OR($O222="",$D222=""),"",WORKDAY($O222,-IFERROR(VLOOKUP($D222,'Rules &amp; Guardrails'!$A$9:$D$24,3,0),10)))</f>
        <v/>
      </c>
      <c r="U222" s="23"/>
      <c r="V222" s="23"/>
      <c r="W222" s="23"/>
      <c r="X222" s="6"/>
      <c r="Y222" s="23"/>
      <c r="Z222" s="23"/>
      <c r="AA222" s="23"/>
      <c r="AB222" s="23"/>
      <c r="AC222" s="23"/>
      <c r="AD222" s="23"/>
      <c r="AE222" s="23"/>
      <c r="AF222" s="27" t="str">
        <f aca="true">IF($O222="","",IF(OR($AE222="Cancelled",$AE222="On hold",$AE222="Launched"),$AE222,IF(AND($Y222="Approved",OR($Z222="Yes",$Z222="N/A"),OR($AA222="Yes",$AA222="N/A"),OR($AB222="No",$AB222="N/A",AND($AB222="Yes",$AD222="Yes"))),"Ready",IF($O222&lt;TODAY(),"Overdue",IF($O222-TODAY()&lt;='Rules &amp; Guardrails'!$C$5,"At Risk","In Progress")))))</f>
        <v/>
      </c>
      <c r="AG222" s="28" t="str">
        <f aca="false">IF($O222="","",IF(OR($AE222="Launched",$AE222="Cancelled"),"",MID(IF($Y222&lt;&gt;"Approved",", Content approval","")&amp;IF(NOT(OR($Z222="Yes",$Z222="N/A")),", Assets","")&amp;IF(NOT(OR($AA222="Yes",$AA222="N/A")),", List","")&amp;IF($AB222="",", Ops decision",IF(AND($AB222="Yes",$AD222&lt;&gt;"Yes"),", Ops",""))&amp;IF($U222="",", Owner","")&amp;IF($K222="",", Segment",""),3,200)))</f>
        <v/>
      </c>
      <c r="AH222" s="29" t="str">
        <f aca="true">IF($O222="","",$O222-TODAY())</f>
        <v/>
      </c>
      <c r="AI222" s="26" t="str">
        <f aca="false">IF($O222="","",$O222-WEEKDAY($O222,3))</f>
        <v/>
      </c>
      <c r="AJ222" s="30" t="str">
        <f aca="false">IF($O222="","",DATE(YEAR($O222),MONTH($O222),1))</f>
        <v/>
      </c>
      <c r="AK222" s="31" t="str">
        <f aca="false">IF(OR($O222="",$K222=""),"",COUNTIFS('Comms Calendar'!$K$5:$K$504,$K222,'Comms Calendar'!$B$5:$B$504,$B222,'Comms Calendar'!$AI$5:$AI$504,$AI222,'Comms Calendar'!$AE$5:$AE$504,"&lt;&gt;Cancelled"))</f>
        <v/>
      </c>
      <c r="AL222" s="27" t="str">
        <f aca="false">IF($AK222="","",IF($AK222&gt;'Rules &amp; Guardrails'!$C$3,"Over cap","OK"))</f>
        <v/>
      </c>
      <c r="AM222" s="27" t="str">
        <f aca="false">IF(OR($O222="",$K222=""),"",IF(COUNTIFS('Comms Calendar'!$K$5:$K$504,$K222,'Comms Calendar'!$B$5:$B$504,$B222,'Comms Calendar'!$O$5:$O$504,$O222,'Comms Calendar'!$AE$5:$AE$504,"&lt;&gt;Cancelled")&gt;1,"Clash",""))</f>
        <v/>
      </c>
      <c r="AN222" s="27" t="str">
        <f aca="false">IF($O222="","",IF(IF($B222="Global",COUNTIF('Rules &amp; Guardrails'!$F$9:$F$60,$O222),COUNTIFS('Rules &amp; Guardrails'!$F$9:$F$60,$O222,'Rules &amp; Guardrails'!$G$9:$G$60,$B222)+COUNTIFS('Rules &amp; Guardrails'!$F$9:$F$60,$O222,'Rules &amp; Guardrails'!$G$9:$G$60,"Global"))&gt;0,"Blackout",""))</f>
        <v/>
      </c>
      <c r="AO222" s="6"/>
      <c r="AP222" s="25"/>
      <c r="AQ222" s="23"/>
      <c r="AR222" s="31" t="str">
        <f aca="false">IF($D222="","",IFERROR(VLOOKUP($D222,'Rules &amp; Guardrails'!$A$9:$D$24,2,0),"Other"))</f>
        <v/>
      </c>
      <c r="AS222" s="31" t="str">
        <f aca="false">IF($O222="","",$O222&amp;"|"&amp;$B222)</f>
        <v/>
      </c>
    </row>
    <row r="223" customFormat="false" ht="15" hidden="false" customHeight="false" outlineLevel="0" collapsed="false">
      <c r="A223" s="23"/>
      <c r="B223" s="23"/>
      <c r="C223" s="23"/>
      <c r="D223" s="23"/>
      <c r="E223" s="23"/>
      <c r="F223" s="23"/>
      <c r="G223" s="6"/>
      <c r="H223" s="6"/>
      <c r="I223" s="23"/>
      <c r="J223" s="23"/>
      <c r="K223" s="23"/>
      <c r="L223" s="6"/>
      <c r="M223" s="6"/>
      <c r="N223" s="24"/>
      <c r="O223" s="25"/>
      <c r="P223" s="23"/>
      <c r="Q223" s="23"/>
      <c r="R223" s="23"/>
      <c r="S223" s="23"/>
      <c r="T223" s="26" t="str">
        <f aca="false">IF(OR($O223="",$D223=""),"",WORKDAY($O223,-IFERROR(VLOOKUP($D223,'Rules &amp; Guardrails'!$A$9:$D$24,3,0),10)))</f>
        <v/>
      </c>
      <c r="U223" s="23"/>
      <c r="V223" s="23"/>
      <c r="W223" s="23"/>
      <c r="X223" s="6"/>
      <c r="Y223" s="23"/>
      <c r="Z223" s="23"/>
      <c r="AA223" s="23"/>
      <c r="AB223" s="23"/>
      <c r="AC223" s="23"/>
      <c r="AD223" s="23"/>
      <c r="AE223" s="23"/>
      <c r="AF223" s="27" t="str">
        <f aca="true">IF($O223="","",IF(OR($AE223="Cancelled",$AE223="On hold",$AE223="Launched"),$AE223,IF(AND($Y223="Approved",OR($Z223="Yes",$Z223="N/A"),OR($AA223="Yes",$AA223="N/A"),OR($AB223="No",$AB223="N/A",AND($AB223="Yes",$AD223="Yes"))),"Ready",IF($O223&lt;TODAY(),"Overdue",IF($O223-TODAY()&lt;='Rules &amp; Guardrails'!$C$5,"At Risk","In Progress")))))</f>
        <v/>
      </c>
      <c r="AG223" s="28" t="str">
        <f aca="false">IF($O223="","",IF(OR($AE223="Launched",$AE223="Cancelled"),"",MID(IF($Y223&lt;&gt;"Approved",", Content approval","")&amp;IF(NOT(OR($Z223="Yes",$Z223="N/A")),", Assets","")&amp;IF(NOT(OR($AA223="Yes",$AA223="N/A")),", List","")&amp;IF($AB223="",", Ops decision",IF(AND($AB223="Yes",$AD223&lt;&gt;"Yes"),", Ops",""))&amp;IF($U223="",", Owner","")&amp;IF($K223="",", Segment",""),3,200)))</f>
        <v/>
      </c>
      <c r="AH223" s="29" t="str">
        <f aca="true">IF($O223="","",$O223-TODAY())</f>
        <v/>
      </c>
      <c r="AI223" s="26" t="str">
        <f aca="false">IF($O223="","",$O223-WEEKDAY($O223,3))</f>
        <v/>
      </c>
      <c r="AJ223" s="30" t="str">
        <f aca="false">IF($O223="","",DATE(YEAR($O223),MONTH($O223),1))</f>
        <v/>
      </c>
      <c r="AK223" s="31" t="str">
        <f aca="false">IF(OR($O223="",$K223=""),"",COUNTIFS('Comms Calendar'!$K$5:$K$504,$K223,'Comms Calendar'!$B$5:$B$504,$B223,'Comms Calendar'!$AI$5:$AI$504,$AI223,'Comms Calendar'!$AE$5:$AE$504,"&lt;&gt;Cancelled"))</f>
        <v/>
      </c>
      <c r="AL223" s="27" t="str">
        <f aca="false">IF($AK223="","",IF($AK223&gt;'Rules &amp; Guardrails'!$C$3,"Over cap","OK"))</f>
        <v/>
      </c>
      <c r="AM223" s="27" t="str">
        <f aca="false">IF(OR($O223="",$K223=""),"",IF(COUNTIFS('Comms Calendar'!$K$5:$K$504,$K223,'Comms Calendar'!$B$5:$B$504,$B223,'Comms Calendar'!$O$5:$O$504,$O223,'Comms Calendar'!$AE$5:$AE$504,"&lt;&gt;Cancelled")&gt;1,"Clash",""))</f>
        <v/>
      </c>
      <c r="AN223" s="27" t="str">
        <f aca="false">IF($O223="","",IF(IF($B223="Global",COUNTIF('Rules &amp; Guardrails'!$F$9:$F$60,$O223),COUNTIFS('Rules &amp; Guardrails'!$F$9:$F$60,$O223,'Rules &amp; Guardrails'!$G$9:$G$60,$B223)+COUNTIFS('Rules &amp; Guardrails'!$F$9:$F$60,$O223,'Rules &amp; Guardrails'!$G$9:$G$60,"Global"))&gt;0,"Blackout",""))</f>
        <v/>
      </c>
      <c r="AO223" s="6"/>
      <c r="AP223" s="25"/>
      <c r="AQ223" s="23"/>
      <c r="AR223" s="31" t="str">
        <f aca="false">IF($D223="","",IFERROR(VLOOKUP($D223,'Rules &amp; Guardrails'!$A$9:$D$24,2,0),"Other"))</f>
        <v/>
      </c>
      <c r="AS223" s="31" t="str">
        <f aca="false">IF($O223="","",$O223&amp;"|"&amp;$B223)</f>
        <v/>
      </c>
    </row>
    <row r="224" customFormat="false" ht="15" hidden="false" customHeight="false" outlineLevel="0" collapsed="false">
      <c r="A224" s="23"/>
      <c r="B224" s="23"/>
      <c r="C224" s="23"/>
      <c r="D224" s="23"/>
      <c r="E224" s="23"/>
      <c r="F224" s="23"/>
      <c r="G224" s="6"/>
      <c r="H224" s="6"/>
      <c r="I224" s="23"/>
      <c r="J224" s="23"/>
      <c r="K224" s="23"/>
      <c r="L224" s="6"/>
      <c r="M224" s="6"/>
      <c r="N224" s="24"/>
      <c r="O224" s="25"/>
      <c r="P224" s="23"/>
      <c r="Q224" s="23"/>
      <c r="R224" s="23"/>
      <c r="S224" s="23"/>
      <c r="T224" s="26" t="str">
        <f aca="false">IF(OR($O224="",$D224=""),"",WORKDAY($O224,-IFERROR(VLOOKUP($D224,'Rules &amp; Guardrails'!$A$9:$D$24,3,0),10)))</f>
        <v/>
      </c>
      <c r="U224" s="23"/>
      <c r="V224" s="23"/>
      <c r="W224" s="23"/>
      <c r="X224" s="6"/>
      <c r="Y224" s="23"/>
      <c r="Z224" s="23"/>
      <c r="AA224" s="23"/>
      <c r="AB224" s="23"/>
      <c r="AC224" s="23"/>
      <c r="AD224" s="23"/>
      <c r="AE224" s="23"/>
      <c r="AF224" s="27" t="str">
        <f aca="true">IF($O224="","",IF(OR($AE224="Cancelled",$AE224="On hold",$AE224="Launched"),$AE224,IF(AND($Y224="Approved",OR($Z224="Yes",$Z224="N/A"),OR($AA224="Yes",$AA224="N/A"),OR($AB224="No",$AB224="N/A",AND($AB224="Yes",$AD224="Yes"))),"Ready",IF($O224&lt;TODAY(),"Overdue",IF($O224-TODAY()&lt;='Rules &amp; Guardrails'!$C$5,"At Risk","In Progress")))))</f>
        <v/>
      </c>
      <c r="AG224" s="28" t="str">
        <f aca="false">IF($O224="","",IF(OR($AE224="Launched",$AE224="Cancelled"),"",MID(IF($Y224&lt;&gt;"Approved",", Content approval","")&amp;IF(NOT(OR($Z224="Yes",$Z224="N/A")),", Assets","")&amp;IF(NOT(OR($AA224="Yes",$AA224="N/A")),", List","")&amp;IF($AB224="",", Ops decision",IF(AND($AB224="Yes",$AD224&lt;&gt;"Yes"),", Ops",""))&amp;IF($U224="",", Owner","")&amp;IF($K224="",", Segment",""),3,200)))</f>
        <v/>
      </c>
      <c r="AH224" s="29" t="str">
        <f aca="true">IF($O224="","",$O224-TODAY())</f>
        <v/>
      </c>
      <c r="AI224" s="26" t="str">
        <f aca="false">IF($O224="","",$O224-WEEKDAY($O224,3))</f>
        <v/>
      </c>
      <c r="AJ224" s="30" t="str">
        <f aca="false">IF($O224="","",DATE(YEAR($O224),MONTH($O224),1))</f>
        <v/>
      </c>
      <c r="AK224" s="31" t="str">
        <f aca="false">IF(OR($O224="",$K224=""),"",COUNTIFS('Comms Calendar'!$K$5:$K$504,$K224,'Comms Calendar'!$B$5:$B$504,$B224,'Comms Calendar'!$AI$5:$AI$504,$AI224,'Comms Calendar'!$AE$5:$AE$504,"&lt;&gt;Cancelled"))</f>
        <v/>
      </c>
      <c r="AL224" s="27" t="str">
        <f aca="false">IF($AK224="","",IF($AK224&gt;'Rules &amp; Guardrails'!$C$3,"Over cap","OK"))</f>
        <v/>
      </c>
      <c r="AM224" s="27" t="str">
        <f aca="false">IF(OR($O224="",$K224=""),"",IF(COUNTIFS('Comms Calendar'!$K$5:$K$504,$K224,'Comms Calendar'!$B$5:$B$504,$B224,'Comms Calendar'!$O$5:$O$504,$O224,'Comms Calendar'!$AE$5:$AE$504,"&lt;&gt;Cancelled")&gt;1,"Clash",""))</f>
        <v/>
      </c>
      <c r="AN224" s="27" t="str">
        <f aca="false">IF($O224="","",IF(IF($B224="Global",COUNTIF('Rules &amp; Guardrails'!$F$9:$F$60,$O224),COUNTIFS('Rules &amp; Guardrails'!$F$9:$F$60,$O224,'Rules &amp; Guardrails'!$G$9:$G$60,$B224)+COUNTIFS('Rules &amp; Guardrails'!$F$9:$F$60,$O224,'Rules &amp; Guardrails'!$G$9:$G$60,"Global"))&gt;0,"Blackout",""))</f>
        <v/>
      </c>
      <c r="AO224" s="6"/>
      <c r="AP224" s="25"/>
      <c r="AQ224" s="23"/>
      <c r="AR224" s="31" t="str">
        <f aca="false">IF($D224="","",IFERROR(VLOOKUP($D224,'Rules &amp; Guardrails'!$A$9:$D$24,2,0),"Other"))</f>
        <v/>
      </c>
      <c r="AS224" s="31" t="str">
        <f aca="false">IF($O224="","",$O224&amp;"|"&amp;$B224)</f>
        <v/>
      </c>
    </row>
    <row r="225" customFormat="false" ht="15" hidden="false" customHeight="false" outlineLevel="0" collapsed="false">
      <c r="A225" s="23"/>
      <c r="B225" s="23"/>
      <c r="C225" s="23"/>
      <c r="D225" s="23"/>
      <c r="E225" s="23"/>
      <c r="F225" s="23"/>
      <c r="G225" s="6"/>
      <c r="H225" s="6"/>
      <c r="I225" s="23"/>
      <c r="J225" s="23"/>
      <c r="K225" s="23"/>
      <c r="L225" s="6"/>
      <c r="M225" s="6"/>
      <c r="N225" s="24"/>
      <c r="O225" s="25"/>
      <c r="P225" s="23"/>
      <c r="Q225" s="23"/>
      <c r="R225" s="23"/>
      <c r="S225" s="23"/>
      <c r="T225" s="26" t="str">
        <f aca="false">IF(OR($O225="",$D225=""),"",WORKDAY($O225,-IFERROR(VLOOKUP($D225,'Rules &amp; Guardrails'!$A$9:$D$24,3,0),10)))</f>
        <v/>
      </c>
      <c r="U225" s="23"/>
      <c r="V225" s="23"/>
      <c r="W225" s="23"/>
      <c r="X225" s="6"/>
      <c r="Y225" s="23"/>
      <c r="Z225" s="23"/>
      <c r="AA225" s="23"/>
      <c r="AB225" s="23"/>
      <c r="AC225" s="23"/>
      <c r="AD225" s="23"/>
      <c r="AE225" s="23"/>
      <c r="AF225" s="27" t="str">
        <f aca="true">IF($O225="","",IF(OR($AE225="Cancelled",$AE225="On hold",$AE225="Launched"),$AE225,IF(AND($Y225="Approved",OR($Z225="Yes",$Z225="N/A"),OR($AA225="Yes",$AA225="N/A"),OR($AB225="No",$AB225="N/A",AND($AB225="Yes",$AD225="Yes"))),"Ready",IF($O225&lt;TODAY(),"Overdue",IF($O225-TODAY()&lt;='Rules &amp; Guardrails'!$C$5,"At Risk","In Progress")))))</f>
        <v/>
      </c>
      <c r="AG225" s="28" t="str">
        <f aca="false">IF($O225="","",IF(OR($AE225="Launched",$AE225="Cancelled"),"",MID(IF($Y225&lt;&gt;"Approved",", Content approval","")&amp;IF(NOT(OR($Z225="Yes",$Z225="N/A")),", Assets","")&amp;IF(NOT(OR($AA225="Yes",$AA225="N/A")),", List","")&amp;IF($AB225="",", Ops decision",IF(AND($AB225="Yes",$AD225&lt;&gt;"Yes"),", Ops",""))&amp;IF($U225="",", Owner","")&amp;IF($K225="",", Segment",""),3,200)))</f>
        <v/>
      </c>
      <c r="AH225" s="29" t="str">
        <f aca="true">IF($O225="","",$O225-TODAY())</f>
        <v/>
      </c>
      <c r="AI225" s="26" t="str">
        <f aca="false">IF($O225="","",$O225-WEEKDAY($O225,3))</f>
        <v/>
      </c>
      <c r="AJ225" s="30" t="str">
        <f aca="false">IF($O225="","",DATE(YEAR($O225),MONTH($O225),1))</f>
        <v/>
      </c>
      <c r="AK225" s="31" t="str">
        <f aca="false">IF(OR($O225="",$K225=""),"",COUNTIFS('Comms Calendar'!$K$5:$K$504,$K225,'Comms Calendar'!$B$5:$B$504,$B225,'Comms Calendar'!$AI$5:$AI$504,$AI225,'Comms Calendar'!$AE$5:$AE$504,"&lt;&gt;Cancelled"))</f>
        <v/>
      </c>
      <c r="AL225" s="27" t="str">
        <f aca="false">IF($AK225="","",IF($AK225&gt;'Rules &amp; Guardrails'!$C$3,"Over cap","OK"))</f>
        <v/>
      </c>
      <c r="AM225" s="27" t="str">
        <f aca="false">IF(OR($O225="",$K225=""),"",IF(COUNTIFS('Comms Calendar'!$K$5:$K$504,$K225,'Comms Calendar'!$B$5:$B$504,$B225,'Comms Calendar'!$O$5:$O$504,$O225,'Comms Calendar'!$AE$5:$AE$504,"&lt;&gt;Cancelled")&gt;1,"Clash",""))</f>
        <v/>
      </c>
      <c r="AN225" s="27" t="str">
        <f aca="false">IF($O225="","",IF(IF($B225="Global",COUNTIF('Rules &amp; Guardrails'!$F$9:$F$60,$O225),COUNTIFS('Rules &amp; Guardrails'!$F$9:$F$60,$O225,'Rules &amp; Guardrails'!$G$9:$G$60,$B225)+COUNTIFS('Rules &amp; Guardrails'!$F$9:$F$60,$O225,'Rules &amp; Guardrails'!$G$9:$G$60,"Global"))&gt;0,"Blackout",""))</f>
        <v/>
      </c>
      <c r="AO225" s="6"/>
      <c r="AP225" s="25"/>
      <c r="AQ225" s="23"/>
      <c r="AR225" s="31" t="str">
        <f aca="false">IF($D225="","",IFERROR(VLOOKUP($D225,'Rules &amp; Guardrails'!$A$9:$D$24,2,0),"Other"))</f>
        <v/>
      </c>
      <c r="AS225" s="31" t="str">
        <f aca="false">IF($O225="","",$O225&amp;"|"&amp;$B225)</f>
        <v/>
      </c>
    </row>
    <row r="226" customFormat="false" ht="15" hidden="false" customHeight="false" outlineLevel="0" collapsed="false">
      <c r="A226" s="23"/>
      <c r="B226" s="23"/>
      <c r="C226" s="23"/>
      <c r="D226" s="23"/>
      <c r="E226" s="23"/>
      <c r="F226" s="23"/>
      <c r="G226" s="6"/>
      <c r="H226" s="6"/>
      <c r="I226" s="23"/>
      <c r="J226" s="23"/>
      <c r="K226" s="23"/>
      <c r="L226" s="6"/>
      <c r="M226" s="6"/>
      <c r="N226" s="24"/>
      <c r="O226" s="25"/>
      <c r="P226" s="23"/>
      <c r="Q226" s="23"/>
      <c r="R226" s="23"/>
      <c r="S226" s="23"/>
      <c r="T226" s="26" t="str">
        <f aca="false">IF(OR($O226="",$D226=""),"",WORKDAY($O226,-IFERROR(VLOOKUP($D226,'Rules &amp; Guardrails'!$A$9:$D$24,3,0),10)))</f>
        <v/>
      </c>
      <c r="U226" s="23"/>
      <c r="V226" s="23"/>
      <c r="W226" s="23"/>
      <c r="X226" s="6"/>
      <c r="Y226" s="23"/>
      <c r="Z226" s="23"/>
      <c r="AA226" s="23"/>
      <c r="AB226" s="23"/>
      <c r="AC226" s="23"/>
      <c r="AD226" s="23"/>
      <c r="AE226" s="23"/>
      <c r="AF226" s="27" t="str">
        <f aca="true">IF($O226="","",IF(OR($AE226="Cancelled",$AE226="On hold",$AE226="Launched"),$AE226,IF(AND($Y226="Approved",OR($Z226="Yes",$Z226="N/A"),OR($AA226="Yes",$AA226="N/A"),OR($AB226="No",$AB226="N/A",AND($AB226="Yes",$AD226="Yes"))),"Ready",IF($O226&lt;TODAY(),"Overdue",IF($O226-TODAY()&lt;='Rules &amp; Guardrails'!$C$5,"At Risk","In Progress")))))</f>
        <v/>
      </c>
      <c r="AG226" s="28" t="str">
        <f aca="false">IF($O226="","",IF(OR($AE226="Launched",$AE226="Cancelled"),"",MID(IF($Y226&lt;&gt;"Approved",", Content approval","")&amp;IF(NOT(OR($Z226="Yes",$Z226="N/A")),", Assets","")&amp;IF(NOT(OR($AA226="Yes",$AA226="N/A")),", List","")&amp;IF($AB226="",", Ops decision",IF(AND($AB226="Yes",$AD226&lt;&gt;"Yes"),", Ops",""))&amp;IF($U226="",", Owner","")&amp;IF($K226="",", Segment",""),3,200)))</f>
        <v/>
      </c>
      <c r="AH226" s="29" t="str">
        <f aca="true">IF($O226="","",$O226-TODAY())</f>
        <v/>
      </c>
      <c r="AI226" s="26" t="str">
        <f aca="false">IF($O226="","",$O226-WEEKDAY($O226,3))</f>
        <v/>
      </c>
      <c r="AJ226" s="30" t="str">
        <f aca="false">IF($O226="","",DATE(YEAR($O226),MONTH($O226),1))</f>
        <v/>
      </c>
      <c r="AK226" s="31" t="str">
        <f aca="false">IF(OR($O226="",$K226=""),"",COUNTIFS('Comms Calendar'!$K$5:$K$504,$K226,'Comms Calendar'!$B$5:$B$504,$B226,'Comms Calendar'!$AI$5:$AI$504,$AI226,'Comms Calendar'!$AE$5:$AE$504,"&lt;&gt;Cancelled"))</f>
        <v/>
      </c>
      <c r="AL226" s="27" t="str">
        <f aca="false">IF($AK226="","",IF($AK226&gt;'Rules &amp; Guardrails'!$C$3,"Over cap","OK"))</f>
        <v/>
      </c>
      <c r="AM226" s="27" t="str">
        <f aca="false">IF(OR($O226="",$K226=""),"",IF(COUNTIFS('Comms Calendar'!$K$5:$K$504,$K226,'Comms Calendar'!$B$5:$B$504,$B226,'Comms Calendar'!$O$5:$O$504,$O226,'Comms Calendar'!$AE$5:$AE$504,"&lt;&gt;Cancelled")&gt;1,"Clash",""))</f>
        <v/>
      </c>
      <c r="AN226" s="27" t="str">
        <f aca="false">IF($O226="","",IF(IF($B226="Global",COUNTIF('Rules &amp; Guardrails'!$F$9:$F$60,$O226),COUNTIFS('Rules &amp; Guardrails'!$F$9:$F$60,$O226,'Rules &amp; Guardrails'!$G$9:$G$60,$B226)+COUNTIFS('Rules &amp; Guardrails'!$F$9:$F$60,$O226,'Rules &amp; Guardrails'!$G$9:$G$60,"Global"))&gt;0,"Blackout",""))</f>
        <v/>
      </c>
      <c r="AO226" s="6"/>
      <c r="AP226" s="25"/>
      <c r="AQ226" s="23"/>
      <c r="AR226" s="31" t="str">
        <f aca="false">IF($D226="","",IFERROR(VLOOKUP($D226,'Rules &amp; Guardrails'!$A$9:$D$24,2,0),"Other"))</f>
        <v/>
      </c>
      <c r="AS226" s="31" t="str">
        <f aca="false">IF($O226="","",$O226&amp;"|"&amp;$B226)</f>
        <v/>
      </c>
    </row>
    <row r="227" customFormat="false" ht="15" hidden="false" customHeight="false" outlineLevel="0" collapsed="false">
      <c r="A227" s="23"/>
      <c r="B227" s="23"/>
      <c r="C227" s="23"/>
      <c r="D227" s="23"/>
      <c r="E227" s="23"/>
      <c r="F227" s="23"/>
      <c r="G227" s="6"/>
      <c r="H227" s="6"/>
      <c r="I227" s="23"/>
      <c r="J227" s="23"/>
      <c r="K227" s="23"/>
      <c r="L227" s="6"/>
      <c r="M227" s="6"/>
      <c r="N227" s="24"/>
      <c r="O227" s="25"/>
      <c r="P227" s="23"/>
      <c r="Q227" s="23"/>
      <c r="R227" s="23"/>
      <c r="S227" s="23"/>
      <c r="T227" s="26" t="str">
        <f aca="false">IF(OR($O227="",$D227=""),"",WORKDAY($O227,-IFERROR(VLOOKUP($D227,'Rules &amp; Guardrails'!$A$9:$D$24,3,0),10)))</f>
        <v/>
      </c>
      <c r="U227" s="23"/>
      <c r="V227" s="23"/>
      <c r="W227" s="23"/>
      <c r="X227" s="6"/>
      <c r="Y227" s="23"/>
      <c r="Z227" s="23"/>
      <c r="AA227" s="23"/>
      <c r="AB227" s="23"/>
      <c r="AC227" s="23"/>
      <c r="AD227" s="23"/>
      <c r="AE227" s="23"/>
      <c r="AF227" s="27" t="str">
        <f aca="true">IF($O227="","",IF(OR($AE227="Cancelled",$AE227="On hold",$AE227="Launched"),$AE227,IF(AND($Y227="Approved",OR($Z227="Yes",$Z227="N/A"),OR($AA227="Yes",$AA227="N/A"),OR($AB227="No",$AB227="N/A",AND($AB227="Yes",$AD227="Yes"))),"Ready",IF($O227&lt;TODAY(),"Overdue",IF($O227-TODAY()&lt;='Rules &amp; Guardrails'!$C$5,"At Risk","In Progress")))))</f>
        <v/>
      </c>
      <c r="AG227" s="28" t="str">
        <f aca="false">IF($O227="","",IF(OR($AE227="Launched",$AE227="Cancelled"),"",MID(IF($Y227&lt;&gt;"Approved",", Content approval","")&amp;IF(NOT(OR($Z227="Yes",$Z227="N/A")),", Assets","")&amp;IF(NOT(OR($AA227="Yes",$AA227="N/A")),", List","")&amp;IF($AB227="",", Ops decision",IF(AND($AB227="Yes",$AD227&lt;&gt;"Yes"),", Ops",""))&amp;IF($U227="",", Owner","")&amp;IF($K227="",", Segment",""),3,200)))</f>
        <v/>
      </c>
      <c r="AH227" s="29" t="str">
        <f aca="true">IF($O227="","",$O227-TODAY())</f>
        <v/>
      </c>
      <c r="AI227" s="26" t="str">
        <f aca="false">IF($O227="","",$O227-WEEKDAY($O227,3))</f>
        <v/>
      </c>
      <c r="AJ227" s="30" t="str">
        <f aca="false">IF($O227="","",DATE(YEAR($O227),MONTH($O227),1))</f>
        <v/>
      </c>
      <c r="AK227" s="31" t="str">
        <f aca="false">IF(OR($O227="",$K227=""),"",COUNTIFS('Comms Calendar'!$K$5:$K$504,$K227,'Comms Calendar'!$B$5:$B$504,$B227,'Comms Calendar'!$AI$5:$AI$504,$AI227,'Comms Calendar'!$AE$5:$AE$504,"&lt;&gt;Cancelled"))</f>
        <v/>
      </c>
      <c r="AL227" s="27" t="str">
        <f aca="false">IF($AK227="","",IF($AK227&gt;'Rules &amp; Guardrails'!$C$3,"Over cap","OK"))</f>
        <v/>
      </c>
      <c r="AM227" s="27" t="str">
        <f aca="false">IF(OR($O227="",$K227=""),"",IF(COUNTIFS('Comms Calendar'!$K$5:$K$504,$K227,'Comms Calendar'!$B$5:$B$504,$B227,'Comms Calendar'!$O$5:$O$504,$O227,'Comms Calendar'!$AE$5:$AE$504,"&lt;&gt;Cancelled")&gt;1,"Clash",""))</f>
        <v/>
      </c>
      <c r="AN227" s="27" t="str">
        <f aca="false">IF($O227="","",IF(IF($B227="Global",COUNTIF('Rules &amp; Guardrails'!$F$9:$F$60,$O227),COUNTIFS('Rules &amp; Guardrails'!$F$9:$F$60,$O227,'Rules &amp; Guardrails'!$G$9:$G$60,$B227)+COUNTIFS('Rules &amp; Guardrails'!$F$9:$F$60,$O227,'Rules &amp; Guardrails'!$G$9:$G$60,"Global"))&gt;0,"Blackout",""))</f>
        <v/>
      </c>
      <c r="AO227" s="6"/>
      <c r="AP227" s="25"/>
      <c r="AQ227" s="23"/>
      <c r="AR227" s="31" t="str">
        <f aca="false">IF($D227="","",IFERROR(VLOOKUP($D227,'Rules &amp; Guardrails'!$A$9:$D$24,2,0),"Other"))</f>
        <v/>
      </c>
      <c r="AS227" s="31" t="str">
        <f aca="false">IF($O227="","",$O227&amp;"|"&amp;$B227)</f>
        <v/>
      </c>
    </row>
    <row r="228" customFormat="false" ht="15" hidden="false" customHeight="false" outlineLevel="0" collapsed="false">
      <c r="A228" s="23"/>
      <c r="B228" s="23"/>
      <c r="C228" s="23"/>
      <c r="D228" s="23"/>
      <c r="E228" s="23"/>
      <c r="F228" s="23"/>
      <c r="G228" s="6"/>
      <c r="H228" s="6"/>
      <c r="I228" s="23"/>
      <c r="J228" s="23"/>
      <c r="K228" s="23"/>
      <c r="L228" s="6"/>
      <c r="M228" s="6"/>
      <c r="N228" s="24"/>
      <c r="O228" s="25"/>
      <c r="P228" s="23"/>
      <c r="Q228" s="23"/>
      <c r="R228" s="23"/>
      <c r="S228" s="23"/>
      <c r="T228" s="26" t="str">
        <f aca="false">IF(OR($O228="",$D228=""),"",WORKDAY($O228,-IFERROR(VLOOKUP($D228,'Rules &amp; Guardrails'!$A$9:$D$24,3,0),10)))</f>
        <v/>
      </c>
      <c r="U228" s="23"/>
      <c r="V228" s="23"/>
      <c r="W228" s="23"/>
      <c r="X228" s="6"/>
      <c r="Y228" s="23"/>
      <c r="Z228" s="23"/>
      <c r="AA228" s="23"/>
      <c r="AB228" s="23"/>
      <c r="AC228" s="23"/>
      <c r="AD228" s="23"/>
      <c r="AE228" s="23"/>
      <c r="AF228" s="27" t="str">
        <f aca="true">IF($O228="","",IF(OR($AE228="Cancelled",$AE228="On hold",$AE228="Launched"),$AE228,IF(AND($Y228="Approved",OR($Z228="Yes",$Z228="N/A"),OR($AA228="Yes",$AA228="N/A"),OR($AB228="No",$AB228="N/A",AND($AB228="Yes",$AD228="Yes"))),"Ready",IF($O228&lt;TODAY(),"Overdue",IF($O228-TODAY()&lt;='Rules &amp; Guardrails'!$C$5,"At Risk","In Progress")))))</f>
        <v/>
      </c>
      <c r="AG228" s="28" t="str">
        <f aca="false">IF($O228="","",IF(OR($AE228="Launched",$AE228="Cancelled"),"",MID(IF($Y228&lt;&gt;"Approved",", Content approval","")&amp;IF(NOT(OR($Z228="Yes",$Z228="N/A")),", Assets","")&amp;IF(NOT(OR($AA228="Yes",$AA228="N/A")),", List","")&amp;IF($AB228="",", Ops decision",IF(AND($AB228="Yes",$AD228&lt;&gt;"Yes"),", Ops",""))&amp;IF($U228="",", Owner","")&amp;IF($K228="",", Segment",""),3,200)))</f>
        <v/>
      </c>
      <c r="AH228" s="29" t="str">
        <f aca="true">IF($O228="","",$O228-TODAY())</f>
        <v/>
      </c>
      <c r="AI228" s="26" t="str">
        <f aca="false">IF($O228="","",$O228-WEEKDAY($O228,3))</f>
        <v/>
      </c>
      <c r="AJ228" s="30" t="str">
        <f aca="false">IF($O228="","",DATE(YEAR($O228),MONTH($O228),1))</f>
        <v/>
      </c>
      <c r="AK228" s="31" t="str">
        <f aca="false">IF(OR($O228="",$K228=""),"",COUNTIFS('Comms Calendar'!$K$5:$K$504,$K228,'Comms Calendar'!$B$5:$B$504,$B228,'Comms Calendar'!$AI$5:$AI$504,$AI228,'Comms Calendar'!$AE$5:$AE$504,"&lt;&gt;Cancelled"))</f>
        <v/>
      </c>
      <c r="AL228" s="27" t="str">
        <f aca="false">IF($AK228="","",IF($AK228&gt;'Rules &amp; Guardrails'!$C$3,"Over cap","OK"))</f>
        <v/>
      </c>
      <c r="AM228" s="27" t="str">
        <f aca="false">IF(OR($O228="",$K228=""),"",IF(COUNTIFS('Comms Calendar'!$K$5:$K$504,$K228,'Comms Calendar'!$B$5:$B$504,$B228,'Comms Calendar'!$O$5:$O$504,$O228,'Comms Calendar'!$AE$5:$AE$504,"&lt;&gt;Cancelled")&gt;1,"Clash",""))</f>
        <v/>
      </c>
      <c r="AN228" s="27" t="str">
        <f aca="false">IF($O228="","",IF(IF($B228="Global",COUNTIF('Rules &amp; Guardrails'!$F$9:$F$60,$O228),COUNTIFS('Rules &amp; Guardrails'!$F$9:$F$60,$O228,'Rules &amp; Guardrails'!$G$9:$G$60,$B228)+COUNTIFS('Rules &amp; Guardrails'!$F$9:$F$60,$O228,'Rules &amp; Guardrails'!$G$9:$G$60,"Global"))&gt;0,"Blackout",""))</f>
        <v/>
      </c>
      <c r="AO228" s="6"/>
      <c r="AP228" s="25"/>
      <c r="AQ228" s="23"/>
      <c r="AR228" s="31" t="str">
        <f aca="false">IF($D228="","",IFERROR(VLOOKUP($D228,'Rules &amp; Guardrails'!$A$9:$D$24,2,0),"Other"))</f>
        <v/>
      </c>
      <c r="AS228" s="31" t="str">
        <f aca="false">IF($O228="","",$O228&amp;"|"&amp;$B228)</f>
        <v/>
      </c>
    </row>
    <row r="229" customFormat="false" ht="15" hidden="false" customHeight="false" outlineLevel="0" collapsed="false">
      <c r="A229" s="23"/>
      <c r="B229" s="23"/>
      <c r="C229" s="23"/>
      <c r="D229" s="23"/>
      <c r="E229" s="23"/>
      <c r="F229" s="23"/>
      <c r="G229" s="6"/>
      <c r="H229" s="6"/>
      <c r="I229" s="23"/>
      <c r="J229" s="23"/>
      <c r="K229" s="23"/>
      <c r="L229" s="6"/>
      <c r="M229" s="6"/>
      <c r="N229" s="24"/>
      <c r="O229" s="25"/>
      <c r="P229" s="23"/>
      <c r="Q229" s="23"/>
      <c r="R229" s="23"/>
      <c r="S229" s="23"/>
      <c r="T229" s="26" t="str">
        <f aca="false">IF(OR($O229="",$D229=""),"",WORKDAY($O229,-IFERROR(VLOOKUP($D229,'Rules &amp; Guardrails'!$A$9:$D$24,3,0),10)))</f>
        <v/>
      </c>
      <c r="U229" s="23"/>
      <c r="V229" s="23"/>
      <c r="W229" s="23"/>
      <c r="X229" s="6"/>
      <c r="Y229" s="23"/>
      <c r="Z229" s="23"/>
      <c r="AA229" s="23"/>
      <c r="AB229" s="23"/>
      <c r="AC229" s="23"/>
      <c r="AD229" s="23"/>
      <c r="AE229" s="23"/>
      <c r="AF229" s="27" t="str">
        <f aca="true">IF($O229="","",IF(OR($AE229="Cancelled",$AE229="On hold",$AE229="Launched"),$AE229,IF(AND($Y229="Approved",OR($Z229="Yes",$Z229="N/A"),OR($AA229="Yes",$AA229="N/A"),OR($AB229="No",$AB229="N/A",AND($AB229="Yes",$AD229="Yes"))),"Ready",IF($O229&lt;TODAY(),"Overdue",IF($O229-TODAY()&lt;='Rules &amp; Guardrails'!$C$5,"At Risk","In Progress")))))</f>
        <v/>
      </c>
      <c r="AG229" s="28" t="str">
        <f aca="false">IF($O229="","",IF(OR($AE229="Launched",$AE229="Cancelled"),"",MID(IF($Y229&lt;&gt;"Approved",", Content approval","")&amp;IF(NOT(OR($Z229="Yes",$Z229="N/A")),", Assets","")&amp;IF(NOT(OR($AA229="Yes",$AA229="N/A")),", List","")&amp;IF($AB229="",", Ops decision",IF(AND($AB229="Yes",$AD229&lt;&gt;"Yes"),", Ops",""))&amp;IF($U229="",", Owner","")&amp;IF($K229="",", Segment",""),3,200)))</f>
        <v/>
      </c>
      <c r="AH229" s="29" t="str">
        <f aca="true">IF($O229="","",$O229-TODAY())</f>
        <v/>
      </c>
      <c r="AI229" s="26" t="str">
        <f aca="false">IF($O229="","",$O229-WEEKDAY($O229,3))</f>
        <v/>
      </c>
      <c r="AJ229" s="30" t="str">
        <f aca="false">IF($O229="","",DATE(YEAR($O229),MONTH($O229),1))</f>
        <v/>
      </c>
      <c r="AK229" s="31" t="str">
        <f aca="false">IF(OR($O229="",$K229=""),"",COUNTIFS('Comms Calendar'!$K$5:$K$504,$K229,'Comms Calendar'!$B$5:$B$504,$B229,'Comms Calendar'!$AI$5:$AI$504,$AI229,'Comms Calendar'!$AE$5:$AE$504,"&lt;&gt;Cancelled"))</f>
        <v/>
      </c>
      <c r="AL229" s="27" t="str">
        <f aca="false">IF($AK229="","",IF($AK229&gt;'Rules &amp; Guardrails'!$C$3,"Over cap","OK"))</f>
        <v/>
      </c>
      <c r="AM229" s="27" t="str">
        <f aca="false">IF(OR($O229="",$K229=""),"",IF(COUNTIFS('Comms Calendar'!$K$5:$K$504,$K229,'Comms Calendar'!$B$5:$B$504,$B229,'Comms Calendar'!$O$5:$O$504,$O229,'Comms Calendar'!$AE$5:$AE$504,"&lt;&gt;Cancelled")&gt;1,"Clash",""))</f>
        <v/>
      </c>
      <c r="AN229" s="27" t="str">
        <f aca="false">IF($O229="","",IF(IF($B229="Global",COUNTIF('Rules &amp; Guardrails'!$F$9:$F$60,$O229),COUNTIFS('Rules &amp; Guardrails'!$F$9:$F$60,$O229,'Rules &amp; Guardrails'!$G$9:$G$60,$B229)+COUNTIFS('Rules &amp; Guardrails'!$F$9:$F$60,$O229,'Rules &amp; Guardrails'!$G$9:$G$60,"Global"))&gt;0,"Blackout",""))</f>
        <v/>
      </c>
      <c r="AO229" s="6"/>
      <c r="AP229" s="25"/>
      <c r="AQ229" s="23"/>
      <c r="AR229" s="31" t="str">
        <f aca="false">IF($D229="","",IFERROR(VLOOKUP($D229,'Rules &amp; Guardrails'!$A$9:$D$24,2,0),"Other"))</f>
        <v/>
      </c>
      <c r="AS229" s="31" t="str">
        <f aca="false">IF($O229="","",$O229&amp;"|"&amp;$B229)</f>
        <v/>
      </c>
    </row>
    <row r="230" customFormat="false" ht="15" hidden="false" customHeight="false" outlineLevel="0" collapsed="false">
      <c r="A230" s="23"/>
      <c r="B230" s="23"/>
      <c r="C230" s="23"/>
      <c r="D230" s="23"/>
      <c r="E230" s="23"/>
      <c r="F230" s="23"/>
      <c r="G230" s="6"/>
      <c r="H230" s="6"/>
      <c r="I230" s="23"/>
      <c r="J230" s="23"/>
      <c r="K230" s="23"/>
      <c r="L230" s="6"/>
      <c r="M230" s="6"/>
      <c r="N230" s="24"/>
      <c r="O230" s="25"/>
      <c r="P230" s="23"/>
      <c r="Q230" s="23"/>
      <c r="R230" s="23"/>
      <c r="S230" s="23"/>
      <c r="T230" s="26" t="str">
        <f aca="false">IF(OR($O230="",$D230=""),"",WORKDAY($O230,-IFERROR(VLOOKUP($D230,'Rules &amp; Guardrails'!$A$9:$D$24,3,0),10)))</f>
        <v/>
      </c>
      <c r="U230" s="23"/>
      <c r="V230" s="23"/>
      <c r="W230" s="23"/>
      <c r="X230" s="6"/>
      <c r="Y230" s="23"/>
      <c r="Z230" s="23"/>
      <c r="AA230" s="23"/>
      <c r="AB230" s="23"/>
      <c r="AC230" s="23"/>
      <c r="AD230" s="23"/>
      <c r="AE230" s="23"/>
      <c r="AF230" s="27" t="str">
        <f aca="true">IF($O230="","",IF(OR($AE230="Cancelled",$AE230="On hold",$AE230="Launched"),$AE230,IF(AND($Y230="Approved",OR($Z230="Yes",$Z230="N/A"),OR($AA230="Yes",$AA230="N/A"),OR($AB230="No",$AB230="N/A",AND($AB230="Yes",$AD230="Yes"))),"Ready",IF($O230&lt;TODAY(),"Overdue",IF($O230-TODAY()&lt;='Rules &amp; Guardrails'!$C$5,"At Risk","In Progress")))))</f>
        <v/>
      </c>
      <c r="AG230" s="28" t="str">
        <f aca="false">IF($O230="","",IF(OR($AE230="Launched",$AE230="Cancelled"),"",MID(IF($Y230&lt;&gt;"Approved",", Content approval","")&amp;IF(NOT(OR($Z230="Yes",$Z230="N/A")),", Assets","")&amp;IF(NOT(OR($AA230="Yes",$AA230="N/A")),", List","")&amp;IF($AB230="",", Ops decision",IF(AND($AB230="Yes",$AD230&lt;&gt;"Yes"),", Ops",""))&amp;IF($U230="",", Owner","")&amp;IF($K230="",", Segment",""),3,200)))</f>
        <v/>
      </c>
      <c r="AH230" s="29" t="str">
        <f aca="true">IF($O230="","",$O230-TODAY())</f>
        <v/>
      </c>
      <c r="AI230" s="26" t="str">
        <f aca="false">IF($O230="","",$O230-WEEKDAY($O230,3))</f>
        <v/>
      </c>
      <c r="AJ230" s="30" t="str">
        <f aca="false">IF($O230="","",DATE(YEAR($O230),MONTH($O230),1))</f>
        <v/>
      </c>
      <c r="AK230" s="31" t="str">
        <f aca="false">IF(OR($O230="",$K230=""),"",COUNTIFS('Comms Calendar'!$K$5:$K$504,$K230,'Comms Calendar'!$B$5:$B$504,$B230,'Comms Calendar'!$AI$5:$AI$504,$AI230,'Comms Calendar'!$AE$5:$AE$504,"&lt;&gt;Cancelled"))</f>
        <v/>
      </c>
      <c r="AL230" s="27" t="str">
        <f aca="false">IF($AK230="","",IF($AK230&gt;'Rules &amp; Guardrails'!$C$3,"Over cap","OK"))</f>
        <v/>
      </c>
      <c r="AM230" s="27" t="str">
        <f aca="false">IF(OR($O230="",$K230=""),"",IF(COUNTIFS('Comms Calendar'!$K$5:$K$504,$K230,'Comms Calendar'!$B$5:$B$504,$B230,'Comms Calendar'!$O$5:$O$504,$O230,'Comms Calendar'!$AE$5:$AE$504,"&lt;&gt;Cancelled")&gt;1,"Clash",""))</f>
        <v/>
      </c>
      <c r="AN230" s="27" t="str">
        <f aca="false">IF($O230="","",IF(IF($B230="Global",COUNTIF('Rules &amp; Guardrails'!$F$9:$F$60,$O230),COUNTIFS('Rules &amp; Guardrails'!$F$9:$F$60,$O230,'Rules &amp; Guardrails'!$G$9:$G$60,$B230)+COUNTIFS('Rules &amp; Guardrails'!$F$9:$F$60,$O230,'Rules &amp; Guardrails'!$G$9:$G$60,"Global"))&gt;0,"Blackout",""))</f>
        <v/>
      </c>
      <c r="AO230" s="6"/>
      <c r="AP230" s="25"/>
      <c r="AQ230" s="23"/>
      <c r="AR230" s="31" t="str">
        <f aca="false">IF($D230="","",IFERROR(VLOOKUP($D230,'Rules &amp; Guardrails'!$A$9:$D$24,2,0),"Other"))</f>
        <v/>
      </c>
      <c r="AS230" s="31" t="str">
        <f aca="false">IF($O230="","",$O230&amp;"|"&amp;$B230)</f>
        <v/>
      </c>
    </row>
    <row r="231" customFormat="false" ht="15" hidden="false" customHeight="false" outlineLevel="0" collapsed="false">
      <c r="A231" s="23"/>
      <c r="B231" s="23"/>
      <c r="C231" s="23"/>
      <c r="D231" s="23"/>
      <c r="E231" s="23"/>
      <c r="F231" s="23"/>
      <c r="G231" s="6"/>
      <c r="H231" s="6"/>
      <c r="I231" s="23"/>
      <c r="J231" s="23"/>
      <c r="K231" s="23"/>
      <c r="L231" s="6"/>
      <c r="M231" s="6"/>
      <c r="N231" s="24"/>
      <c r="O231" s="25"/>
      <c r="P231" s="23"/>
      <c r="Q231" s="23"/>
      <c r="R231" s="23"/>
      <c r="S231" s="23"/>
      <c r="T231" s="26" t="str">
        <f aca="false">IF(OR($O231="",$D231=""),"",WORKDAY($O231,-IFERROR(VLOOKUP($D231,'Rules &amp; Guardrails'!$A$9:$D$24,3,0),10)))</f>
        <v/>
      </c>
      <c r="U231" s="23"/>
      <c r="V231" s="23"/>
      <c r="W231" s="23"/>
      <c r="X231" s="6"/>
      <c r="Y231" s="23"/>
      <c r="Z231" s="23"/>
      <c r="AA231" s="23"/>
      <c r="AB231" s="23"/>
      <c r="AC231" s="23"/>
      <c r="AD231" s="23"/>
      <c r="AE231" s="23"/>
      <c r="AF231" s="27" t="str">
        <f aca="true">IF($O231="","",IF(OR($AE231="Cancelled",$AE231="On hold",$AE231="Launched"),$AE231,IF(AND($Y231="Approved",OR($Z231="Yes",$Z231="N/A"),OR($AA231="Yes",$AA231="N/A"),OR($AB231="No",$AB231="N/A",AND($AB231="Yes",$AD231="Yes"))),"Ready",IF($O231&lt;TODAY(),"Overdue",IF($O231-TODAY()&lt;='Rules &amp; Guardrails'!$C$5,"At Risk","In Progress")))))</f>
        <v/>
      </c>
      <c r="AG231" s="28" t="str">
        <f aca="false">IF($O231="","",IF(OR($AE231="Launched",$AE231="Cancelled"),"",MID(IF($Y231&lt;&gt;"Approved",", Content approval","")&amp;IF(NOT(OR($Z231="Yes",$Z231="N/A")),", Assets","")&amp;IF(NOT(OR($AA231="Yes",$AA231="N/A")),", List","")&amp;IF($AB231="",", Ops decision",IF(AND($AB231="Yes",$AD231&lt;&gt;"Yes"),", Ops",""))&amp;IF($U231="",", Owner","")&amp;IF($K231="",", Segment",""),3,200)))</f>
        <v/>
      </c>
      <c r="AH231" s="29" t="str">
        <f aca="true">IF($O231="","",$O231-TODAY())</f>
        <v/>
      </c>
      <c r="AI231" s="26" t="str">
        <f aca="false">IF($O231="","",$O231-WEEKDAY($O231,3))</f>
        <v/>
      </c>
      <c r="AJ231" s="30" t="str">
        <f aca="false">IF($O231="","",DATE(YEAR($O231),MONTH($O231),1))</f>
        <v/>
      </c>
      <c r="AK231" s="31" t="str">
        <f aca="false">IF(OR($O231="",$K231=""),"",COUNTIFS('Comms Calendar'!$K$5:$K$504,$K231,'Comms Calendar'!$B$5:$B$504,$B231,'Comms Calendar'!$AI$5:$AI$504,$AI231,'Comms Calendar'!$AE$5:$AE$504,"&lt;&gt;Cancelled"))</f>
        <v/>
      </c>
      <c r="AL231" s="27" t="str">
        <f aca="false">IF($AK231="","",IF($AK231&gt;'Rules &amp; Guardrails'!$C$3,"Over cap","OK"))</f>
        <v/>
      </c>
      <c r="AM231" s="27" t="str">
        <f aca="false">IF(OR($O231="",$K231=""),"",IF(COUNTIFS('Comms Calendar'!$K$5:$K$504,$K231,'Comms Calendar'!$B$5:$B$504,$B231,'Comms Calendar'!$O$5:$O$504,$O231,'Comms Calendar'!$AE$5:$AE$504,"&lt;&gt;Cancelled")&gt;1,"Clash",""))</f>
        <v/>
      </c>
      <c r="AN231" s="27" t="str">
        <f aca="false">IF($O231="","",IF(IF($B231="Global",COUNTIF('Rules &amp; Guardrails'!$F$9:$F$60,$O231),COUNTIFS('Rules &amp; Guardrails'!$F$9:$F$60,$O231,'Rules &amp; Guardrails'!$G$9:$G$60,$B231)+COUNTIFS('Rules &amp; Guardrails'!$F$9:$F$60,$O231,'Rules &amp; Guardrails'!$G$9:$G$60,"Global"))&gt;0,"Blackout",""))</f>
        <v/>
      </c>
      <c r="AO231" s="6"/>
      <c r="AP231" s="25"/>
      <c r="AQ231" s="23"/>
      <c r="AR231" s="31" t="str">
        <f aca="false">IF($D231="","",IFERROR(VLOOKUP($D231,'Rules &amp; Guardrails'!$A$9:$D$24,2,0),"Other"))</f>
        <v/>
      </c>
      <c r="AS231" s="31" t="str">
        <f aca="false">IF($O231="","",$O231&amp;"|"&amp;$B231)</f>
        <v/>
      </c>
    </row>
    <row r="232" customFormat="false" ht="15" hidden="false" customHeight="false" outlineLevel="0" collapsed="false">
      <c r="A232" s="23"/>
      <c r="B232" s="23"/>
      <c r="C232" s="23"/>
      <c r="D232" s="23"/>
      <c r="E232" s="23"/>
      <c r="F232" s="23"/>
      <c r="G232" s="6"/>
      <c r="H232" s="6"/>
      <c r="I232" s="23"/>
      <c r="J232" s="23"/>
      <c r="K232" s="23"/>
      <c r="L232" s="6"/>
      <c r="M232" s="6"/>
      <c r="N232" s="24"/>
      <c r="O232" s="25"/>
      <c r="P232" s="23"/>
      <c r="Q232" s="23"/>
      <c r="R232" s="23"/>
      <c r="S232" s="23"/>
      <c r="T232" s="26" t="str">
        <f aca="false">IF(OR($O232="",$D232=""),"",WORKDAY($O232,-IFERROR(VLOOKUP($D232,'Rules &amp; Guardrails'!$A$9:$D$24,3,0),10)))</f>
        <v/>
      </c>
      <c r="U232" s="23"/>
      <c r="V232" s="23"/>
      <c r="W232" s="23"/>
      <c r="X232" s="6"/>
      <c r="Y232" s="23"/>
      <c r="Z232" s="23"/>
      <c r="AA232" s="23"/>
      <c r="AB232" s="23"/>
      <c r="AC232" s="23"/>
      <c r="AD232" s="23"/>
      <c r="AE232" s="23"/>
      <c r="AF232" s="27" t="str">
        <f aca="true">IF($O232="","",IF(OR($AE232="Cancelled",$AE232="On hold",$AE232="Launched"),$AE232,IF(AND($Y232="Approved",OR($Z232="Yes",$Z232="N/A"),OR($AA232="Yes",$AA232="N/A"),OR($AB232="No",$AB232="N/A",AND($AB232="Yes",$AD232="Yes"))),"Ready",IF($O232&lt;TODAY(),"Overdue",IF($O232-TODAY()&lt;='Rules &amp; Guardrails'!$C$5,"At Risk","In Progress")))))</f>
        <v/>
      </c>
      <c r="AG232" s="28" t="str">
        <f aca="false">IF($O232="","",IF(OR($AE232="Launched",$AE232="Cancelled"),"",MID(IF($Y232&lt;&gt;"Approved",", Content approval","")&amp;IF(NOT(OR($Z232="Yes",$Z232="N/A")),", Assets","")&amp;IF(NOT(OR($AA232="Yes",$AA232="N/A")),", List","")&amp;IF($AB232="",", Ops decision",IF(AND($AB232="Yes",$AD232&lt;&gt;"Yes"),", Ops",""))&amp;IF($U232="",", Owner","")&amp;IF($K232="",", Segment",""),3,200)))</f>
        <v/>
      </c>
      <c r="AH232" s="29" t="str">
        <f aca="true">IF($O232="","",$O232-TODAY())</f>
        <v/>
      </c>
      <c r="AI232" s="26" t="str">
        <f aca="false">IF($O232="","",$O232-WEEKDAY($O232,3))</f>
        <v/>
      </c>
      <c r="AJ232" s="30" t="str">
        <f aca="false">IF($O232="","",DATE(YEAR($O232),MONTH($O232),1))</f>
        <v/>
      </c>
      <c r="AK232" s="31" t="str">
        <f aca="false">IF(OR($O232="",$K232=""),"",COUNTIFS('Comms Calendar'!$K$5:$K$504,$K232,'Comms Calendar'!$B$5:$B$504,$B232,'Comms Calendar'!$AI$5:$AI$504,$AI232,'Comms Calendar'!$AE$5:$AE$504,"&lt;&gt;Cancelled"))</f>
        <v/>
      </c>
      <c r="AL232" s="27" t="str">
        <f aca="false">IF($AK232="","",IF($AK232&gt;'Rules &amp; Guardrails'!$C$3,"Over cap","OK"))</f>
        <v/>
      </c>
      <c r="AM232" s="27" t="str">
        <f aca="false">IF(OR($O232="",$K232=""),"",IF(COUNTIFS('Comms Calendar'!$K$5:$K$504,$K232,'Comms Calendar'!$B$5:$B$504,$B232,'Comms Calendar'!$O$5:$O$504,$O232,'Comms Calendar'!$AE$5:$AE$504,"&lt;&gt;Cancelled")&gt;1,"Clash",""))</f>
        <v/>
      </c>
      <c r="AN232" s="27" t="str">
        <f aca="false">IF($O232="","",IF(IF($B232="Global",COUNTIF('Rules &amp; Guardrails'!$F$9:$F$60,$O232),COUNTIFS('Rules &amp; Guardrails'!$F$9:$F$60,$O232,'Rules &amp; Guardrails'!$G$9:$G$60,$B232)+COUNTIFS('Rules &amp; Guardrails'!$F$9:$F$60,$O232,'Rules &amp; Guardrails'!$G$9:$G$60,"Global"))&gt;0,"Blackout",""))</f>
        <v/>
      </c>
      <c r="AO232" s="6"/>
      <c r="AP232" s="25"/>
      <c r="AQ232" s="23"/>
      <c r="AR232" s="31" t="str">
        <f aca="false">IF($D232="","",IFERROR(VLOOKUP($D232,'Rules &amp; Guardrails'!$A$9:$D$24,2,0),"Other"))</f>
        <v/>
      </c>
      <c r="AS232" s="31" t="str">
        <f aca="false">IF($O232="","",$O232&amp;"|"&amp;$B232)</f>
        <v/>
      </c>
    </row>
    <row r="233" customFormat="false" ht="15" hidden="false" customHeight="false" outlineLevel="0" collapsed="false">
      <c r="A233" s="23"/>
      <c r="B233" s="23"/>
      <c r="C233" s="23"/>
      <c r="D233" s="23"/>
      <c r="E233" s="23"/>
      <c r="F233" s="23"/>
      <c r="G233" s="6"/>
      <c r="H233" s="6"/>
      <c r="I233" s="23"/>
      <c r="J233" s="23"/>
      <c r="K233" s="23"/>
      <c r="L233" s="6"/>
      <c r="M233" s="6"/>
      <c r="N233" s="24"/>
      <c r="O233" s="25"/>
      <c r="P233" s="23"/>
      <c r="Q233" s="23"/>
      <c r="R233" s="23"/>
      <c r="S233" s="23"/>
      <c r="T233" s="26" t="str">
        <f aca="false">IF(OR($O233="",$D233=""),"",WORKDAY($O233,-IFERROR(VLOOKUP($D233,'Rules &amp; Guardrails'!$A$9:$D$24,3,0),10)))</f>
        <v/>
      </c>
      <c r="U233" s="23"/>
      <c r="V233" s="23"/>
      <c r="W233" s="23"/>
      <c r="X233" s="6"/>
      <c r="Y233" s="23"/>
      <c r="Z233" s="23"/>
      <c r="AA233" s="23"/>
      <c r="AB233" s="23"/>
      <c r="AC233" s="23"/>
      <c r="AD233" s="23"/>
      <c r="AE233" s="23"/>
      <c r="AF233" s="27" t="str">
        <f aca="true">IF($O233="","",IF(OR($AE233="Cancelled",$AE233="On hold",$AE233="Launched"),$AE233,IF(AND($Y233="Approved",OR($Z233="Yes",$Z233="N/A"),OR($AA233="Yes",$AA233="N/A"),OR($AB233="No",$AB233="N/A",AND($AB233="Yes",$AD233="Yes"))),"Ready",IF($O233&lt;TODAY(),"Overdue",IF($O233-TODAY()&lt;='Rules &amp; Guardrails'!$C$5,"At Risk","In Progress")))))</f>
        <v/>
      </c>
      <c r="AG233" s="28" t="str">
        <f aca="false">IF($O233="","",IF(OR($AE233="Launched",$AE233="Cancelled"),"",MID(IF($Y233&lt;&gt;"Approved",", Content approval","")&amp;IF(NOT(OR($Z233="Yes",$Z233="N/A")),", Assets","")&amp;IF(NOT(OR($AA233="Yes",$AA233="N/A")),", List","")&amp;IF($AB233="",", Ops decision",IF(AND($AB233="Yes",$AD233&lt;&gt;"Yes"),", Ops",""))&amp;IF($U233="",", Owner","")&amp;IF($K233="",", Segment",""),3,200)))</f>
        <v/>
      </c>
      <c r="AH233" s="29" t="str">
        <f aca="true">IF($O233="","",$O233-TODAY())</f>
        <v/>
      </c>
      <c r="AI233" s="26" t="str">
        <f aca="false">IF($O233="","",$O233-WEEKDAY($O233,3))</f>
        <v/>
      </c>
      <c r="AJ233" s="30" t="str">
        <f aca="false">IF($O233="","",DATE(YEAR($O233),MONTH($O233),1))</f>
        <v/>
      </c>
      <c r="AK233" s="31" t="str">
        <f aca="false">IF(OR($O233="",$K233=""),"",COUNTIFS('Comms Calendar'!$K$5:$K$504,$K233,'Comms Calendar'!$B$5:$B$504,$B233,'Comms Calendar'!$AI$5:$AI$504,$AI233,'Comms Calendar'!$AE$5:$AE$504,"&lt;&gt;Cancelled"))</f>
        <v/>
      </c>
      <c r="AL233" s="27" t="str">
        <f aca="false">IF($AK233="","",IF($AK233&gt;'Rules &amp; Guardrails'!$C$3,"Over cap","OK"))</f>
        <v/>
      </c>
      <c r="AM233" s="27" t="str">
        <f aca="false">IF(OR($O233="",$K233=""),"",IF(COUNTIFS('Comms Calendar'!$K$5:$K$504,$K233,'Comms Calendar'!$B$5:$B$504,$B233,'Comms Calendar'!$O$5:$O$504,$O233,'Comms Calendar'!$AE$5:$AE$504,"&lt;&gt;Cancelled")&gt;1,"Clash",""))</f>
        <v/>
      </c>
      <c r="AN233" s="27" t="str">
        <f aca="false">IF($O233="","",IF(IF($B233="Global",COUNTIF('Rules &amp; Guardrails'!$F$9:$F$60,$O233),COUNTIFS('Rules &amp; Guardrails'!$F$9:$F$60,$O233,'Rules &amp; Guardrails'!$G$9:$G$60,$B233)+COUNTIFS('Rules &amp; Guardrails'!$F$9:$F$60,$O233,'Rules &amp; Guardrails'!$G$9:$G$60,"Global"))&gt;0,"Blackout",""))</f>
        <v/>
      </c>
      <c r="AO233" s="6"/>
      <c r="AP233" s="25"/>
      <c r="AQ233" s="23"/>
      <c r="AR233" s="31" t="str">
        <f aca="false">IF($D233="","",IFERROR(VLOOKUP($D233,'Rules &amp; Guardrails'!$A$9:$D$24,2,0),"Other"))</f>
        <v/>
      </c>
      <c r="AS233" s="31" t="str">
        <f aca="false">IF($O233="","",$O233&amp;"|"&amp;$B233)</f>
        <v/>
      </c>
    </row>
    <row r="234" customFormat="false" ht="15" hidden="false" customHeight="false" outlineLevel="0" collapsed="false">
      <c r="A234" s="23"/>
      <c r="B234" s="23"/>
      <c r="C234" s="23"/>
      <c r="D234" s="23"/>
      <c r="E234" s="23"/>
      <c r="F234" s="23"/>
      <c r="G234" s="6"/>
      <c r="H234" s="6"/>
      <c r="I234" s="23"/>
      <c r="J234" s="23"/>
      <c r="K234" s="23"/>
      <c r="L234" s="6"/>
      <c r="M234" s="6"/>
      <c r="N234" s="24"/>
      <c r="O234" s="25"/>
      <c r="P234" s="23"/>
      <c r="Q234" s="23"/>
      <c r="R234" s="23"/>
      <c r="S234" s="23"/>
      <c r="T234" s="26" t="str">
        <f aca="false">IF(OR($O234="",$D234=""),"",WORKDAY($O234,-IFERROR(VLOOKUP($D234,'Rules &amp; Guardrails'!$A$9:$D$24,3,0),10)))</f>
        <v/>
      </c>
      <c r="U234" s="23"/>
      <c r="V234" s="23"/>
      <c r="W234" s="23"/>
      <c r="X234" s="6"/>
      <c r="Y234" s="23"/>
      <c r="Z234" s="23"/>
      <c r="AA234" s="23"/>
      <c r="AB234" s="23"/>
      <c r="AC234" s="23"/>
      <c r="AD234" s="23"/>
      <c r="AE234" s="23"/>
      <c r="AF234" s="27" t="str">
        <f aca="true">IF($O234="","",IF(OR($AE234="Cancelled",$AE234="On hold",$AE234="Launched"),$AE234,IF(AND($Y234="Approved",OR($Z234="Yes",$Z234="N/A"),OR($AA234="Yes",$AA234="N/A"),OR($AB234="No",$AB234="N/A",AND($AB234="Yes",$AD234="Yes"))),"Ready",IF($O234&lt;TODAY(),"Overdue",IF($O234-TODAY()&lt;='Rules &amp; Guardrails'!$C$5,"At Risk","In Progress")))))</f>
        <v/>
      </c>
      <c r="AG234" s="28" t="str">
        <f aca="false">IF($O234="","",IF(OR($AE234="Launched",$AE234="Cancelled"),"",MID(IF($Y234&lt;&gt;"Approved",", Content approval","")&amp;IF(NOT(OR($Z234="Yes",$Z234="N/A")),", Assets","")&amp;IF(NOT(OR($AA234="Yes",$AA234="N/A")),", List","")&amp;IF($AB234="",", Ops decision",IF(AND($AB234="Yes",$AD234&lt;&gt;"Yes"),", Ops",""))&amp;IF($U234="",", Owner","")&amp;IF($K234="",", Segment",""),3,200)))</f>
        <v/>
      </c>
      <c r="AH234" s="29" t="str">
        <f aca="true">IF($O234="","",$O234-TODAY())</f>
        <v/>
      </c>
      <c r="AI234" s="26" t="str">
        <f aca="false">IF($O234="","",$O234-WEEKDAY($O234,3))</f>
        <v/>
      </c>
      <c r="AJ234" s="30" t="str">
        <f aca="false">IF($O234="","",DATE(YEAR($O234),MONTH($O234),1))</f>
        <v/>
      </c>
      <c r="AK234" s="31" t="str">
        <f aca="false">IF(OR($O234="",$K234=""),"",COUNTIFS('Comms Calendar'!$K$5:$K$504,$K234,'Comms Calendar'!$B$5:$B$504,$B234,'Comms Calendar'!$AI$5:$AI$504,$AI234,'Comms Calendar'!$AE$5:$AE$504,"&lt;&gt;Cancelled"))</f>
        <v/>
      </c>
      <c r="AL234" s="27" t="str">
        <f aca="false">IF($AK234="","",IF($AK234&gt;'Rules &amp; Guardrails'!$C$3,"Over cap","OK"))</f>
        <v/>
      </c>
      <c r="AM234" s="27" t="str">
        <f aca="false">IF(OR($O234="",$K234=""),"",IF(COUNTIFS('Comms Calendar'!$K$5:$K$504,$K234,'Comms Calendar'!$B$5:$B$504,$B234,'Comms Calendar'!$O$5:$O$504,$O234,'Comms Calendar'!$AE$5:$AE$504,"&lt;&gt;Cancelled")&gt;1,"Clash",""))</f>
        <v/>
      </c>
      <c r="AN234" s="27" t="str">
        <f aca="false">IF($O234="","",IF(IF($B234="Global",COUNTIF('Rules &amp; Guardrails'!$F$9:$F$60,$O234),COUNTIFS('Rules &amp; Guardrails'!$F$9:$F$60,$O234,'Rules &amp; Guardrails'!$G$9:$G$60,$B234)+COUNTIFS('Rules &amp; Guardrails'!$F$9:$F$60,$O234,'Rules &amp; Guardrails'!$G$9:$G$60,"Global"))&gt;0,"Blackout",""))</f>
        <v/>
      </c>
      <c r="AO234" s="6"/>
      <c r="AP234" s="25"/>
      <c r="AQ234" s="23"/>
      <c r="AR234" s="31" t="str">
        <f aca="false">IF($D234="","",IFERROR(VLOOKUP($D234,'Rules &amp; Guardrails'!$A$9:$D$24,2,0),"Other"))</f>
        <v/>
      </c>
      <c r="AS234" s="31" t="str">
        <f aca="false">IF($O234="","",$O234&amp;"|"&amp;$B234)</f>
        <v/>
      </c>
    </row>
    <row r="235" customFormat="false" ht="15" hidden="false" customHeight="false" outlineLevel="0" collapsed="false">
      <c r="A235" s="23"/>
      <c r="B235" s="23"/>
      <c r="C235" s="23"/>
      <c r="D235" s="23"/>
      <c r="E235" s="23"/>
      <c r="F235" s="23"/>
      <c r="G235" s="6"/>
      <c r="H235" s="6"/>
      <c r="I235" s="23"/>
      <c r="J235" s="23"/>
      <c r="K235" s="23"/>
      <c r="L235" s="6"/>
      <c r="M235" s="6"/>
      <c r="N235" s="24"/>
      <c r="O235" s="25"/>
      <c r="P235" s="23"/>
      <c r="Q235" s="23"/>
      <c r="R235" s="23"/>
      <c r="S235" s="23"/>
      <c r="T235" s="26" t="str">
        <f aca="false">IF(OR($O235="",$D235=""),"",WORKDAY($O235,-IFERROR(VLOOKUP($D235,'Rules &amp; Guardrails'!$A$9:$D$24,3,0),10)))</f>
        <v/>
      </c>
      <c r="U235" s="23"/>
      <c r="V235" s="23"/>
      <c r="W235" s="23"/>
      <c r="X235" s="6"/>
      <c r="Y235" s="23"/>
      <c r="Z235" s="23"/>
      <c r="AA235" s="23"/>
      <c r="AB235" s="23"/>
      <c r="AC235" s="23"/>
      <c r="AD235" s="23"/>
      <c r="AE235" s="23"/>
      <c r="AF235" s="27" t="str">
        <f aca="true">IF($O235="","",IF(OR($AE235="Cancelled",$AE235="On hold",$AE235="Launched"),$AE235,IF(AND($Y235="Approved",OR($Z235="Yes",$Z235="N/A"),OR($AA235="Yes",$AA235="N/A"),OR($AB235="No",$AB235="N/A",AND($AB235="Yes",$AD235="Yes"))),"Ready",IF($O235&lt;TODAY(),"Overdue",IF($O235-TODAY()&lt;='Rules &amp; Guardrails'!$C$5,"At Risk","In Progress")))))</f>
        <v/>
      </c>
      <c r="AG235" s="28" t="str">
        <f aca="false">IF($O235="","",IF(OR($AE235="Launched",$AE235="Cancelled"),"",MID(IF($Y235&lt;&gt;"Approved",", Content approval","")&amp;IF(NOT(OR($Z235="Yes",$Z235="N/A")),", Assets","")&amp;IF(NOT(OR($AA235="Yes",$AA235="N/A")),", List","")&amp;IF($AB235="",", Ops decision",IF(AND($AB235="Yes",$AD235&lt;&gt;"Yes"),", Ops",""))&amp;IF($U235="",", Owner","")&amp;IF($K235="",", Segment",""),3,200)))</f>
        <v/>
      </c>
      <c r="AH235" s="29" t="str">
        <f aca="true">IF($O235="","",$O235-TODAY())</f>
        <v/>
      </c>
      <c r="AI235" s="26" t="str">
        <f aca="false">IF($O235="","",$O235-WEEKDAY($O235,3))</f>
        <v/>
      </c>
      <c r="AJ235" s="30" t="str">
        <f aca="false">IF($O235="","",DATE(YEAR($O235),MONTH($O235),1))</f>
        <v/>
      </c>
      <c r="AK235" s="31" t="str">
        <f aca="false">IF(OR($O235="",$K235=""),"",COUNTIFS('Comms Calendar'!$K$5:$K$504,$K235,'Comms Calendar'!$B$5:$B$504,$B235,'Comms Calendar'!$AI$5:$AI$504,$AI235,'Comms Calendar'!$AE$5:$AE$504,"&lt;&gt;Cancelled"))</f>
        <v/>
      </c>
      <c r="AL235" s="27" t="str">
        <f aca="false">IF($AK235="","",IF($AK235&gt;'Rules &amp; Guardrails'!$C$3,"Over cap","OK"))</f>
        <v/>
      </c>
      <c r="AM235" s="27" t="str">
        <f aca="false">IF(OR($O235="",$K235=""),"",IF(COUNTIFS('Comms Calendar'!$K$5:$K$504,$K235,'Comms Calendar'!$B$5:$B$504,$B235,'Comms Calendar'!$O$5:$O$504,$O235,'Comms Calendar'!$AE$5:$AE$504,"&lt;&gt;Cancelled")&gt;1,"Clash",""))</f>
        <v/>
      </c>
      <c r="AN235" s="27" t="str">
        <f aca="false">IF($O235="","",IF(IF($B235="Global",COUNTIF('Rules &amp; Guardrails'!$F$9:$F$60,$O235),COUNTIFS('Rules &amp; Guardrails'!$F$9:$F$60,$O235,'Rules &amp; Guardrails'!$G$9:$G$60,$B235)+COUNTIFS('Rules &amp; Guardrails'!$F$9:$F$60,$O235,'Rules &amp; Guardrails'!$G$9:$G$60,"Global"))&gt;0,"Blackout",""))</f>
        <v/>
      </c>
      <c r="AO235" s="6"/>
      <c r="AP235" s="25"/>
      <c r="AQ235" s="23"/>
      <c r="AR235" s="31" t="str">
        <f aca="false">IF($D235="","",IFERROR(VLOOKUP($D235,'Rules &amp; Guardrails'!$A$9:$D$24,2,0),"Other"))</f>
        <v/>
      </c>
      <c r="AS235" s="31" t="str">
        <f aca="false">IF($O235="","",$O235&amp;"|"&amp;$B235)</f>
        <v/>
      </c>
    </row>
    <row r="236" customFormat="false" ht="15" hidden="false" customHeight="false" outlineLevel="0" collapsed="false">
      <c r="A236" s="23"/>
      <c r="B236" s="23"/>
      <c r="C236" s="23"/>
      <c r="D236" s="23"/>
      <c r="E236" s="23"/>
      <c r="F236" s="23"/>
      <c r="G236" s="6"/>
      <c r="H236" s="6"/>
      <c r="I236" s="23"/>
      <c r="J236" s="23"/>
      <c r="K236" s="23"/>
      <c r="L236" s="6"/>
      <c r="M236" s="6"/>
      <c r="N236" s="24"/>
      <c r="O236" s="25"/>
      <c r="P236" s="23"/>
      <c r="Q236" s="23"/>
      <c r="R236" s="23"/>
      <c r="S236" s="23"/>
      <c r="T236" s="26" t="str">
        <f aca="false">IF(OR($O236="",$D236=""),"",WORKDAY($O236,-IFERROR(VLOOKUP($D236,'Rules &amp; Guardrails'!$A$9:$D$24,3,0),10)))</f>
        <v/>
      </c>
      <c r="U236" s="23"/>
      <c r="V236" s="23"/>
      <c r="W236" s="23"/>
      <c r="X236" s="6"/>
      <c r="Y236" s="23"/>
      <c r="Z236" s="23"/>
      <c r="AA236" s="23"/>
      <c r="AB236" s="23"/>
      <c r="AC236" s="23"/>
      <c r="AD236" s="23"/>
      <c r="AE236" s="23"/>
      <c r="AF236" s="27" t="str">
        <f aca="true">IF($O236="","",IF(OR($AE236="Cancelled",$AE236="On hold",$AE236="Launched"),$AE236,IF(AND($Y236="Approved",OR($Z236="Yes",$Z236="N/A"),OR($AA236="Yes",$AA236="N/A"),OR($AB236="No",$AB236="N/A",AND($AB236="Yes",$AD236="Yes"))),"Ready",IF($O236&lt;TODAY(),"Overdue",IF($O236-TODAY()&lt;='Rules &amp; Guardrails'!$C$5,"At Risk","In Progress")))))</f>
        <v/>
      </c>
      <c r="AG236" s="28" t="str">
        <f aca="false">IF($O236="","",IF(OR($AE236="Launched",$AE236="Cancelled"),"",MID(IF($Y236&lt;&gt;"Approved",", Content approval","")&amp;IF(NOT(OR($Z236="Yes",$Z236="N/A")),", Assets","")&amp;IF(NOT(OR($AA236="Yes",$AA236="N/A")),", List","")&amp;IF($AB236="",", Ops decision",IF(AND($AB236="Yes",$AD236&lt;&gt;"Yes"),", Ops",""))&amp;IF($U236="",", Owner","")&amp;IF($K236="",", Segment",""),3,200)))</f>
        <v/>
      </c>
      <c r="AH236" s="29" t="str">
        <f aca="true">IF($O236="","",$O236-TODAY())</f>
        <v/>
      </c>
      <c r="AI236" s="26" t="str">
        <f aca="false">IF($O236="","",$O236-WEEKDAY($O236,3))</f>
        <v/>
      </c>
      <c r="AJ236" s="30" t="str">
        <f aca="false">IF($O236="","",DATE(YEAR($O236),MONTH($O236),1))</f>
        <v/>
      </c>
      <c r="AK236" s="31" t="str">
        <f aca="false">IF(OR($O236="",$K236=""),"",COUNTIFS('Comms Calendar'!$K$5:$K$504,$K236,'Comms Calendar'!$B$5:$B$504,$B236,'Comms Calendar'!$AI$5:$AI$504,$AI236,'Comms Calendar'!$AE$5:$AE$504,"&lt;&gt;Cancelled"))</f>
        <v/>
      </c>
      <c r="AL236" s="27" t="str">
        <f aca="false">IF($AK236="","",IF($AK236&gt;'Rules &amp; Guardrails'!$C$3,"Over cap","OK"))</f>
        <v/>
      </c>
      <c r="AM236" s="27" t="str">
        <f aca="false">IF(OR($O236="",$K236=""),"",IF(COUNTIFS('Comms Calendar'!$K$5:$K$504,$K236,'Comms Calendar'!$B$5:$B$504,$B236,'Comms Calendar'!$O$5:$O$504,$O236,'Comms Calendar'!$AE$5:$AE$504,"&lt;&gt;Cancelled")&gt;1,"Clash",""))</f>
        <v/>
      </c>
      <c r="AN236" s="27" t="str">
        <f aca="false">IF($O236="","",IF(IF($B236="Global",COUNTIF('Rules &amp; Guardrails'!$F$9:$F$60,$O236),COUNTIFS('Rules &amp; Guardrails'!$F$9:$F$60,$O236,'Rules &amp; Guardrails'!$G$9:$G$60,$B236)+COUNTIFS('Rules &amp; Guardrails'!$F$9:$F$60,$O236,'Rules &amp; Guardrails'!$G$9:$G$60,"Global"))&gt;0,"Blackout",""))</f>
        <v/>
      </c>
      <c r="AO236" s="6"/>
      <c r="AP236" s="25"/>
      <c r="AQ236" s="23"/>
      <c r="AR236" s="31" t="str">
        <f aca="false">IF($D236="","",IFERROR(VLOOKUP($D236,'Rules &amp; Guardrails'!$A$9:$D$24,2,0),"Other"))</f>
        <v/>
      </c>
      <c r="AS236" s="31" t="str">
        <f aca="false">IF($O236="","",$O236&amp;"|"&amp;$B236)</f>
        <v/>
      </c>
    </row>
    <row r="237" customFormat="false" ht="15" hidden="false" customHeight="false" outlineLevel="0" collapsed="false">
      <c r="A237" s="23"/>
      <c r="B237" s="23"/>
      <c r="C237" s="23"/>
      <c r="D237" s="23"/>
      <c r="E237" s="23"/>
      <c r="F237" s="23"/>
      <c r="G237" s="6"/>
      <c r="H237" s="6"/>
      <c r="I237" s="23"/>
      <c r="J237" s="23"/>
      <c r="K237" s="23"/>
      <c r="L237" s="6"/>
      <c r="M237" s="6"/>
      <c r="N237" s="24"/>
      <c r="O237" s="25"/>
      <c r="P237" s="23"/>
      <c r="Q237" s="23"/>
      <c r="R237" s="23"/>
      <c r="S237" s="23"/>
      <c r="T237" s="26" t="str">
        <f aca="false">IF(OR($O237="",$D237=""),"",WORKDAY($O237,-IFERROR(VLOOKUP($D237,'Rules &amp; Guardrails'!$A$9:$D$24,3,0),10)))</f>
        <v/>
      </c>
      <c r="U237" s="23"/>
      <c r="V237" s="23"/>
      <c r="W237" s="23"/>
      <c r="X237" s="6"/>
      <c r="Y237" s="23"/>
      <c r="Z237" s="23"/>
      <c r="AA237" s="23"/>
      <c r="AB237" s="23"/>
      <c r="AC237" s="23"/>
      <c r="AD237" s="23"/>
      <c r="AE237" s="23"/>
      <c r="AF237" s="27" t="str">
        <f aca="true">IF($O237="","",IF(OR($AE237="Cancelled",$AE237="On hold",$AE237="Launched"),$AE237,IF(AND($Y237="Approved",OR($Z237="Yes",$Z237="N/A"),OR($AA237="Yes",$AA237="N/A"),OR($AB237="No",$AB237="N/A",AND($AB237="Yes",$AD237="Yes"))),"Ready",IF($O237&lt;TODAY(),"Overdue",IF($O237-TODAY()&lt;='Rules &amp; Guardrails'!$C$5,"At Risk","In Progress")))))</f>
        <v/>
      </c>
      <c r="AG237" s="28" t="str">
        <f aca="false">IF($O237="","",IF(OR($AE237="Launched",$AE237="Cancelled"),"",MID(IF($Y237&lt;&gt;"Approved",", Content approval","")&amp;IF(NOT(OR($Z237="Yes",$Z237="N/A")),", Assets","")&amp;IF(NOT(OR($AA237="Yes",$AA237="N/A")),", List","")&amp;IF($AB237="",", Ops decision",IF(AND($AB237="Yes",$AD237&lt;&gt;"Yes"),", Ops",""))&amp;IF($U237="",", Owner","")&amp;IF($K237="",", Segment",""),3,200)))</f>
        <v/>
      </c>
      <c r="AH237" s="29" t="str">
        <f aca="true">IF($O237="","",$O237-TODAY())</f>
        <v/>
      </c>
      <c r="AI237" s="26" t="str">
        <f aca="false">IF($O237="","",$O237-WEEKDAY($O237,3))</f>
        <v/>
      </c>
      <c r="AJ237" s="30" t="str">
        <f aca="false">IF($O237="","",DATE(YEAR($O237),MONTH($O237),1))</f>
        <v/>
      </c>
      <c r="AK237" s="31" t="str">
        <f aca="false">IF(OR($O237="",$K237=""),"",COUNTIFS('Comms Calendar'!$K$5:$K$504,$K237,'Comms Calendar'!$B$5:$B$504,$B237,'Comms Calendar'!$AI$5:$AI$504,$AI237,'Comms Calendar'!$AE$5:$AE$504,"&lt;&gt;Cancelled"))</f>
        <v/>
      </c>
      <c r="AL237" s="27" t="str">
        <f aca="false">IF($AK237="","",IF($AK237&gt;'Rules &amp; Guardrails'!$C$3,"Over cap","OK"))</f>
        <v/>
      </c>
      <c r="AM237" s="27" t="str">
        <f aca="false">IF(OR($O237="",$K237=""),"",IF(COUNTIFS('Comms Calendar'!$K$5:$K$504,$K237,'Comms Calendar'!$B$5:$B$504,$B237,'Comms Calendar'!$O$5:$O$504,$O237,'Comms Calendar'!$AE$5:$AE$504,"&lt;&gt;Cancelled")&gt;1,"Clash",""))</f>
        <v/>
      </c>
      <c r="AN237" s="27" t="str">
        <f aca="false">IF($O237="","",IF(IF($B237="Global",COUNTIF('Rules &amp; Guardrails'!$F$9:$F$60,$O237),COUNTIFS('Rules &amp; Guardrails'!$F$9:$F$60,$O237,'Rules &amp; Guardrails'!$G$9:$G$60,$B237)+COUNTIFS('Rules &amp; Guardrails'!$F$9:$F$60,$O237,'Rules &amp; Guardrails'!$G$9:$G$60,"Global"))&gt;0,"Blackout",""))</f>
        <v/>
      </c>
      <c r="AO237" s="6"/>
      <c r="AP237" s="25"/>
      <c r="AQ237" s="23"/>
      <c r="AR237" s="31" t="str">
        <f aca="false">IF($D237="","",IFERROR(VLOOKUP($D237,'Rules &amp; Guardrails'!$A$9:$D$24,2,0),"Other"))</f>
        <v/>
      </c>
      <c r="AS237" s="31" t="str">
        <f aca="false">IF($O237="","",$O237&amp;"|"&amp;$B237)</f>
        <v/>
      </c>
    </row>
    <row r="238" customFormat="false" ht="15" hidden="false" customHeight="false" outlineLevel="0" collapsed="false">
      <c r="A238" s="23"/>
      <c r="B238" s="23"/>
      <c r="C238" s="23"/>
      <c r="D238" s="23"/>
      <c r="E238" s="23"/>
      <c r="F238" s="23"/>
      <c r="G238" s="6"/>
      <c r="H238" s="6"/>
      <c r="I238" s="23"/>
      <c r="J238" s="23"/>
      <c r="K238" s="23"/>
      <c r="L238" s="6"/>
      <c r="M238" s="6"/>
      <c r="N238" s="24"/>
      <c r="O238" s="25"/>
      <c r="P238" s="23"/>
      <c r="Q238" s="23"/>
      <c r="R238" s="23"/>
      <c r="S238" s="23"/>
      <c r="T238" s="26" t="str">
        <f aca="false">IF(OR($O238="",$D238=""),"",WORKDAY($O238,-IFERROR(VLOOKUP($D238,'Rules &amp; Guardrails'!$A$9:$D$24,3,0),10)))</f>
        <v/>
      </c>
      <c r="U238" s="23"/>
      <c r="V238" s="23"/>
      <c r="W238" s="23"/>
      <c r="X238" s="6"/>
      <c r="Y238" s="23"/>
      <c r="Z238" s="23"/>
      <c r="AA238" s="23"/>
      <c r="AB238" s="23"/>
      <c r="AC238" s="23"/>
      <c r="AD238" s="23"/>
      <c r="AE238" s="23"/>
      <c r="AF238" s="27" t="str">
        <f aca="true">IF($O238="","",IF(OR($AE238="Cancelled",$AE238="On hold",$AE238="Launched"),$AE238,IF(AND($Y238="Approved",OR($Z238="Yes",$Z238="N/A"),OR($AA238="Yes",$AA238="N/A"),OR($AB238="No",$AB238="N/A",AND($AB238="Yes",$AD238="Yes"))),"Ready",IF($O238&lt;TODAY(),"Overdue",IF($O238-TODAY()&lt;='Rules &amp; Guardrails'!$C$5,"At Risk","In Progress")))))</f>
        <v/>
      </c>
      <c r="AG238" s="28" t="str">
        <f aca="false">IF($O238="","",IF(OR($AE238="Launched",$AE238="Cancelled"),"",MID(IF($Y238&lt;&gt;"Approved",", Content approval","")&amp;IF(NOT(OR($Z238="Yes",$Z238="N/A")),", Assets","")&amp;IF(NOT(OR($AA238="Yes",$AA238="N/A")),", List","")&amp;IF($AB238="",", Ops decision",IF(AND($AB238="Yes",$AD238&lt;&gt;"Yes"),", Ops",""))&amp;IF($U238="",", Owner","")&amp;IF($K238="",", Segment",""),3,200)))</f>
        <v/>
      </c>
      <c r="AH238" s="29" t="str">
        <f aca="true">IF($O238="","",$O238-TODAY())</f>
        <v/>
      </c>
      <c r="AI238" s="26" t="str">
        <f aca="false">IF($O238="","",$O238-WEEKDAY($O238,3))</f>
        <v/>
      </c>
      <c r="AJ238" s="30" t="str">
        <f aca="false">IF($O238="","",DATE(YEAR($O238),MONTH($O238),1))</f>
        <v/>
      </c>
      <c r="AK238" s="31" t="str">
        <f aca="false">IF(OR($O238="",$K238=""),"",COUNTIFS('Comms Calendar'!$K$5:$K$504,$K238,'Comms Calendar'!$B$5:$B$504,$B238,'Comms Calendar'!$AI$5:$AI$504,$AI238,'Comms Calendar'!$AE$5:$AE$504,"&lt;&gt;Cancelled"))</f>
        <v/>
      </c>
      <c r="AL238" s="27" t="str">
        <f aca="false">IF($AK238="","",IF($AK238&gt;'Rules &amp; Guardrails'!$C$3,"Over cap","OK"))</f>
        <v/>
      </c>
      <c r="AM238" s="27" t="str">
        <f aca="false">IF(OR($O238="",$K238=""),"",IF(COUNTIFS('Comms Calendar'!$K$5:$K$504,$K238,'Comms Calendar'!$B$5:$B$504,$B238,'Comms Calendar'!$O$5:$O$504,$O238,'Comms Calendar'!$AE$5:$AE$504,"&lt;&gt;Cancelled")&gt;1,"Clash",""))</f>
        <v/>
      </c>
      <c r="AN238" s="27" t="str">
        <f aca="false">IF($O238="","",IF(IF($B238="Global",COUNTIF('Rules &amp; Guardrails'!$F$9:$F$60,$O238),COUNTIFS('Rules &amp; Guardrails'!$F$9:$F$60,$O238,'Rules &amp; Guardrails'!$G$9:$G$60,$B238)+COUNTIFS('Rules &amp; Guardrails'!$F$9:$F$60,$O238,'Rules &amp; Guardrails'!$G$9:$G$60,"Global"))&gt;0,"Blackout",""))</f>
        <v/>
      </c>
      <c r="AO238" s="6"/>
      <c r="AP238" s="25"/>
      <c r="AQ238" s="23"/>
      <c r="AR238" s="31" t="str">
        <f aca="false">IF($D238="","",IFERROR(VLOOKUP($D238,'Rules &amp; Guardrails'!$A$9:$D$24,2,0),"Other"))</f>
        <v/>
      </c>
      <c r="AS238" s="31" t="str">
        <f aca="false">IF($O238="","",$O238&amp;"|"&amp;$B238)</f>
        <v/>
      </c>
    </row>
    <row r="239" customFormat="false" ht="15" hidden="false" customHeight="false" outlineLevel="0" collapsed="false">
      <c r="A239" s="23"/>
      <c r="B239" s="23"/>
      <c r="C239" s="23"/>
      <c r="D239" s="23"/>
      <c r="E239" s="23"/>
      <c r="F239" s="23"/>
      <c r="G239" s="6"/>
      <c r="H239" s="6"/>
      <c r="I239" s="23"/>
      <c r="J239" s="23"/>
      <c r="K239" s="23"/>
      <c r="L239" s="6"/>
      <c r="M239" s="6"/>
      <c r="N239" s="24"/>
      <c r="O239" s="25"/>
      <c r="P239" s="23"/>
      <c r="Q239" s="23"/>
      <c r="R239" s="23"/>
      <c r="S239" s="23"/>
      <c r="T239" s="26" t="str">
        <f aca="false">IF(OR($O239="",$D239=""),"",WORKDAY($O239,-IFERROR(VLOOKUP($D239,'Rules &amp; Guardrails'!$A$9:$D$24,3,0),10)))</f>
        <v/>
      </c>
      <c r="U239" s="23"/>
      <c r="V239" s="23"/>
      <c r="W239" s="23"/>
      <c r="X239" s="6"/>
      <c r="Y239" s="23"/>
      <c r="Z239" s="23"/>
      <c r="AA239" s="23"/>
      <c r="AB239" s="23"/>
      <c r="AC239" s="23"/>
      <c r="AD239" s="23"/>
      <c r="AE239" s="23"/>
      <c r="AF239" s="27" t="str">
        <f aca="true">IF($O239="","",IF(OR($AE239="Cancelled",$AE239="On hold",$AE239="Launched"),$AE239,IF(AND($Y239="Approved",OR($Z239="Yes",$Z239="N/A"),OR($AA239="Yes",$AA239="N/A"),OR($AB239="No",$AB239="N/A",AND($AB239="Yes",$AD239="Yes"))),"Ready",IF($O239&lt;TODAY(),"Overdue",IF($O239-TODAY()&lt;='Rules &amp; Guardrails'!$C$5,"At Risk","In Progress")))))</f>
        <v/>
      </c>
      <c r="AG239" s="28" t="str">
        <f aca="false">IF($O239="","",IF(OR($AE239="Launched",$AE239="Cancelled"),"",MID(IF($Y239&lt;&gt;"Approved",", Content approval","")&amp;IF(NOT(OR($Z239="Yes",$Z239="N/A")),", Assets","")&amp;IF(NOT(OR($AA239="Yes",$AA239="N/A")),", List","")&amp;IF($AB239="",", Ops decision",IF(AND($AB239="Yes",$AD239&lt;&gt;"Yes"),", Ops",""))&amp;IF($U239="",", Owner","")&amp;IF($K239="",", Segment",""),3,200)))</f>
        <v/>
      </c>
      <c r="AH239" s="29" t="str">
        <f aca="true">IF($O239="","",$O239-TODAY())</f>
        <v/>
      </c>
      <c r="AI239" s="26" t="str">
        <f aca="false">IF($O239="","",$O239-WEEKDAY($O239,3))</f>
        <v/>
      </c>
      <c r="AJ239" s="30" t="str">
        <f aca="false">IF($O239="","",DATE(YEAR($O239),MONTH($O239),1))</f>
        <v/>
      </c>
      <c r="AK239" s="31" t="str">
        <f aca="false">IF(OR($O239="",$K239=""),"",COUNTIFS('Comms Calendar'!$K$5:$K$504,$K239,'Comms Calendar'!$B$5:$B$504,$B239,'Comms Calendar'!$AI$5:$AI$504,$AI239,'Comms Calendar'!$AE$5:$AE$504,"&lt;&gt;Cancelled"))</f>
        <v/>
      </c>
      <c r="AL239" s="27" t="str">
        <f aca="false">IF($AK239="","",IF($AK239&gt;'Rules &amp; Guardrails'!$C$3,"Over cap","OK"))</f>
        <v/>
      </c>
      <c r="AM239" s="27" t="str">
        <f aca="false">IF(OR($O239="",$K239=""),"",IF(COUNTIFS('Comms Calendar'!$K$5:$K$504,$K239,'Comms Calendar'!$B$5:$B$504,$B239,'Comms Calendar'!$O$5:$O$504,$O239,'Comms Calendar'!$AE$5:$AE$504,"&lt;&gt;Cancelled")&gt;1,"Clash",""))</f>
        <v/>
      </c>
      <c r="AN239" s="27" t="str">
        <f aca="false">IF($O239="","",IF(IF($B239="Global",COUNTIF('Rules &amp; Guardrails'!$F$9:$F$60,$O239),COUNTIFS('Rules &amp; Guardrails'!$F$9:$F$60,$O239,'Rules &amp; Guardrails'!$G$9:$G$60,$B239)+COUNTIFS('Rules &amp; Guardrails'!$F$9:$F$60,$O239,'Rules &amp; Guardrails'!$G$9:$G$60,"Global"))&gt;0,"Blackout",""))</f>
        <v/>
      </c>
      <c r="AO239" s="6"/>
      <c r="AP239" s="25"/>
      <c r="AQ239" s="23"/>
      <c r="AR239" s="31" t="str">
        <f aca="false">IF($D239="","",IFERROR(VLOOKUP($D239,'Rules &amp; Guardrails'!$A$9:$D$24,2,0),"Other"))</f>
        <v/>
      </c>
      <c r="AS239" s="31" t="str">
        <f aca="false">IF($O239="","",$O239&amp;"|"&amp;$B239)</f>
        <v/>
      </c>
    </row>
    <row r="240" customFormat="false" ht="15" hidden="false" customHeight="false" outlineLevel="0" collapsed="false">
      <c r="A240" s="23"/>
      <c r="B240" s="23"/>
      <c r="C240" s="23"/>
      <c r="D240" s="23"/>
      <c r="E240" s="23"/>
      <c r="F240" s="23"/>
      <c r="G240" s="6"/>
      <c r="H240" s="6"/>
      <c r="I240" s="23"/>
      <c r="J240" s="23"/>
      <c r="K240" s="23"/>
      <c r="L240" s="6"/>
      <c r="M240" s="6"/>
      <c r="N240" s="24"/>
      <c r="O240" s="25"/>
      <c r="P240" s="23"/>
      <c r="Q240" s="23"/>
      <c r="R240" s="23"/>
      <c r="S240" s="23"/>
      <c r="T240" s="26" t="str">
        <f aca="false">IF(OR($O240="",$D240=""),"",WORKDAY($O240,-IFERROR(VLOOKUP($D240,'Rules &amp; Guardrails'!$A$9:$D$24,3,0),10)))</f>
        <v/>
      </c>
      <c r="U240" s="23"/>
      <c r="V240" s="23"/>
      <c r="W240" s="23"/>
      <c r="X240" s="6"/>
      <c r="Y240" s="23"/>
      <c r="Z240" s="23"/>
      <c r="AA240" s="23"/>
      <c r="AB240" s="23"/>
      <c r="AC240" s="23"/>
      <c r="AD240" s="23"/>
      <c r="AE240" s="23"/>
      <c r="AF240" s="27" t="str">
        <f aca="true">IF($O240="","",IF(OR($AE240="Cancelled",$AE240="On hold",$AE240="Launched"),$AE240,IF(AND($Y240="Approved",OR($Z240="Yes",$Z240="N/A"),OR($AA240="Yes",$AA240="N/A"),OR($AB240="No",$AB240="N/A",AND($AB240="Yes",$AD240="Yes"))),"Ready",IF($O240&lt;TODAY(),"Overdue",IF($O240-TODAY()&lt;='Rules &amp; Guardrails'!$C$5,"At Risk","In Progress")))))</f>
        <v/>
      </c>
      <c r="AG240" s="28" t="str">
        <f aca="false">IF($O240="","",IF(OR($AE240="Launched",$AE240="Cancelled"),"",MID(IF($Y240&lt;&gt;"Approved",", Content approval","")&amp;IF(NOT(OR($Z240="Yes",$Z240="N/A")),", Assets","")&amp;IF(NOT(OR($AA240="Yes",$AA240="N/A")),", List","")&amp;IF($AB240="",", Ops decision",IF(AND($AB240="Yes",$AD240&lt;&gt;"Yes"),", Ops",""))&amp;IF($U240="",", Owner","")&amp;IF($K240="",", Segment",""),3,200)))</f>
        <v/>
      </c>
      <c r="AH240" s="29" t="str">
        <f aca="true">IF($O240="","",$O240-TODAY())</f>
        <v/>
      </c>
      <c r="AI240" s="26" t="str">
        <f aca="false">IF($O240="","",$O240-WEEKDAY($O240,3))</f>
        <v/>
      </c>
      <c r="AJ240" s="30" t="str">
        <f aca="false">IF($O240="","",DATE(YEAR($O240),MONTH($O240),1))</f>
        <v/>
      </c>
      <c r="AK240" s="31" t="str">
        <f aca="false">IF(OR($O240="",$K240=""),"",COUNTIFS('Comms Calendar'!$K$5:$K$504,$K240,'Comms Calendar'!$B$5:$B$504,$B240,'Comms Calendar'!$AI$5:$AI$504,$AI240,'Comms Calendar'!$AE$5:$AE$504,"&lt;&gt;Cancelled"))</f>
        <v/>
      </c>
      <c r="AL240" s="27" t="str">
        <f aca="false">IF($AK240="","",IF($AK240&gt;'Rules &amp; Guardrails'!$C$3,"Over cap","OK"))</f>
        <v/>
      </c>
      <c r="AM240" s="27" t="str">
        <f aca="false">IF(OR($O240="",$K240=""),"",IF(COUNTIFS('Comms Calendar'!$K$5:$K$504,$K240,'Comms Calendar'!$B$5:$B$504,$B240,'Comms Calendar'!$O$5:$O$504,$O240,'Comms Calendar'!$AE$5:$AE$504,"&lt;&gt;Cancelled")&gt;1,"Clash",""))</f>
        <v/>
      </c>
      <c r="AN240" s="27" t="str">
        <f aca="false">IF($O240="","",IF(IF($B240="Global",COUNTIF('Rules &amp; Guardrails'!$F$9:$F$60,$O240),COUNTIFS('Rules &amp; Guardrails'!$F$9:$F$60,$O240,'Rules &amp; Guardrails'!$G$9:$G$60,$B240)+COUNTIFS('Rules &amp; Guardrails'!$F$9:$F$60,$O240,'Rules &amp; Guardrails'!$G$9:$G$60,"Global"))&gt;0,"Blackout",""))</f>
        <v/>
      </c>
      <c r="AO240" s="6"/>
      <c r="AP240" s="25"/>
      <c r="AQ240" s="23"/>
      <c r="AR240" s="31" t="str">
        <f aca="false">IF($D240="","",IFERROR(VLOOKUP($D240,'Rules &amp; Guardrails'!$A$9:$D$24,2,0),"Other"))</f>
        <v/>
      </c>
      <c r="AS240" s="31" t="str">
        <f aca="false">IF($O240="","",$O240&amp;"|"&amp;$B240)</f>
        <v/>
      </c>
    </row>
    <row r="241" customFormat="false" ht="15" hidden="false" customHeight="false" outlineLevel="0" collapsed="false">
      <c r="A241" s="23"/>
      <c r="B241" s="23"/>
      <c r="C241" s="23"/>
      <c r="D241" s="23"/>
      <c r="E241" s="23"/>
      <c r="F241" s="23"/>
      <c r="G241" s="6"/>
      <c r="H241" s="6"/>
      <c r="I241" s="23"/>
      <c r="J241" s="23"/>
      <c r="K241" s="23"/>
      <c r="L241" s="6"/>
      <c r="M241" s="6"/>
      <c r="N241" s="24"/>
      <c r="O241" s="25"/>
      <c r="P241" s="23"/>
      <c r="Q241" s="23"/>
      <c r="R241" s="23"/>
      <c r="S241" s="23"/>
      <c r="T241" s="26" t="str">
        <f aca="false">IF(OR($O241="",$D241=""),"",WORKDAY($O241,-IFERROR(VLOOKUP($D241,'Rules &amp; Guardrails'!$A$9:$D$24,3,0),10)))</f>
        <v/>
      </c>
      <c r="U241" s="23"/>
      <c r="V241" s="23"/>
      <c r="W241" s="23"/>
      <c r="X241" s="6"/>
      <c r="Y241" s="23"/>
      <c r="Z241" s="23"/>
      <c r="AA241" s="23"/>
      <c r="AB241" s="23"/>
      <c r="AC241" s="23"/>
      <c r="AD241" s="23"/>
      <c r="AE241" s="23"/>
      <c r="AF241" s="27" t="str">
        <f aca="true">IF($O241="","",IF(OR($AE241="Cancelled",$AE241="On hold",$AE241="Launched"),$AE241,IF(AND($Y241="Approved",OR($Z241="Yes",$Z241="N/A"),OR($AA241="Yes",$AA241="N/A"),OR($AB241="No",$AB241="N/A",AND($AB241="Yes",$AD241="Yes"))),"Ready",IF($O241&lt;TODAY(),"Overdue",IF($O241-TODAY()&lt;='Rules &amp; Guardrails'!$C$5,"At Risk","In Progress")))))</f>
        <v/>
      </c>
      <c r="AG241" s="28" t="str">
        <f aca="false">IF($O241="","",IF(OR($AE241="Launched",$AE241="Cancelled"),"",MID(IF($Y241&lt;&gt;"Approved",", Content approval","")&amp;IF(NOT(OR($Z241="Yes",$Z241="N/A")),", Assets","")&amp;IF(NOT(OR($AA241="Yes",$AA241="N/A")),", List","")&amp;IF($AB241="",", Ops decision",IF(AND($AB241="Yes",$AD241&lt;&gt;"Yes"),", Ops",""))&amp;IF($U241="",", Owner","")&amp;IF($K241="",", Segment",""),3,200)))</f>
        <v/>
      </c>
      <c r="AH241" s="29" t="str">
        <f aca="true">IF($O241="","",$O241-TODAY())</f>
        <v/>
      </c>
      <c r="AI241" s="26" t="str">
        <f aca="false">IF($O241="","",$O241-WEEKDAY($O241,3))</f>
        <v/>
      </c>
      <c r="AJ241" s="30" t="str">
        <f aca="false">IF($O241="","",DATE(YEAR($O241),MONTH($O241),1))</f>
        <v/>
      </c>
      <c r="AK241" s="31" t="str">
        <f aca="false">IF(OR($O241="",$K241=""),"",COUNTIFS('Comms Calendar'!$K$5:$K$504,$K241,'Comms Calendar'!$B$5:$B$504,$B241,'Comms Calendar'!$AI$5:$AI$504,$AI241,'Comms Calendar'!$AE$5:$AE$504,"&lt;&gt;Cancelled"))</f>
        <v/>
      </c>
      <c r="AL241" s="27" t="str">
        <f aca="false">IF($AK241="","",IF($AK241&gt;'Rules &amp; Guardrails'!$C$3,"Over cap","OK"))</f>
        <v/>
      </c>
      <c r="AM241" s="27" t="str">
        <f aca="false">IF(OR($O241="",$K241=""),"",IF(COUNTIFS('Comms Calendar'!$K$5:$K$504,$K241,'Comms Calendar'!$B$5:$B$504,$B241,'Comms Calendar'!$O$5:$O$504,$O241,'Comms Calendar'!$AE$5:$AE$504,"&lt;&gt;Cancelled")&gt;1,"Clash",""))</f>
        <v/>
      </c>
      <c r="AN241" s="27" t="str">
        <f aca="false">IF($O241="","",IF(IF($B241="Global",COUNTIF('Rules &amp; Guardrails'!$F$9:$F$60,$O241),COUNTIFS('Rules &amp; Guardrails'!$F$9:$F$60,$O241,'Rules &amp; Guardrails'!$G$9:$G$60,$B241)+COUNTIFS('Rules &amp; Guardrails'!$F$9:$F$60,$O241,'Rules &amp; Guardrails'!$G$9:$G$60,"Global"))&gt;0,"Blackout",""))</f>
        <v/>
      </c>
      <c r="AO241" s="6"/>
      <c r="AP241" s="25"/>
      <c r="AQ241" s="23"/>
      <c r="AR241" s="31" t="str">
        <f aca="false">IF($D241="","",IFERROR(VLOOKUP($D241,'Rules &amp; Guardrails'!$A$9:$D$24,2,0),"Other"))</f>
        <v/>
      </c>
      <c r="AS241" s="31" t="str">
        <f aca="false">IF($O241="","",$O241&amp;"|"&amp;$B241)</f>
        <v/>
      </c>
    </row>
    <row r="242" customFormat="false" ht="15" hidden="false" customHeight="false" outlineLevel="0" collapsed="false">
      <c r="A242" s="23"/>
      <c r="B242" s="23"/>
      <c r="C242" s="23"/>
      <c r="D242" s="23"/>
      <c r="E242" s="23"/>
      <c r="F242" s="23"/>
      <c r="G242" s="6"/>
      <c r="H242" s="6"/>
      <c r="I242" s="23"/>
      <c r="J242" s="23"/>
      <c r="K242" s="23"/>
      <c r="L242" s="6"/>
      <c r="M242" s="6"/>
      <c r="N242" s="24"/>
      <c r="O242" s="25"/>
      <c r="P242" s="23"/>
      <c r="Q242" s="23"/>
      <c r="R242" s="23"/>
      <c r="S242" s="23"/>
      <c r="T242" s="26" t="str">
        <f aca="false">IF(OR($O242="",$D242=""),"",WORKDAY($O242,-IFERROR(VLOOKUP($D242,'Rules &amp; Guardrails'!$A$9:$D$24,3,0),10)))</f>
        <v/>
      </c>
      <c r="U242" s="23"/>
      <c r="V242" s="23"/>
      <c r="W242" s="23"/>
      <c r="X242" s="6"/>
      <c r="Y242" s="23"/>
      <c r="Z242" s="23"/>
      <c r="AA242" s="23"/>
      <c r="AB242" s="23"/>
      <c r="AC242" s="23"/>
      <c r="AD242" s="23"/>
      <c r="AE242" s="23"/>
      <c r="AF242" s="27" t="str">
        <f aca="true">IF($O242="","",IF(OR($AE242="Cancelled",$AE242="On hold",$AE242="Launched"),$AE242,IF(AND($Y242="Approved",OR($Z242="Yes",$Z242="N/A"),OR($AA242="Yes",$AA242="N/A"),OR($AB242="No",$AB242="N/A",AND($AB242="Yes",$AD242="Yes"))),"Ready",IF($O242&lt;TODAY(),"Overdue",IF($O242-TODAY()&lt;='Rules &amp; Guardrails'!$C$5,"At Risk","In Progress")))))</f>
        <v/>
      </c>
      <c r="AG242" s="28" t="str">
        <f aca="false">IF($O242="","",IF(OR($AE242="Launched",$AE242="Cancelled"),"",MID(IF($Y242&lt;&gt;"Approved",", Content approval","")&amp;IF(NOT(OR($Z242="Yes",$Z242="N/A")),", Assets","")&amp;IF(NOT(OR($AA242="Yes",$AA242="N/A")),", List","")&amp;IF($AB242="",", Ops decision",IF(AND($AB242="Yes",$AD242&lt;&gt;"Yes"),", Ops",""))&amp;IF($U242="",", Owner","")&amp;IF($K242="",", Segment",""),3,200)))</f>
        <v/>
      </c>
      <c r="AH242" s="29" t="str">
        <f aca="true">IF($O242="","",$O242-TODAY())</f>
        <v/>
      </c>
      <c r="AI242" s="26" t="str">
        <f aca="false">IF($O242="","",$O242-WEEKDAY($O242,3))</f>
        <v/>
      </c>
      <c r="AJ242" s="30" t="str">
        <f aca="false">IF($O242="","",DATE(YEAR($O242),MONTH($O242),1))</f>
        <v/>
      </c>
      <c r="AK242" s="31" t="str">
        <f aca="false">IF(OR($O242="",$K242=""),"",COUNTIFS('Comms Calendar'!$K$5:$K$504,$K242,'Comms Calendar'!$B$5:$B$504,$B242,'Comms Calendar'!$AI$5:$AI$504,$AI242,'Comms Calendar'!$AE$5:$AE$504,"&lt;&gt;Cancelled"))</f>
        <v/>
      </c>
      <c r="AL242" s="27" t="str">
        <f aca="false">IF($AK242="","",IF($AK242&gt;'Rules &amp; Guardrails'!$C$3,"Over cap","OK"))</f>
        <v/>
      </c>
      <c r="AM242" s="27" t="str">
        <f aca="false">IF(OR($O242="",$K242=""),"",IF(COUNTIFS('Comms Calendar'!$K$5:$K$504,$K242,'Comms Calendar'!$B$5:$B$504,$B242,'Comms Calendar'!$O$5:$O$504,$O242,'Comms Calendar'!$AE$5:$AE$504,"&lt;&gt;Cancelled")&gt;1,"Clash",""))</f>
        <v/>
      </c>
      <c r="AN242" s="27" t="str">
        <f aca="false">IF($O242="","",IF(IF($B242="Global",COUNTIF('Rules &amp; Guardrails'!$F$9:$F$60,$O242),COUNTIFS('Rules &amp; Guardrails'!$F$9:$F$60,$O242,'Rules &amp; Guardrails'!$G$9:$G$60,$B242)+COUNTIFS('Rules &amp; Guardrails'!$F$9:$F$60,$O242,'Rules &amp; Guardrails'!$G$9:$G$60,"Global"))&gt;0,"Blackout",""))</f>
        <v/>
      </c>
      <c r="AO242" s="6"/>
      <c r="AP242" s="25"/>
      <c r="AQ242" s="23"/>
      <c r="AR242" s="31" t="str">
        <f aca="false">IF($D242="","",IFERROR(VLOOKUP($D242,'Rules &amp; Guardrails'!$A$9:$D$24,2,0),"Other"))</f>
        <v/>
      </c>
      <c r="AS242" s="31" t="str">
        <f aca="false">IF($O242="","",$O242&amp;"|"&amp;$B242)</f>
        <v/>
      </c>
    </row>
    <row r="243" customFormat="false" ht="15" hidden="false" customHeight="false" outlineLevel="0" collapsed="false">
      <c r="A243" s="23"/>
      <c r="B243" s="23"/>
      <c r="C243" s="23"/>
      <c r="D243" s="23"/>
      <c r="E243" s="23"/>
      <c r="F243" s="23"/>
      <c r="G243" s="6"/>
      <c r="H243" s="6"/>
      <c r="I243" s="23"/>
      <c r="J243" s="23"/>
      <c r="K243" s="23"/>
      <c r="L243" s="6"/>
      <c r="M243" s="6"/>
      <c r="N243" s="24"/>
      <c r="O243" s="25"/>
      <c r="P243" s="23"/>
      <c r="Q243" s="23"/>
      <c r="R243" s="23"/>
      <c r="S243" s="23"/>
      <c r="T243" s="26" t="str">
        <f aca="false">IF(OR($O243="",$D243=""),"",WORKDAY($O243,-IFERROR(VLOOKUP($D243,'Rules &amp; Guardrails'!$A$9:$D$24,3,0),10)))</f>
        <v/>
      </c>
      <c r="U243" s="23"/>
      <c r="V243" s="23"/>
      <c r="W243" s="23"/>
      <c r="X243" s="6"/>
      <c r="Y243" s="23"/>
      <c r="Z243" s="23"/>
      <c r="AA243" s="23"/>
      <c r="AB243" s="23"/>
      <c r="AC243" s="23"/>
      <c r="AD243" s="23"/>
      <c r="AE243" s="23"/>
      <c r="AF243" s="27" t="str">
        <f aca="true">IF($O243="","",IF(OR($AE243="Cancelled",$AE243="On hold",$AE243="Launched"),$AE243,IF(AND($Y243="Approved",OR($Z243="Yes",$Z243="N/A"),OR($AA243="Yes",$AA243="N/A"),OR($AB243="No",$AB243="N/A",AND($AB243="Yes",$AD243="Yes"))),"Ready",IF($O243&lt;TODAY(),"Overdue",IF($O243-TODAY()&lt;='Rules &amp; Guardrails'!$C$5,"At Risk","In Progress")))))</f>
        <v/>
      </c>
      <c r="AG243" s="28" t="str">
        <f aca="false">IF($O243="","",IF(OR($AE243="Launched",$AE243="Cancelled"),"",MID(IF($Y243&lt;&gt;"Approved",", Content approval","")&amp;IF(NOT(OR($Z243="Yes",$Z243="N/A")),", Assets","")&amp;IF(NOT(OR($AA243="Yes",$AA243="N/A")),", List","")&amp;IF($AB243="",", Ops decision",IF(AND($AB243="Yes",$AD243&lt;&gt;"Yes"),", Ops",""))&amp;IF($U243="",", Owner","")&amp;IF($K243="",", Segment",""),3,200)))</f>
        <v/>
      </c>
      <c r="AH243" s="29" t="str">
        <f aca="true">IF($O243="","",$O243-TODAY())</f>
        <v/>
      </c>
      <c r="AI243" s="26" t="str">
        <f aca="false">IF($O243="","",$O243-WEEKDAY($O243,3))</f>
        <v/>
      </c>
      <c r="AJ243" s="30" t="str">
        <f aca="false">IF($O243="","",DATE(YEAR($O243),MONTH($O243),1))</f>
        <v/>
      </c>
      <c r="AK243" s="31" t="str">
        <f aca="false">IF(OR($O243="",$K243=""),"",COUNTIFS('Comms Calendar'!$K$5:$K$504,$K243,'Comms Calendar'!$B$5:$B$504,$B243,'Comms Calendar'!$AI$5:$AI$504,$AI243,'Comms Calendar'!$AE$5:$AE$504,"&lt;&gt;Cancelled"))</f>
        <v/>
      </c>
      <c r="AL243" s="27" t="str">
        <f aca="false">IF($AK243="","",IF($AK243&gt;'Rules &amp; Guardrails'!$C$3,"Over cap","OK"))</f>
        <v/>
      </c>
      <c r="AM243" s="27" t="str">
        <f aca="false">IF(OR($O243="",$K243=""),"",IF(COUNTIFS('Comms Calendar'!$K$5:$K$504,$K243,'Comms Calendar'!$B$5:$B$504,$B243,'Comms Calendar'!$O$5:$O$504,$O243,'Comms Calendar'!$AE$5:$AE$504,"&lt;&gt;Cancelled")&gt;1,"Clash",""))</f>
        <v/>
      </c>
      <c r="AN243" s="27" t="str">
        <f aca="false">IF($O243="","",IF(IF($B243="Global",COUNTIF('Rules &amp; Guardrails'!$F$9:$F$60,$O243),COUNTIFS('Rules &amp; Guardrails'!$F$9:$F$60,$O243,'Rules &amp; Guardrails'!$G$9:$G$60,$B243)+COUNTIFS('Rules &amp; Guardrails'!$F$9:$F$60,$O243,'Rules &amp; Guardrails'!$G$9:$G$60,"Global"))&gt;0,"Blackout",""))</f>
        <v/>
      </c>
      <c r="AO243" s="6"/>
      <c r="AP243" s="25"/>
      <c r="AQ243" s="23"/>
      <c r="AR243" s="31" t="str">
        <f aca="false">IF($D243="","",IFERROR(VLOOKUP($D243,'Rules &amp; Guardrails'!$A$9:$D$24,2,0),"Other"))</f>
        <v/>
      </c>
      <c r="AS243" s="31" t="str">
        <f aca="false">IF($O243="","",$O243&amp;"|"&amp;$B243)</f>
        <v/>
      </c>
    </row>
    <row r="244" customFormat="false" ht="15" hidden="false" customHeight="false" outlineLevel="0" collapsed="false">
      <c r="A244" s="23"/>
      <c r="B244" s="23"/>
      <c r="C244" s="23"/>
      <c r="D244" s="23"/>
      <c r="E244" s="23"/>
      <c r="F244" s="23"/>
      <c r="G244" s="6"/>
      <c r="H244" s="6"/>
      <c r="I244" s="23"/>
      <c r="J244" s="23"/>
      <c r="K244" s="23"/>
      <c r="L244" s="6"/>
      <c r="M244" s="6"/>
      <c r="N244" s="24"/>
      <c r="O244" s="25"/>
      <c r="P244" s="23"/>
      <c r="Q244" s="23"/>
      <c r="R244" s="23"/>
      <c r="S244" s="23"/>
      <c r="T244" s="26" t="str">
        <f aca="false">IF(OR($O244="",$D244=""),"",WORKDAY($O244,-IFERROR(VLOOKUP($D244,'Rules &amp; Guardrails'!$A$9:$D$24,3,0),10)))</f>
        <v/>
      </c>
      <c r="U244" s="23"/>
      <c r="V244" s="23"/>
      <c r="W244" s="23"/>
      <c r="X244" s="6"/>
      <c r="Y244" s="23"/>
      <c r="Z244" s="23"/>
      <c r="AA244" s="23"/>
      <c r="AB244" s="23"/>
      <c r="AC244" s="23"/>
      <c r="AD244" s="23"/>
      <c r="AE244" s="23"/>
      <c r="AF244" s="27" t="str">
        <f aca="true">IF($O244="","",IF(OR($AE244="Cancelled",$AE244="On hold",$AE244="Launched"),$AE244,IF(AND($Y244="Approved",OR($Z244="Yes",$Z244="N/A"),OR($AA244="Yes",$AA244="N/A"),OR($AB244="No",$AB244="N/A",AND($AB244="Yes",$AD244="Yes"))),"Ready",IF($O244&lt;TODAY(),"Overdue",IF($O244-TODAY()&lt;='Rules &amp; Guardrails'!$C$5,"At Risk","In Progress")))))</f>
        <v/>
      </c>
      <c r="AG244" s="28" t="str">
        <f aca="false">IF($O244="","",IF(OR($AE244="Launched",$AE244="Cancelled"),"",MID(IF($Y244&lt;&gt;"Approved",", Content approval","")&amp;IF(NOT(OR($Z244="Yes",$Z244="N/A")),", Assets","")&amp;IF(NOT(OR($AA244="Yes",$AA244="N/A")),", List","")&amp;IF($AB244="",", Ops decision",IF(AND($AB244="Yes",$AD244&lt;&gt;"Yes"),", Ops",""))&amp;IF($U244="",", Owner","")&amp;IF($K244="",", Segment",""),3,200)))</f>
        <v/>
      </c>
      <c r="AH244" s="29" t="str">
        <f aca="true">IF($O244="","",$O244-TODAY())</f>
        <v/>
      </c>
      <c r="AI244" s="26" t="str">
        <f aca="false">IF($O244="","",$O244-WEEKDAY($O244,3))</f>
        <v/>
      </c>
      <c r="AJ244" s="30" t="str">
        <f aca="false">IF($O244="","",DATE(YEAR($O244),MONTH($O244),1))</f>
        <v/>
      </c>
      <c r="AK244" s="31" t="str">
        <f aca="false">IF(OR($O244="",$K244=""),"",COUNTIFS('Comms Calendar'!$K$5:$K$504,$K244,'Comms Calendar'!$B$5:$B$504,$B244,'Comms Calendar'!$AI$5:$AI$504,$AI244,'Comms Calendar'!$AE$5:$AE$504,"&lt;&gt;Cancelled"))</f>
        <v/>
      </c>
      <c r="AL244" s="27" t="str">
        <f aca="false">IF($AK244="","",IF($AK244&gt;'Rules &amp; Guardrails'!$C$3,"Over cap","OK"))</f>
        <v/>
      </c>
      <c r="AM244" s="27" t="str">
        <f aca="false">IF(OR($O244="",$K244=""),"",IF(COUNTIFS('Comms Calendar'!$K$5:$K$504,$K244,'Comms Calendar'!$B$5:$B$504,$B244,'Comms Calendar'!$O$5:$O$504,$O244,'Comms Calendar'!$AE$5:$AE$504,"&lt;&gt;Cancelled")&gt;1,"Clash",""))</f>
        <v/>
      </c>
      <c r="AN244" s="27" t="str">
        <f aca="false">IF($O244="","",IF(IF($B244="Global",COUNTIF('Rules &amp; Guardrails'!$F$9:$F$60,$O244),COUNTIFS('Rules &amp; Guardrails'!$F$9:$F$60,$O244,'Rules &amp; Guardrails'!$G$9:$G$60,$B244)+COUNTIFS('Rules &amp; Guardrails'!$F$9:$F$60,$O244,'Rules &amp; Guardrails'!$G$9:$G$60,"Global"))&gt;0,"Blackout",""))</f>
        <v/>
      </c>
      <c r="AO244" s="6"/>
      <c r="AP244" s="25"/>
      <c r="AQ244" s="23"/>
      <c r="AR244" s="31" t="str">
        <f aca="false">IF($D244="","",IFERROR(VLOOKUP($D244,'Rules &amp; Guardrails'!$A$9:$D$24,2,0),"Other"))</f>
        <v/>
      </c>
      <c r="AS244" s="31" t="str">
        <f aca="false">IF($O244="","",$O244&amp;"|"&amp;$B244)</f>
        <v/>
      </c>
    </row>
    <row r="245" customFormat="false" ht="15" hidden="false" customHeight="false" outlineLevel="0" collapsed="false">
      <c r="A245" s="23"/>
      <c r="B245" s="23"/>
      <c r="C245" s="23"/>
      <c r="D245" s="23"/>
      <c r="E245" s="23"/>
      <c r="F245" s="23"/>
      <c r="G245" s="6"/>
      <c r="H245" s="6"/>
      <c r="I245" s="23"/>
      <c r="J245" s="23"/>
      <c r="K245" s="23"/>
      <c r="L245" s="6"/>
      <c r="M245" s="6"/>
      <c r="N245" s="24"/>
      <c r="O245" s="25"/>
      <c r="P245" s="23"/>
      <c r="Q245" s="23"/>
      <c r="R245" s="23"/>
      <c r="S245" s="23"/>
      <c r="T245" s="26" t="str">
        <f aca="false">IF(OR($O245="",$D245=""),"",WORKDAY($O245,-IFERROR(VLOOKUP($D245,'Rules &amp; Guardrails'!$A$9:$D$24,3,0),10)))</f>
        <v/>
      </c>
      <c r="U245" s="23"/>
      <c r="V245" s="23"/>
      <c r="W245" s="23"/>
      <c r="X245" s="6"/>
      <c r="Y245" s="23"/>
      <c r="Z245" s="23"/>
      <c r="AA245" s="23"/>
      <c r="AB245" s="23"/>
      <c r="AC245" s="23"/>
      <c r="AD245" s="23"/>
      <c r="AE245" s="23"/>
      <c r="AF245" s="27" t="str">
        <f aca="true">IF($O245="","",IF(OR($AE245="Cancelled",$AE245="On hold",$AE245="Launched"),$AE245,IF(AND($Y245="Approved",OR($Z245="Yes",$Z245="N/A"),OR($AA245="Yes",$AA245="N/A"),OR($AB245="No",$AB245="N/A",AND($AB245="Yes",$AD245="Yes"))),"Ready",IF($O245&lt;TODAY(),"Overdue",IF($O245-TODAY()&lt;='Rules &amp; Guardrails'!$C$5,"At Risk","In Progress")))))</f>
        <v/>
      </c>
      <c r="AG245" s="28" t="str">
        <f aca="false">IF($O245="","",IF(OR($AE245="Launched",$AE245="Cancelled"),"",MID(IF($Y245&lt;&gt;"Approved",", Content approval","")&amp;IF(NOT(OR($Z245="Yes",$Z245="N/A")),", Assets","")&amp;IF(NOT(OR($AA245="Yes",$AA245="N/A")),", List","")&amp;IF($AB245="",", Ops decision",IF(AND($AB245="Yes",$AD245&lt;&gt;"Yes"),", Ops",""))&amp;IF($U245="",", Owner","")&amp;IF($K245="",", Segment",""),3,200)))</f>
        <v/>
      </c>
      <c r="AH245" s="29" t="str">
        <f aca="true">IF($O245="","",$O245-TODAY())</f>
        <v/>
      </c>
      <c r="AI245" s="26" t="str">
        <f aca="false">IF($O245="","",$O245-WEEKDAY($O245,3))</f>
        <v/>
      </c>
      <c r="AJ245" s="30" t="str">
        <f aca="false">IF($O245="","",DATE(YEAR($O245),MONTH($O245),1))</f>
        <v/>
      </c>
      <c r="AK245" s="31" t="str">
        <f aca="false">IF(OR($O245="",$K245=""),"",COUNTIFS('Comms Calendar'!$K$5:$K$504,$K245,'Comms Calendar'!$B$5:$B$504,$B245,'Comms Calendar'!$AI$5:$AI$504,$AI245,'Comms Calendar'!$AE$5:$AE$504,"&lt;&gt;Cancelled"))</f>
        <v/>
      </c>
      <c r="AL245" s="27" t="str">
        <f aca="false">IF($AK245="","",IF($AK245&gt;'Rules &amp; Guardrails'!$C$3,"Over cap","OK"))</f>
        <v/>
      </c>
      <c r="AM245" s="27" t="str">
        <f aca="false">IF(OR($O245="",$K245=""),"",IF(COUNTIFS('Comms Calendar'!$K$5:$K$504,$K245,'Comms Calendar'!$B$5:$B$504,$B245,'Comms Calendar'!$O$5:$O$504,$O245,'Comms Calendar'!$AE$5:$AE$504,"&lt;&gt;Cancelled")&gt;1,"Clash",""))</f>
        <v/>
      </c>
      <c r="AN245" s="27" t="str">
        <f aca="false">IF($O245="","",IF(IF($B245="Global",COUNTIF('Rules &amp; Guardrails'!$F$9:$F$60,$O245),COUNTIFS('Rules &amp; Guardrails'!$F$9:$F$60,$O245,'Rules &amp; Guardrails'!$G$9:$G$60,$B245)+COUNTIFS('Rules &amp; Guardrails'!$F$9:$F$60,$O245,'Rules &amp; Guardrails'!$G$9:$G$60,"Global"))&gt;0,"Blackout",""))</f>
        <v/>
      </c>
      <c r="AO245" s="6"/>
      <c r="AP245" s="25"/>
      <c r="AQ245" s="23"/>
      <c r="AR245" s="31" t="str">
        <f aca="false">IF($D245="","",IFERROR(VLOOKUP($D245,'Rules &amp; Guardrails'!$A$9:$D$24,2,0),"Other"))</f>
        <v/>
      </c>
      <c r="AS245" s="31" t="str">
        <f aca="false">IF($O245="","",$O245&amp;"|"&amp;$B245)</f>
        <v/>
      </c>
    </row>
    <row r="246" customFormat="false" ht="15" hidden="false" customHeight="false" outlineLevel="0" collapsed="false">
      <c r="A246" s="23"/>
      <c r="B246" s="23"/>
      <c r="C246" s="23"/>
      <c r="D246" s="23"/>
      <c r="E246" s="23"/>
      <c r="F246" s="23"/>
      <c r="G246" s="6"/>
      <c r="H246" s="6"/>
      <c r="I246" s="23"/>
      <c r="J246" s="23"/>
      <c r="K246" s="23"/>
      <c r="L246" s="6"/>
      <c r="M246" s="6"/>
      <c r="N246" s="24"/>
      <c r="O246" s="25"/>
      <c r="P246" s="23"/>
      <c r="Q246" s="23"/>
      <c r="R246" s="23"/>
      <c r="S246" s="23"/>
      <c r="T246" s="26" t="str">
        <f aca="false">IF(OR($O246="",$D246=""),"",WORKDAY($O246,-IFERROR(VLOOKUP($D246,'Rules &amp; Guardrails'!$A$9:$D$24,3,0),10)))</f>
        <v/>
      </c>
      <c r="U246" s="23"/>
      <c r="V246" s="23"/>
      <c r="W246" s="23"/>
      <c r="X246" s="6"/>
      <c r="Y246" s="23"/>
      <c r="Z246" s="23"/>
      <c r="AA246" s="23"/>
      <c r="AB246" s="23"/>
      <c r="AC246" s="23"/>
      <c r="AD246" s="23"/>
      <c r="AE246" s="23"/>
      <c r="AF246" s="27" t="str">
        <f aca="true">IF($O246="","",IF(OR($AE246="Cancelled",$AE246="On hold",$AE246="Launched"),$AE246,IF(AND($Y246="Approved",OR($Z246="Yes",$Z246="N/A"),OR($AA246="Yes",$AA246="N/A"),OR($AB246="No",$AB246="N/A",AND($AB246="Yes",$AD246="Yes"))),"Ready",IF($O246&lt;TODAY(),"Overdue",IF($O246-TODAY()&lt;='Rules &amp; Guardrails'!$C$5,"At Risk","In Progress")))))</f>
        <v/>
      </c>
      <c r="AG246" s="28" t="str">
        <f aca="false">IF($O246="","",IF(OR($AE246="Launched",$AE246="Cancelled"),"",MID(IF($Y246&lt;&gt;"Approved",", Content approval","")&amp;IF(NOT(OR($Z246="Yes",$Z246="N/A")),", Assets","")&amp;IF(NOT(OR($AA246="Yes",$AA246="N/A")),", List","")&amp;IF($AB246="",", Ops decision",IF(AND($AB246="Yes",$AD246&lt;&gt;"Yes"),", Ops",""))&amp;IF($U246="",", Owner","")&amp;IF($K246="",", Segment",""),3,200)))</f>
        <v/>
      </c>
      <c r="AH246" s="29" t="str">
        <f aca="true">IF($O246="","",$O246-TODAY())</f>
        <v/>
      </c>
      <c r="AI246" s="26" t="str">
        <f aca="false">IF($O246="","",$O246-WEEKDAY($O246,3))</f>
        <v/>
      </c>
      <c r="AJ246" s="30" t="str">
        <f aca="false">IF($O246="","",DATE(YEAR($O246),MONTH($O246),1))</f>
        <v/>
      </c>
      <c r="AK246" s="31" t="str">
        <f aca="false">IF(OR($O246="",$K246=""),"",COUNTIFS('Comms Calendar'!$K$5:$K$504,$K246,'Comms Calendar'!$B$5:$B$504,$B246,'Comms Calendar'!$AI$5:$AI$504,$AI246,'Comms Calendar'!$AE$5:$AE$504,"&lt;&gt;Cancelled"))</f>
        <v/>
      </c>
      <c r="AL246" s="27" t="str">
        <f aca="false">IF($AK246="","",IF($AK246&gt;'Rules &amp; Guardrails'!$C$3,"Over cap","OK"))</f>
        <v/>
      </c>
      <c r="AM246" s="27" t="str">
        <f aca="false">IF(OR($O246="",$K246=""),"",IF(COUNTIFS('Comms Calendar'!$K$5:$K$504,$K246,'Comms Calendar'!$B$5:$B$504,$B246,'Comms Calendar'!$O$5:$O$504,$O246,'Comms Calendar'!$AE$5:$AE$504,"&lt;&gt;Cancelled")&gt;1,"Clash",""))</f>
        <v/>
      </c>
      <c r="AN246" s="27" t="str">
        <f aca="false">IF($O246="","",IF(IF($B246="Global",COUNTIF('Rules &amp; Guardrails'!$F$9:$F$60,$O246),COUNTIFS('Rules &amp; Guardrails'!$F$9:$F$60,$O246,'Rules &amp; Guardrails'!$G$9:$G$60,$B246)+COUNTIFS('Rules &amp; Guardrails'!$F$9:$F$60,$O246,'Rules &amp; Guardrails'!$G$9:$G$60,"Global"))&gt;0,"Blackout",""))</f>
        <v/>
      </c>
      <c r="AO246" s="6"/>
      <c r="AP246" s="25"/>
      <c r="AQ246" s="23"/>
      <c r="AR246" s="31" t="str">
        <f aca="false">IF($D246="","",IFERROR(VLOOKUP($D246,'Rules &amp; Guardrails'!$A$9:$D$24,2,0),"Other"))</f>
        <v/>
      </c>
      <c r="AS246" s="31" t="str">
        <f aca="false">IF($O246="","",$O246&amp;"|"&amp;$B246)</f>
        <v/>
      </c>
    </row>
    <row r="247" customFormat="false" ht="15" hidden="false" customHeight="false" outlineLevel="0" collapsed="false">
      <c r="A247" s="23"/>
      <c r="B247" s="23"/>
      <c r="C247" s="23"/>
      <c r="D247" s="23"/>
      <c r="E247" s="23"/>
      <c r="F247" s="23"/>
      <c r="G247" s="6"/>
      <c r="H247" s="6"/>
      <c r="I247" s="23"/>
      <c r="J247" s="23"/>
      <c r="K247" s="23"/>
      <c r="L247" s="6"/>
      <c r="M247" s="6"/>
      <c r="N247" s="24"/>
      <c r="O247" s="25"/>
      <c r="P247" s="23"/>
      <c r="Q247" s="23"/>
      <c r="R247" s="23"/>
      <c r="S247" s="23"/>
      <c r="T247" s="26" t="str">
        <f aca="false">IF(OR($O247="",$D247=""),"",WORKDAY($O247,-IFERROR(VLOOKUP($D247,'Rules &amp; Guardrails'!$A$9:$D$24,3,0),10)))</f>
        <v/>
      </c>
      <c r="U247" s="23"/>
      <c r="V247" s="23"/>
      <c r="W247" s="23"/>
      <c r="X247" s="6"/>
      <c r="Y247" s="23"/>
      <c r="Z247" s="23"/>
      <c r="AA247" s="23"/>
      <c r="AB247" s="23"/>
      <c r="AC247" s="23"/>
      <c r="AD247" s="23"/>
      <c r="AE247" s="23"/>
      <c r="AF247" s="27" t="str">
        <f aca="true">IF($O247="","",IF(OR($AE247="Cancelled",$AE247="On hold",$AE247="Launched"),$AE247,IF(AND($Y247="Approved",OR($Z247="Yes",$Z247="N/A"),OR($AA247="Yes",$AA247="N/A"),OR($AB247="No",$AB247="N/A",AND($AB247="Yes",$AD247="Yes"))),"Ready",IF($O247&lt;TODAY(),"Overdue",IF($O247-TODAY()&lt;='Rules &amp; Guardrails'!$C$5,"At Risk","In Progress")))))</f>
        <v/>
      </c>
      <c r="AG247" s="28" t="str">
        <f aca="false">IF($O247="","",IF(OR($AE247="Launched",$AE247="Cancelled"),"",MID(IF($Y247&lt;&gt;"Approved",", Content approval","")&amp;IF(NOT(OR($Z247="Yes",$Z247="N/A")),", Assets","")&amp;IF(NOT(OR($AA247="Yes",$AA247="N/A")),", List","")&amp;IF($AB247="",", Ops decision",IF(AND($AB247="Yes",$AD247&lt;&gt;"Yes"),", Ops",""))&amp;IF($U247="",", Owner","")&amp;IF($K247="",", Segment",""),3,200)))</f>
        <v/>
      </c>
      <c r="AH247" s="29" t="str">
        <f aca="true">IF($O247="","",$O247-TODAY())</f>
        <v/>
      </c>
      <c r="AI247" s="26" t="str">
        <f aca="false">IF($O247="","",$O247-WEEKDAY($O247,3))</f>
        <v/>
      </c>
      <c r="AJ247" s="30" t="str">
        <f aca="false">IF($O247="","",DATE(YEAR($O247),MONTH($O247),1))</f>
        <v/>
      </c>
      <c r="AK247" s="31" t="str">
        <f aca="false">IF(OR($O247="",$K247=""),"",COUNTIFS('Comms Calendar'!$K$5:$K$504,$K247,'Comms Calendar'!$B$5:$B$504,$B247,'Comms Calendar'!$AI$5:$AI$504,$AI247,'Comms Calendar'!$AE$5:$AE$504,"&lt;&gt;Cancelled"))</f>
        <v/>
      </c>
      <c r="AL247" s="27" t="str">
        <f aca="false">IF($AK247="","",IF($AK247&gt;'Rules &amp; Guardrails'!$C$3,"Over cap","OK"))</f>
        <v/>
      </c>
      <c r="AM247" s="27" t="str">
        <f aca="false">IF(OR($O247="",$K247=""),"",IF(COUNTIFS('Comms Calendar'!$K$5:$K$504,$K247,'Comms Calendar'!$B$5:$B$504,$B247,'Comms Calendar'!$O$5:$O$504,$O247,'Comms Calendar'!$AE$5:$AE$504,"&lt;&gt;Cancelled")&gt;1,"Clash",""))</f>
        <v/>
      </c>
      <c r="AN247" s="27" t="str">
        <f aca="false">IF($O247="","",IF(IF($B247="Global",COUNTIF('Rules &amp; Guardrails'!$F$9:$F$60,$O247),COUNTIFS('Rules &amp; Guardrails'!$F$9:$F$60,$O247,'Rules &amp; Guardrails'!$G$9:$G$60,$B247)+COUNTIFS('Rules &amp; Guardrails'!$F$9:$F$60,$O247,'Rules &amp; Guardrails'!$G$9:$G$60,"Global"))&gt;0,"Blackout",""))</f>
        <v/>
      </c>
      <c r="AO247" s="6"/>
      <c r="AP247" s="25"/>
      <c r="AQ247" s="23"/>
      <c r="AR247" s="31" t="str">
        <f aca="false">IF($D247="","",IFERROR(VLOOKUP($D247,'Rules &amp; Guardrails'!$A$9:$D$24,2,0),"Other"))</f>
        <v/>
      </c>
      <c r="AS247" s="31" t="str">
        <f aca="false">IF($O247="","",$O247&amp;"|"&amp;$B247)</f>
        <v/>
      </c>
    </row>
    <row r="248" customFormat="false" ht="15" hidden="false" customHeight="false" outlineLevel="0" collapsed="false">
      <c r="A248" s="23"/>
      <c r="B248" s="23"/>
      <c r="C248" s="23"/>
      <c r="D248" s="23"/>
      <c r="E248" s="23"/>
      <c r="F248" s="23"/>
      <c r="G248" s="6"/>
      <c r="H248" s="6"/>
      <c r="I248" s="23"/>
      <c r="J248" s="23"/>
      <c r="K248" s="23"/>
      <c r="L248" s="6"/>
      <c r="M248" s="6"/>
      <c r="N248" s="24"/>
      <c r="O248" s="25"/>
      <c r="P248" s="23"/>
      <c r="Q248" s="23"/>
      <c r="R248" s="23"/>
      <c r="S248" s="23"/>
      <c r="T248" s="26" t="str">
        <f aca="false">IF(OR($O248="",$D248=""),"",WORKDAY($O248,-IFERROR(VLOOKUP($D248,'Rules &amp; Guardrails'!$A$9:$D$24,3,0),10)))</f>
        <v/>
      </c>
      <c r="U248" s="23"/>
      <c r="V248" s="23"/>
      <c r="W248" s="23"/>
      <c r="X248" s="6"/>
      <c r="Y248" s="23"/>
      <c r="Z248" s="23"/>
      <c r="AA248" s="23"/>
      <c r="AB248" s="23"/>
      <c r="AC248" s="23"/>
      <c r="AD248" s="23"/>
      <c r="AE248" s="23"/>
      <c r="AF248" s="27" t="str">
        <f aca="true">IF($O248="","",IF(OR($AE248="Cancelled",$AE248="On hold",$AE248="Launched"),$AE248,IF(AND($Y248="Approved",OR($Z248="Yes",$Z248="N/A"),OR($AA248="Yes",$AA248="N/A"),OR($AB248="No",$AB248="N/A",AND($AB248="Yes",$AD248="Yes"))),"Ready",IF($O248&lt;TODAY(),"Overdue",IF($O248-TODAY()&lt;='Rules &amp; Guardrails'!$C$5,"At Risk","In Progress")))))</f>
        <v/>
      </c>
      <c r="AG248" s="28" t="str">
        <f aca="false">IF($O248="","",IF(OR($AE248="Launched",$AE248="Cancelled"),"",MID(IF($Y248&lt;&gt;"Approved",", Content approval","")&amp;IF(NOT(OR($Z248="Yes",$Z248="N/A")),", Assets","")&amp;IF(NOT(OR($AA248="Yes",$AA248="N/A")),", List","")&amp;IF($AB248="",", Ops decision",IF(AND($AB248="Yes",$AD248&lt;&gt;"Yes"),", Ops",""))&amp;IF($U248="",", Owner","")&amp;IF($K248="",", Segment",""),3,200)))</f>
        <v/>
      </c>
      <c r="AH248" s="29" t="str">
        <f aca="true">IF($O248="","",$O248-TODAY())</f>
        <v/>
      </c>
      <c r="AI248" s="26" t="str">
        <f aca="false">IF($O248="","",$O248-WEEKDAY($O248,3))</f>
        <v/>
      </c>
      <c r="AJ248" s="30" t="str">
        <f aca="false">IF($O248="","",DATE(YEAR($O248),MONTH($O248),1))</f>
        <v/>
      </c>
      <c r="AK248" s="31" t="str">
        <f aca="false">IF(OR($O248="",$K248=""),"",COUNTIFS('Comms Calendar'!$K$5:$K$504,$K248,'Comms Calendar'!$B$5:$B$504,$B248,'Comms Calendar'!$AI$5:$AI$504,$AI248,'Comms Calendar'!$AE$5:$AE$504,"&lt;&gt;Cancelled"))</f>
        <v/>
      </c>
      <c r="AL248" s="27" t="str">
        <f aca="false">IF($AK248="","",IF($AK248&gt;'Rules &amp; Guardrails'!$C$3,"Over cap","OK"))</f>
        <v/>
      </c>
      <c r="AM248" s="27" t="str">
        <f aca="false">IF(OR($O248="",$K248=""),"",IF(COUNTIFS('Comms Calendar'!$K$5:$K$504,$K248,'Comms Calendar'!$B$5:$B$504,$B248,'Comms Calendar'!$O$5:$O$504,$O248,'Comms Calendar'!$AE$5:$AE$504,"&lt;&gt;Cancelled")&gt;1,"Clash",""))</f>
        <v/>
      </c>
      <c r="AN248" s="27" t="str">
        <f aca="false">IF($O248="","",IF(IF($B248="Global",COUNTIF('Rules &amp; Guardrails'!$F$9:$F$60,$O248),COUNTIFS('Rules &amp; Guardrails'!$F$9:$F$60,$O248,'Rules &amp; Guardrails'!$G$9:$G$60,$B248)+COUNTIFS('Rules &amp; Guardrails'!$F$9:$F$60,$O248,'Rules &amp; Guardrails'!$G$9:$G$60,"Global"))&gt;0,"Blackout",""))</f>
        <v/>
      </c>
      <c r="AO248" s="6"/>
      <c r="AP248" s="25"/>
      <c r="AQ248" s="23"/>
      <c r="AR248" s="31" t="str">
        <f aca="false">IF($D248="","",IFERROR(VLOOKUP($D248,'Rules &amp; Guardrails'!$A$9:$D$24,2,0),"Other"))</f>
        <v/>
      </c>
      <c r="AS248" s="31" t="str">
        <f aca="false">IF($O248="","",$O248&amp;"|"&amp;$B248)</f>
        <v/>
      </c>
    </row>
    <row r="249" customFormat="false" ht="15" hidden="false" customHeight="false" outlineLevel="0" collapsed="false">
      <c r="A249" s="23"/>
      <c r="B249" s="23"/>
      <c r="C249" s="23"/>
      <c r="D249" s="23"/>
      <c r="E249" s="23"/>
      <c r="F249" s="23"/>
      <c r="G249" s="6"/>
      <c r="H249" s="6"/>
      <c r="I249" s="23"/>
      <c r="J249" s="23"/>
      <c r="K249" s="23"/>
      <c r="L249" s="6"/>
      <c r="M249" s="6"/>
      <c r="N249" s="24"/>
      <c r="O249" s="25"/>
      <c r="P249" s="23"/>
      <c r="Q249" s="23"/>
      <c r="R249" s="23"/>
      <c r="S249" s="23"/>
      <c r="T249" s="26" t="str">
        <f aca="false">IF(OR($O249="",$D249=""),"",WORKDAY($O249,-IFERROR(VLOOKUP($D249,'Rules &amp; Guardrails'!$A$9:$D$24,3,0),10)))</f>
        <v/>
      </c>
      <c r="U249" s="23"/>
      <c r="V249" s="23"/>
      <c r="W249" s="23"/>
      <c r="X249" s="6"/>
      <c r="Y249" s="23"/>
      <c r="Z249" s="23"/>
      <c r="AA249" s="23"/>
      <c r="AB249" s="23"/>
      <c r="AC249" s="23"/>
      <c r="AD249" s="23"/>
      <c r="AE249" s="23"/>
      <c r="AF249" s="27" t="str">
        <f aca="true">IF($O249="","",IF(OR($AE249="Cancelled",$AE249="On hold",$AE249="Launched"),$AE249,IF(AND($Y249="Approved",OR($Z249="Yes",$Z249="N/A"),OR($AA249="Yes",$AA249="N/A"),OR($AB249="No",$AB249="N/A",AND($AB249="Yes",$AD249="Yes"))),"Ready",IF($O249&lt;TODAY(),"Overdue",IF($O249-TODAY()&lt;='Rules &amp; Guardrails'!$C$5,"At Risk","In Progress")))))</f>
        <v/>
      </c>
      <c r="AG249" s="28" t="str">
        <f aca="false">IF($O249="","",IF(OR($AE249="Launched",$AE249="Cancelled"),"",MID(IF($Y249&lt;&gt;"Approved",", Content approval","")&amp;IF(NOT(OR($Z249="Yes",$Z249="N/A")),", Assets","")&amp;IF(NOT(OR($AA249="Yes",$AA249="N/A")),", List","")&amp;IF($AB249="",", Ops decision",IF(AND($AB249="Yes",$AD249&lt;&gt;"Yes"),", Ops",""))&amp;IF($U249="",", Owner","")&amp;IF($K249="",", Segment",""),3,200)))</f>
        <v/>
      </c>
      <c r="AH249" s="29" t="str">
        <f aca="true">IF($O249="","",$O249-TODAY())</f>
        <v/>
      </c>
      <c r="AI249" s="26" t="str">
        <f aca="false">IF($O249="","",$O249-WEEKDAY($O249,3))</f>
        <v/>
      </c>
      <c r="AJ249" s="30" t="str">
        <f aca="false">IF($O249="","",DATE(YEAR($O249),MONTH($O249),1))</f>
        <v/>
      </c>
      <c r="AK249" s="31" t="str">
        <f aca="false">IF(OR($O249="",$K249=""),"",COUNTIFS('Comms Calendar'!$K$5:$K$504,$K249,'Comms Calendar'!$B$5:$B$504,$B249,'Comms Calendar'!$AI$5:$AI$504,$AI249,'Comms Calendar'!$AE$5:$AE$504,"&lt;&gt;Cancelled"))</f>
        <v/>
      </c>
      <c r="AL249" s="27" t="str">
        <f aca="false">IF($AK249="","",IF($AK249&gt;'Rules &amp; Guardrails'!$C$3,"Over cap","OK"))</f>
        <v/>
      </c>
      <c r="AM249" s="27" t="str">
        <f aca="false">IF(OR($O249="",$K249=""),"",IF(COUNTIFS('Comms Calendar'!$K$5:$K$504,$K249,'Comms Calendar'!$B$5:$B$504,$B249,'Comms Calendar'!$O$5:$O$504,$O249,'Comms Calendar'!$AE$5:$AE$504,"&lt;&gt;Cancelled")&gt;1,"Clash",""))</f>
        <v/>
      </c>
      <c r="AN249" s="27" t="str">
        <f aca="false">IF($O249="","",IF(IF($B249="Global",COUNTIF('Rules &amp; Guardrails'!$F$9:$F$60,$O249),COUNTIFS('Rules &amp; Guardrails'!$F$9:$F$60,$O249,'Rules &amp; Guardrails'!$G$9:$G$60,$B249)+COUNTIFS('Rules &amp; Guardrails'!$F$9:$F$60,$O249,'Rules &amp; Guardrails'!$G$9:$G$60,"Global"))&gt;0,"Blackout",""))</f>
        <v/>
      </c>
      <c r="AO249" s="6"/>
      <c r="AP249" s="25"/>
      <c r="AQ249" s="23"/>
      <c r="AR249" s="31" t="str">
        <f aca="false">IF($D249="","",IFERROR(VLOOKUP($D249,'Rules &amp; Guardrails'!$A$9:$D$24,2,0),"Other"))</f>
        <v/>
      </c>
      <c r="AS249" s="31" t="str">
        <f aca="false">IF($O249="","",$O249&amp;"|"&amp;$B249)</f>
        <v/>
      </c>
    </row>
    <row r="250" customFormat="false" ht="15" hidden="false" customHeight="false" outlineLevel="0" collapsed="false">
      <c r="A250" s="23"/>
      <c r="B250" s="23"/>
      <c r="C250" s="23"/>
      <c r="D250" s="23"/>
      <c r="E250" s="23"/>
      <c r="F250" s="23"/>
      <c r="G250" s="6"/>
      <c r="H250" s="6"/>
      <c r="I250" s="23"/>
      <c r="J250" s="23"/>
      <c r="K250" s="23"/>
      <c r="L250" s="6"/>
      <c r="M250" s="6"/>
      <c r="N250" s="24"/>
      <c r="O250" s="25"/>
      <c r="P250" s="23"/>
      <c r="Q250" s="23"/>
      <c r="R250" s="23"/>
      <c r="S250" s="23"/>
      <c r="T250" s="26" t="str">
        <f aca="false">IF(OR($O250="",$D250=""),"",WORKDAY($O250,-IFERROR(VLOOKUP($D250,'Rules &amp; Guardrails'!$A$9:$D$24,3,0),10)))</f>
        <v/>
      </c>
      <c r="U250" s="23"/>
      <c r="V250" s="23"/>
      <c r="W250" s="23"/>
      <c r="X250" s="6"/>
      <c r="Y250" s="23"/>
      <c r="Z250" s="23"/>
      <c r="AA250" s="23"/>
      <c r="AB250" s="23"/>
      <c r="AC250" s="23"/>
      <c r="AD250" s="23"/>
      <c r="AE250" s="23"/>
      <c r="AF250" s="27" t="str">
        <f aca="true">IF($O250="","",IF(OR($AE250="Cancelled",$AE250="On hold",$AE250="Launched"),$AE250,IF(AND($Y250="Approved",OR($Z250="Yes",$Z250="N/A"),OR($AA250="Yes",$AA250="N/A"),OR($AB250="No",$AB250="N/A",AND($AB250="Yes",$AD250="Yes"))),"Ready",IF($O250&lt;TODAY(),"Overdue",IF($O250-TODAY()&lt;='Rules &amp; Guardrails'!$C$5,"At Risk","In Progress")))))</f>
        <v/>
      </c>
      <c r="AG250" s="28" t="str">
        <f aca="false">IF($O250="","",IF(OR($AE250="Launched",$AE250="Cancelled"),"",MID(IF($Y250&lt;&gt;"Approved",", Content approval","")&amp;IF(NOT(OR($Z250="Yes",$Z250="N/A")),", Assets","")&amp;IF(NOT(OR($AA250="Yes",$AA250="N/A")),", List","")&amp;IF($AB250="",", Ops decision",IF(AND($AB250="Yes",$AD250&lt;&gt;"Yes"),", Ops",""))&amp;IF($U250="",", Owner","")&amp;IF($K250="",", Segment",""),3,200)))</f>
        <v/>
      </c>
      <c r="AH250" s="29" t="str">
        <f aca="true">IF($O250="","",$O250-TODAY())</f>
        <v/>
      </c>
      <c r="AI250" s="26" t="str">
        <f aca="false">IF($O250="","",$O250-WEEKDAY($O250,3))</f>
        <v/>
      </c>
      <c r="AJ250" s="30" t="str">
        <f aca="false">IF($O250="","",DATE(YEAR($O250),MONTH($O250),1))</f>
        <v/>
      </c>
      <c r="AK250" s="31" t="str">
        <f aca="false">IF(OR($O250="",$K250=""),"",COUNTIFS('Comms Calendar'!$K$5:$K$504,$K250,'Comms Calendar'!$B$5:$B$504,$B250,'Comms Calendar'!$AI$5:$AI$504,$AI250,'Comms Calendar'!$AE$5:$AE$504,"&lt;&gt;Cancelled"))</f>
        <v/>
      </c>
      <c r="AL250" s="27" t="str">
        <f aca="false">IF($AK250="","",IF($AK250&gt;'Rules &amp; Guardrails'!$C$3,"Over cap","OK"))</f>
        <v/>
      </c>
      <c r="AM250" s="27" t="str">
        <f aca="false">IF(OR($O250="",$K250=""),"",IF(COUNTIFS('Comms Calendar'!$K$5:$K$504,$K250,'Comms Calendar'!$B$5:$B$504,$B250,'Comms Calendar'!$O$5:$O$504,$O250,'Comms Calendar'!$AE$5:$AE$504,"&lt;&gt;Cancelled")&gt;1,"Clash",""))</f>
        <v/>
      </c>
      <c r="AN250" s="27" t="str">
        <f aca="false">IF($O250="","",IF(IF($B250="Global",COUNTIF('Rules &amp; Guardrails'!$F$9:$F$60,$O250),COUNTIFS('Rules &amp; Guardrails'!$F$9:$F$60,$O250,'Rules &amp; Guardrails'!$G$9:$G$60,$B250)+COUNTIFS('Rules &amp; Guardrails'!$F$9:$F$60,$O250,'Rules &amp; Guardrails'!$G$9:$G$60,"Global"))&gt;0,"Blackout",""))</f>
        <v/>
      </c>
      <c r="AO250" s="6"/>
      <c r="AP250" s="25"/>
      <c r="AQ250" s="23"/>
      <c r="AR250" s="31" t="str">
        <f aca="false">IF($D250="","",IFERROR(VLOOKUP($D250,'Rules &amp; Guardrails'!$A$9:$D$24,2,0),"Other"))</f>
        <v/>
      </c>
      <c r="AS250" s="31" t="str">
        <f aca="false">IF($O250="","",$O250&amp;"|"&amp;$B250)</f>
        <v/>
      </c>
    </row>
    <row r="251" customFormat="false" ht="15" hidden="false" customHeight="false" outlineLevel="0" collapsed="false">
      <c r="A251" s="23"/>
      <c r="B251" s="23"/>
      <c r="C251" s="23"/>
      <c r="D251" s="23"/>
      <c r="E251" s="23"/>
      <c r="F251" s="23"/>
      <c r="G251" s="6"/>
      <c r="H251" s="6"/>
      <c r="I251" s="23"/>
      <c r="J251" s="23"/>
      <c r="K251" s="23"/>
      <c r="L251" s="6"/>
      <c r="M251" s="6"/>
      <c r="N251" s="24"/>
      <c r="O251" s="25"/>
      <c r="P251" s="23"/>
      <c r="Q251" s="23"/>
      <c r="R251" s="23"/>
      <c r="S251" s="23"/>
      <c r="T251" s="26" t="str">
        <f aca="false">IF(OR($O251="",$D251=""),"",WORKDAY($O251,-IFERROR(VLOOKUP($D251,'Rules &amp; Guardrails'!$A$9:$D$24,3,0),10)))</f>
        <v/>
      </c>
      <c r="U251" s="23"/>
      <c r="V251" s="23"/>
      <c r="W251" s="23"/>
      <c r="X251" s="6"/>
      <c r="Y251" s="23"/>
      <c r="Z251" s="23"/>
      <c r="AA251" s="23"/>
      <c r="AB251" s="23"/>
      <c r="AC251" s="23"/>
      <c r="AD251" s="23"/>
      <c r="AE251" s="23"/>
      <c r="AF251" s="27" t="str">
        <f aca="true">IF($O251="","",IF(OR($AE251="Cancelled",$AE251="On hold",$AE251="Launched"),$AE251,IF(AND($Y251="Approved",OR($Z251="Yes",$Z251="N/A"),OR($AA251="Yes",$AA251="N/A"),OR($AB251="No",$AB251="N/A",AND($AB251="Yes",$AD251="Yes"))),"Ready",IF($O251&lt;TODAY(),"Overdue",IF($O251-TODAY()&lt;='Rules &amp; Guardrails'!$C$5,"At Risk","In Progress")))))</f>
        <v/>
      </c>
      <c r="AG251" s="28" t="str">
        <f aca="false">IF($O251="","",IF(OR($AE251="Launched",$AE251="Cancelled"),"",MID(IF($Y251&lt;&gt;"Approved",", Content approval","")&amp;IF(NOT(OR($Z251="Yes",$Z251="N/A")),", Assets","")&amp;IF(NOT(OR($AA251="Yes",$AA251="N/A")),", List","")&amp;IF($AB251="",", Ops decision",IF(AND($AB251="Yes",$AD251&lt;&gt;"Yes"),", Ops",""))&amp;IF($U251="",", Owner","")&amp;IF($K251="",", Segment",""),3,200)))</f>
        <v/>
      </c>
      <c r="AH251" s="29" t="str">
        <f aca="true">IF($O251="","",$O251-TODAY())</f>
        <v/>
      </c>
      <c r="AI251" s="26" t="str">
        <f aca="false">IF($O251="","",$O251-WEEKDAY($O251,3))</f>
        <v/>
      </c>
      <c r="AJ251" s="30" t="str">
        <f aca="false">IF($O251="","",DATE(YEAR($O251),MONTH($O251),1))</f>
        <v/>
      </c>
      <c r="AK251" s="31" t="str">
        <f aca="false">IF(OR($O251="",$K251=""),"",COUNTIFS('Comms Calendar'!$K$5:$K$504,$K251,'Comms Calendar'!$B$5:$B$504,$B251,'Comms Calendar'!$AI$5:$AI$504,$AI251,'Comms Calendar'!$AE$5:$AE$504,"&lt;&gt;Cancelled"))</f>
        <v/>
      </c>
      <c r="AL251" s="27" t="str">
        <f aca="false">IF($AK251="","",IF($AK251&gt;'Rules &amp; Guardrails'!$C$3,"Over cap","OK"))</f>
        <v/>
      </c>
      <c r="AM251" s="27" t="str">
        <f aca="false">IF(OR($O251="",$K251=""),"",IF(COUNTIFS('Comms Calendar'!$K$5:$K$504,$K251,'Comms Calendar'!$B$5:$B$504,$B251,'Comms Calendar'!$O$5:$O$504,$O251,'Comms Calendar'!$AE$5:$AE$504,"&lt;&gt;Cancelled")&gt;1,"Clash",""))</f>
        <v/>
      </c>
      <c r="AN251" s="27" t="str">
        <f aca="false">IF($O251="","",IF(IF($B251="Global",COUNTIF('Rules &amp; Guardrails'!$F$9:$F$60,$O251),COUNTIFS('Rules &amp; Guardrails'!$F$9:$F$60,$O251,'Rules &amp; Guardrails'!$G$9:$G$60,$B251)+COUNTIFS('Rules &amp; Guardrails'!$F$9:$F$60,$O251,'Rules &amp; Guardrails'!$G$9:$G$60,"Global"))&gt;0,"Blackout",""))</f>
        <v/>
      </c>
      <c r="AO251" s="6"/>
      <c r="AP251" s="25"/>
      <c r="AQ251" s="23"/>
      <c r="AR251" s="31" t="str">
        <f aca="false">IF($D251="","",IFERROR(VLOOKUP($D251,'Rules &amp; Guardrails'!$A$9:$D$24,2,0),"Other"))</f>
        <v/>
      </c>
      <c r="AS251" s="31" t="str">
        <f aca="false">IF($O251="","",$O251&amp;"|"&amp;$B251)</f>
        <v/>
      </c>
    </row>
    <row r="252" customFormat="false" ht="15" hidden="false" customHeight="false" outlineLevel="0" collapsed="false">
      <c r="A252" s="23"/>
      <c r="B252" s="23"/>
      <c r="C252" s="23"/>
      <c r="D252" s="23"/>
      <c r="E252" s="23"/>
      <c r="F252" s="23"/>
      <c r="G252" s="6"/>
      <c r="H252" s="6"/>
      <c r="I252" s="23"/>
      <c r="J252" s="23"/>
      <c r="K252" s="23"/>
      <c r="L252" s="6"/>
      <c r="M252" s="6"/>
      <c r="N252" s="24"/>
      <c r="O252" s="25"/>
      <c r="P252" s="23"/>
      <c r="Q252" s="23"/>
      <c r="R252" s="23"/>
      <c r="S252" s="23"/>
      <c r="T252" s="26" t="str">
        <f aca="false">IF(OR($O252="",$D252=""),"",WORKDAY($O252,-IFERROR(VLOOKUP($D252,'Rules &amp; Guardrails'!$A$9:$D$24,3,0),10)))</f>
        <v/>
      </c>
      <c r="U252" s="23"/>
      <c r="V252" s="23"/>
      <c r="W252" s="23"/>
      <c r="X252" s="6"/>
      <c r="Y252" s="23"/>
      <c r="Z252" s="23"/>
      <c r="AA252" s="23"/>
      <c r="AB252" s="23"/>
      <c r="AC252" s="23"/>
      <c r="AD252" s="23"/>
      <c r="AE252" s="23"/>
      <c r="AF252" s="27" t="str">
        <f aca="true">IF($O252="","",IF(OR($AE252="Cancelled",$AE252="On hold",$AE252="Launched"),$AE252,IF(AND($Y252="Approved",OR($Z252="Yes",$Z252="N/A"),OR($AA252="Yes",$AA252="N/A"),OR($AB252="No",$AB252="N/A",AND($AB252="Yes",$AD252="Yes"))),"Ready",IF($O252&lt;TODAY(),"Overdue",IF($O252-TODAY()&lt;='Rules &amp; Guardrails'!$C$5,"At Risk","In Progress")))))</f>
        <v/>
      </c>
      <c r="AG252" s="28" t="str">
        <f aca="false">IF($O252="","",IF(OR($AE252="Launched",$AE252="Cancelled"),"",MID(IF($Y252&lt;&gt;"Approved",", Content approval","")&amp;IF(NOT(OR($Z252="Yes",$Z252="N/A")),", Assets","")&amp;IF(NOT(OR($AA252="Yes",$AA252="N/A")),", List","")&amp;IF($AB252="",", Ops decision",IF(AND($AB252="Yes",$AD252&lt;&gt;"Yes"),", Ops",""))&amp;IF($U252="",", Owner","")&amp;IF($K252="",", Segment",""),3,200)))</f>
        <v/>
      </c>
      <c r="AH252" s="29" t="str">
        <f aca="true">IF($O252="","",$O252-TODAY())</f>
        <v/>
      </c>
      <c r="AI252" s="26" t="str">
        <f aca="false">IF($O252="","",$O252-WEEKDAY($O252,3))</f>
        <v/>
      </c>
      <c r="AJ252" s="30" t="str">
        <f aca="false">IF($O252="","",DATE(YEAR($O252),MONTH($O252),1))</f>
        <v/>
      </c>
      <c r="AK252" s="31" t="str">
        <f aca="false">IF(OR($O252="",$K252=""),"",COUNTIFS('Comms Calendar'!$K$5:$K$504,$K252,'Comms Calendar'!$B$5:$B$504,$B252,'Comms Calendar'!$AI$5:$AI$504,$AI252,'Comms Calendar'!$AE$5:$AE$504,"&lt;&gt;Cancelled"))</f>
        <v/>
      </c>
      <c r="AL252" s="27" t="str">
        <f aca="false">IF($AK252="","",IF($AK252&gt;'Rules &amp; Guardrails'!$C$3,"Over cap","OK"))</f>
        <v/>
      </c>
      <c r="AM252" s="27" t="str">
        <f aca="false">IF(OR($O252="",$K252=""),"",IF(COUNTIFS('Comms Calendar'!$K$5:$K$504,$K252,'Comms Calendar'!$B$5:$B$504,$B252,'Comms Calendar'!$O$5:$O$504,$O252,'Comms Calendar'!$AE$5:$AE$504,"&lt;&gt;Cancelled")&gt;1,"Clash",""))</f>
        <v/>
      </c>
      <c r="AN252" s="27" t="str">
        <f aca="false">IF($O252="","",IF(IF($B252="Global",COUNTIF('Rules &amp; Guardrails'!$F$9:$F$60,$O252),COUNTIFS('Rules &amp; Guardrails'!$F$9:$F$60,$O252,'Rules &amp; Guardrails'!$G$9:$G$60,$B252)+COUNTIFS('Rules &amp; Guardrails'!$F$9:$F$60,$O252,'Rules &amp; Guardrails'!$G$9:$G$60,"Global"))&gt;0,"Blackout",""))</f>
        <v/>
      </c>
      <c r="AO252" s="6"/>
      <c r="AP252" s="25"/>
      <c r="AQ252" s="23"/>
      <c r="AR252" s="31" t="str">
        <f aca="false">IF($D252="","",IFERROR(VLOOKUP($D252,'Rules &amp; Guardrails'!$A$9:$D$24,2,0),"Other"))</f>
        <v/>
      </c>
      <c r="AS252" s="31" t="str">
        <f aca="false">IF($O252="","",$O252&amp;"|"&amp;$B252)</f>
        <v/>
      </c>
    </row>
    <row r="253" customFormat="false" ht="15" hidden="false" customHeight="false" outlineLevel="0" collapsed="false">
      <c r="A253" s="23"/>
      <c r="B253" s="23"/>
      <c r="C253" s="23"/>
      <c r="D253" s="23"/>
      <c r="E253" s="23"/>
      <c r="F253" s="23"/>
      <c r="G253" s="6"/>
      <c r="H253" s="6"/>
      <c r="I253" s="23"/>
      <c r="J253" s="23"/>
      <c r="K253" s="23"/>
      <c r="L253" s="6"/>
      <c r="M253" s="6"/>
      <c r="N253" s="24"/>
      <c r="O253" s="25"/>
      <c r="P253" s="23"/>
      <c r="Q253" s="23"/>
      <c r="R253" s="23"/>
      <c r="S253" s="23"/>
      <c r="T253" s="26" t="str">
        <f aca="false">IF(OR($O253="",$D253=""),"",WORKDAY($O253,-IFERROR(VLOOKUP($D253,'Rules &amp; Guardrails'!$A$9:$D$24,3,0),10)))</f>
        <v/>
      </c>
      <c r="U253" s="23"/>
      <c r="V253" s="23"/>
      <c r="W253" s="23"/>
      <c r="X253" s="6"/>
      <c r="Y253" s="23"/>
      <c r="Z253" s="23"/>
      <c r="AA253" s="23"/>
      <c r="AB253" s="23"/>
      <c r="AC253" s="23"/>
      <c r="AD253" s="23"/>
      <c r="AE253" s="23"/>
      <c r="AF253" s="27" t="str">
        <f aca="true">IF($O253="","",IF(OR($AE253="Cancelled",$AE253="On hold",$AE253="Launched"),$AE253,IF(AND($Y253="Approved",OR($Z253="Yes",$Z253="N/A"),OR($AA253="Yes",$AA253="N/A"),OR($AB253="No",$AB253="N/A",AND($AB253="Yes",$AD253="Yes"))),"Ready",IF($O253&lt;TODAY(),"Overdue",IF($O253-TODAY()&lt;='Rules &amp; Guardrails'!$C$5,"At Risk","In Progress")))))</f>
        <v/>
      </c>
      <c r="AG253" s="28" t="str">
        <f aca="false">IF($O253="","",IF(OR($AE253="Launched",$AE253="Cancelled"),"",MID(IF($Y253&lt;&gt;"Approved",", Content approval","")&amp;IF(NOT(OR($Z253="Yes",$Z253="N/A")),", Assets","")&amp;IF(NOT(OR($AA253="Yes",$AA253="N/A")),", List","")&amp;IF($AB253="",", Ops decision",IF(AND($AB253="Yes",$AD253&lt;&gt;"Yes"),", Ops",""))&amp;IF($U253="",", Owner","")&amp;IF($K253="",", Segment",""),3,200)))</f>
        <v/>
      </c>
      <c r="AH253" s="29" t="str">
        <f aca="true">IF($O253="","",$O253-TODAY())</f>
        <v/>
      </c>
      <c r="AI253" s="26" t="str">
        <f aca="false">IF($O253="","",$O253-WEEKDAY($O253,3))</f>
        <v/>
      </c>
      <c r="AJ253" s="30" t="str">
        <f aca="false">IF($O253="","",DATE(YEAR($O253),MONTH($O253),1))</f>
        <v/>
      </c>
      <c r="AK253" s="31" t="str">
        <f aca="false">IF(OR($O253="",$K253=""),"",COUNTIFS('Comms Calendar'!$K$5:$K$504,$K253,'Comms Calendar'!$B$5:$B$504,$B253,'Comms Calendar'!$AI$5:$AI$504,$AI253,'Comms Calendar'!$AE$5:$AE$504,"&lt;&gt;Cancelled"))</f>
        <v/>
      </c>
      <c r="AL253" s="27" t="str">
        <f aca="false">IF($AK253="","",IF($AK253&gt;'Rules &amp; Guardrails'!$C$3,"Over cap","OK"))</f>
        <v/>
      </c>
      <c r="AM253" s="27" t="str">
        <f aca="false">IF(OR($O253="",$K253=""),"",IF(COUNTIFS('Comms Calendar'!$K$5:$K$504,$K253,'Comms Calendar'!$B$5:$B$504,$B253,'Comms Calendar'!$O$5:$O$504,$O253,'Comms Calendar'!$AE$5:$AE$504,"&lt;&gt;Cancelled")&gt;1,"Clash",""))</f>
        <v/>
      </c>
      <c r="AN253" s="27" t="str">
        <f aca="false">IF($O253="","",IF(IF($B253="Global",COUNTIF('Rules &amp; Guardrails'!$F$9:$F$60,$O253),COUNTIFS('Rules &amp; Guardrails'!$F$9:$F$60,$O253,'Rules &amp; Guardrails'!$G$9:$G$60,$B253)+COUNTIFS('Rules &amp; Guardrails'!$F$9:$F$60,$O253,'Rules &amp; Guardrails'!$G$9:$G$60,"Global"))&gt;0,"Blackout",""))</f>
        <v/>
      </c>
      <c r="AO253" s="6"/>
      <c r="AP253" s="25"/>
      <c r="AQ253" s="23"/>
      <c r="AR253" s="31" t="str">
        <f aca="false">IF($D253="","",IFERROR(VLOOKUP($D253,'Rules &amp; Guardrails'!$A$9:$D$24,2,0),"Other"))</f>
        <v/>
      </c>
      <c r="AS253" s="31" t="str">
        <f aca="false">IF($O253="","",$O253&amp;"|"&amp;$B253)</f>
        <v/>
      </c>
    </row>
    <row r="254" customFormat="false" ht="15" hidden="false" customHeight="false" outlineLevel="0" collapsed="false">
      <c r="A254" s="23"/>
      <c r="B254" s="23"/>
      <c r="C254" s="23"/>
      <c r="D254" s="23"/>
      <c r="E254" s="23"/>
      <c r="F254" s="23"/>
      <c r="G254" s="6"/>
      <c r="H254" s="6"/>
      <c r="I254" s="23"/>
      <c r="J254" s="23"/>
      <c r="K254" s="23"/>
      <c r="L254" s="6"/>
      <c r="M254" s="6"/>
      <c r="N254" s="24"/>
      <c r="O254" s="25"/>
      <c r="P254" s="23"/>
      <c r="Q254" s="23"/>
      <c r="R254" s="23"/>
      <c r="S254" s="23"/>
      <c r="T254" s="26" t="str">
        <f aca="false">IF(OR($O254="",$D254=""),"",WORKDAY($O254,-IFERROR(VLOOKUP($D254,'Rules &amp; Guardrails'!$A$9:$D$24,3,0),10)))</f>
        <v/>
      </c>
      <c r="U254" s="23"/>
      <c r="V254" s="23"/>
      <c r="W254" s="23"/>
      <c r="X254" s="6"/>
      <c r="Y254" s="23"/>
      <c r="Z254" s="23"/>
      <c r="AA254" s="23"/>
      <c r="AB254" s="23"/>
      <c r="AC254" s="23"/>
      <c r="AD254" s="23"/>
      <c r="AE254" s="23"/>
      <c r="AF254" s="27" t="str">
        <f aca="true">IF($O254="","",IF(OR($AE254="Cancelled",$AE254="On hold",$AE254="Launched"),$AE254,IF(AND($Y254="Approved",OR($Z254="Yes",$Z254="N/A"),OR($AA254="Yes",$AA254="N/A"),OR($AB254="No",$AB254="N/A",AND($AB254="Yes",$AD254="Yes"))),"Ready",IF($O254&lt;TODAY(),"Overdue",IF($O254-TODAY()&lt;='Rules &amp; Guardrails'!$C$5,"At Risk","In Progress")))))</f>
        <v/>
      </c>
      <c r="AG254" s="28" t="str">
        <f aca="false">IF($O254="","",IF(OR($AE254="Launched",$AE254="Cancelled"),"",MID(IF($Y254&lt;&gt;"Approved",", Content approval","")&amp;IF(NOT(OR($Z254="Yes",$Z254="N/A")),", Assets","")&amp;IF(NOT(OR($AA254="Yes",$AA254="N/A")),", List","")&amp;IF($AB254="",", Ops decision",IF(AND($AB254="Yes",$AD254&lt;&gt;"Yes"),", Ops",""))&amp;IF($U254="",", Owner","")&amp;IF($K254="",", Segment",""),3,200)))</f>
        <v/>
      </c>
      <c r="AH254" s="29" t="str">
        <f aca="true">IF($O254="","",$O254-TODAY())</f>
        <v/>
      </c>
      <c r="AI254" s="26" t="str">
        <f aca="false">IF($O254="","",$O254-WEEKDAY($O254,3))</f>
        <v/>
      </c>
      <c r="AJ254" s="30" t="str">
        <f aca="false">IF($O254="","",DATE(YEAR($O254),MONTH($O254),1))</f>
        <v/>
      </c>
      <c r="AK254" s="31" t="str">
        <f aca="false">IF(OR($O254="",$K254=""),"",COUNTIFS('Comms Calendar'!$K$5:$K$504,$K254,'Comms Calendar'!$B$5:$B$504,$B254,'Comms Calendar'!$AI$5:$AI$504,$AI254,'Comms Calendar'!$AE$5:$AE$504,"&lt;&gt;Cancelled"))</f>
        <v/>
      </c>
      <c r="AL254" s="27" t="str">
        <f aca="false">IF($AK254="","",IF($AK254&gt;'Rules &amp; Guardrails'!$C$3,"Over cap","OK"))</f>
        <v/>
      </c>
      <c r="AM254" s="27" t="str">
        <f aca="false">IF(OR($O254="",$K254=""),"",IF(COUNTIFS('Comms Calendar'!$K$5:$K$504,$K254,'Comms Calendar'!$B$5:$B$504,$B254,'Comms Calendar'!$O$5:$O$504,$O254,'Comms Calendar'!$AE$5:$AE$504,"&lt;&gt;Cancelled")&gt;1,"Clash",""))</f>
        <v/>
      </c>
      <c r="AN254" s="27" t="str">
        <f aca="false">IF($O254="","",IF(IF($B254="Global",COUNTIF('Rules &amp; Guardrails'!$F$9:$F$60,$O254),COUNTIFS('Rules &amp; Guardrails'!$F$9:$F$60,$O254,'Rules &amp; Guardrails'!$G$9:$G$60,$B254)+COUNTIFS('Rules &amp; Guardrails'!$F$9:$F$60,$O254,'Rules &amp; Guardrails'!$G$9:$G$60,"Global"))&gt;0,"Blackout",""))</f>
        <v/>
      </c>
      <c r="AO254" s="6"/>
      <c r="AP254" s="25"/>
      <c r="AQ254" s="23"/>
      <c r="AR254" s="31" t="str">
        <f aca="false">IF($D254="","",IFERROR(VLOOKUP($D254,'Rules &amp; Guardrails'!$A$9:$D$24,2,0),"Other"))</f>
        <v/>
      </c>
      <c r="AS254" s="31" t="str">
        <f aca="false">IF($O254="","",$O254&amp;"|"&amp;$B254)</f>
        <v/>
      </c>
    </row>
    <row r="255" customFormat="false" ht="15" hidden="false" customHeight="false" outlineLevel="0" collapsed="false">
      <c r="A255" s="23"/>
      <c r="B255" s="23"/>
      <c r="C255" s="23"/>
      <c r="D255" s="23"/>
      <c r="E255" s="23"/>
      <c r="F255" s="23"/>
      <c r="G255" s="6"/>
      <c r="H255" s="6"/>
      <c r="I255" s="23"/>
      <c r="J255" s="23"/>
      <c r="K255" s="23"/>
      <c r="L255" s="6"/>
      <c r="M255" s="6"/>
      <c r="N255" s="24"/>
      <c r="O255" s="25"/>
      <c r="P255" s="23"/>
      <c r="Q255" s="23"/>
      <c r="R255" s="23"/>
      <c r="S255" s="23"/>
      <c r="T255" s="26" t="str">
        <f aca="false">IF(OR($O255="",$D255=""),"",WORKDAY($O255,-IFERROR(VLOOKUP($D255,'Rules &amp; Guardrails'!$A$9:$D$24,3,0),10)))</f>
        <v/>
      </c>
      <c r="U255" s="23"/>
      <c r="V255" s="23"/>
      <c r="W255" s="23"/>
      <c r="X255" s="6"/>
      <c r="Y255" s="23"/>
      <c r="Z255" s="23"/>
      <c r="AA255" s="23"/>
      <c r="AB255" s="23"/>
      <c r="AC255" s="23"/>
      <c r="AD255" s="23"/>
      <c r="AE255" s="23"/>
      <c r="AF255" s="27" t="str">
        <f aca="true">IF($O255="","",IF(OR($AE255="Cancelled",$AE255="On hold",$AE255="Launched"),$AE255,IF(AND($Y255="Approved",OR($Z255="Yes",$Z255="N/A"),OR($AA255="Yes",$AA255="N/A"),OR($AB255="No",$AB255="N/A",AND($AB255="Yes",$AD255="Yes"))),"Ready",IF($O255&lt;TODAY(),"Overdue",IF($O255-TODAY()&lt;='Rules &amp; Guardrails'!$C$5,"At Risk","In Progress")))))</f>
        <v/>
      </c>
      <c r="AG255" s="28" t="str">
        <f aca="false">IF($O255="","",IF(OR($AE255="Launched",$AE255="Cancelled"),"",MID(IF($Y255&lt;&gt;"Approved",", Content approval","")&amp;IF(NOT(OR($Z255="Yes",$Z255="N/A")),", Assets","")&amp;IF(NOT(OR($AA255="Yes",$AA255="N/A")),", List","")&amp;IF($AB255="",", Ops decision",IF(AND($AB255="Yes",$AD255&lt;&gt;"Yes"),", Ops",""))&amp;IF($U255="",", Owner","")&amp;IF($K255="",", Segment",""),3,200)))</f>
        <v/>
      </c>
      <c r="AH255" s="29" t="str">
        <f aca="true">IF($O255="","",$O255-TODAY())</f>
        <v/>
      </c>
      <c r="AI255" s="26" t="str">
        <f aca="false">IF($O255="","",$O255-WEEKDAY($O255,3))</f>
        <v/>
      </c>
      <c r="AJ255" s="30" t="str">
        <f aca="false">IF($O255="","",DATE(YEAR($O255),MONTH($O255),1))</f>
        <v/>
      </c>
      <c r="AK255" s="31" t="str">
        <f aca="false">IF(OR($O255="",$K255=""),"",COUNTIFS('Comms Calendar'!$K$5:$K$504,$K255,'Comms Calendar'!$B$5:$B$504,$B255,'Comms Calendar'!$AI$5:$AI$504,$AI255,'Comms Calendar'!$AE$5:$AE$504,"&lt;&gt;Cancelled"))</f>
        <v/>
      </c>
      <c r="AL255" s="27" t="str">
        <f aca="false">IF($AK255="","",IF($AK255&gt;'Rules &amp; Guardrails'!$C$3,"Over cap","OK"))</f>
        <v/>
      </c>
      <c r="AM255" s="27" t="str">
        <f aca="false">IF(OR($O255="",$K255=""),"",IF(COUNTIFS('Comms Calendar'!$K$5:$K$504,$K255,'Comms Calendar'!$B$5:$B$504,$B255,'Comms Calendar'!$O$5:$O$504,$O255,'Comms Calendar'!$AE$5:$AE$504,"&lt;&gt;Cancelled")&gt;1,"Clash",""))</f>
        <v/>
      </c>
      <c r="AN255" s="27" t="str">
        <f aca="false">IF($O255="","",IF(IF($B255="Global",COUNTIF('Rules &amp; Guardrails'!$F$9:$F$60,$O255),COUNTIFS('Rules &amp; Guardrails'!$F$9:$F$60,$O255,'Rules &amp; Guardrails'!$G$9:$G$60,$B255)+COUNTIFS('Rules &amp; Guardrails'!$F$9:$F$60,$O255,'Rules &amp; Guardrails'!$G$9:$G$60,"Global"))&gt;0,"Blackout",""))</f>
        <v/>
      </c>
      <c r="AO255" s="6"/>
      <c r="AP255" s="25"/>
      <c r="AQ255" s="23"/>
      <c r="AR255" s="31" t="str">
        <f aca="false">IF($D255="","",IFERROR(VLOOKUP($D255,'Rules &amp; Guardrails'!$A$9:$D$24,2,0),"Other"))</f>
        <v/>
      </c>
      <c r="AS255" s="31" t="str">
        <f aca="false">IF($O255="","",$O255&amp;"|"&amp;$B255)</f>
        <v/>
      </c>
    </row>
    <row r="256" customFormat="false" ht="15" hidden="false" customHeight="false" outlineLevel="0" collapsed="false">
      <c r="A256" s="23"/>
      <c r="B256" s="23"/>
      <c r="C256" s="23"/>
      <c r="D256" s="23"/>
      <c r="E256" s="23"/>
      <c r="F256" s="23"/>
      <c r="G256" s="6"/>
      <c r="H256" s="6"/>
      <c r="I256" s="23"/>
      <c r="J256" s="23"/>
      <c r="K256" s="23"/>
      <c r="L256" s="6"/>
      <c r="M256" s="6"/>
      <c r="N256" s="24"/>
      <c r="O256" s="25"/>
      <c r="P256" s="23"/>
      <c r="Q256" s="23"/>
      <c r="R256" s="23"/>
      <c r="S256" s="23"/>
      <c r="T256" s="26" t="str">
        <f aca="false">IF(OR($O256="",$D256=""),"",WORKDAY($O256,-IFERROR(VLOOKUP($D256,'Rules &amp; Guardrails'!$A$9:$D$24,3,0),10)))</f>
        <v/>
      </c>
      <c r="U256" s="23"/>
      <c r="V256" s="23"/>
      <c r="W256" s="23"/>
      <c r="X256" s="6"/>
      <c r="Y256" s="23"/>
      <c r="Z256" s="23"/>
      <c r="AA256" s="23"/>
      <c r="AB256" s="23"/>
      <c r="AC256" s="23"/>
      <c r="AD256" s="23"/>
      <c r="AE256" s="23"/>
      <c r="AF256" s="27" t="str">
        <f aca="true">IF($O256="","",IF(OR($AE256="Cancelled",$AE256="On hold",$AE256="Launched"),$AE256,IF(AND($Y256="Approved",OR($Z256="Yes",$Z256="N/A"),OR($AA256="Yes",$AA256="N/A"),OR($AB256="No",$AB256="N/A",AND($AB256="Yes",$AD256="Yes"))),"Ready",IF($O256&lt;TODAY(),"Overdue",IF($O256-TODAY()&lt;='Rules &amp; Guardrails'!$C$5,"At Risk","In Progress")))))</f>
        <v/>
      </c>
      <c r="AG256" s="28" t="str">
        <f aca="false">IF($O256="","",IF(OR($AE256="Launched",$AE256="Cancelled"),"",MID(IF($Y256&lt;&gt;"Approved",", Content approval","")&amp;IF(NOT(OR($Z256="Yes",$Z256="N/A")),", Assets","")&amp;IF(NOT(OR($AA256="Yes",$AA256="N/A")),", List","")&amp;IF($AB256="",", Ops decision",IF(AND($AB256="Yes",$AD256&lt;&gt;"Yes"),", Ops",""))&amp;IF($U256="",", Owner","")&amp;IF($K256="",", Segment",""),3,200)))</f>
        <v/>
      </c>
      <c r="AH256" s="29" t="str">
        <f aca="true">IF($O256="","",$O256-TODAY())</f>
        <v/>
      </c>
      <c r="AI256" s="26" t="str">
        <f aca="false">IF($O256="","",$O256-WEEKDAY($O256,3))</f>
        <v/>
      </c>
      <c r="AJ256" s="30" t="str">
        <f aca="false">IF($O256="","",DATE(YEAR($O256),MONTH($O256),1))</f>
        <v/>
      </c>
      <c r="AK256" s="31" t="str">
        <f aca="false">IF(OR($O256="",$K256=""),"",COUNTIFS('Comms Calendar'!$K$5:$K$504,$K256,'Comms Calendar'!$B$5:$B$504,$B256,'Comms Calendar'!$AI$5:$AI$504,$AI256,'Comms Calendar'!$AE$5:$AE$504,"&lt;&gt;Cancelled"))</f>
        <v/>
      </c>
      <c r="AL256" s="27" t="str">
        <f aca="false">IF($AK256="","",IF($AK256&gt;'Rules &amp; Guardrails'!$C$3,"Over cap","OK"))</f>
        <v/>
      </c>
      <c r="AM256" s="27" t="str">
        <f aca="false">IF(OR($O256="",$K256=""),"",IF(COUNTIFS('Comms Calendar'!$K$5:$K$504,$K256,'Comms Calendar'!$B$5:$B$504,$B256,'Comms Calendar'!$O$5:$O$504,$O256,'Comms Calendar'!$AE$5:$AE$504,"&lt;&gt;Cancelled")&gt;1,"Clash",""))</f>
        <v/>
      </c>
      <c r="AN256" s="27" t="str">
        <f aca="false">IF($O256="","",IF(IF($B256="Global",COUNTIF('Rules &amp; Guardrails'!$F$9:$F$60,$O256),COUNTIFS('Rules &amp; Guardrails'!$F$9:$F$60,$O256,'Rules &amp; Guardrails'!$G$9:$G$60,$B256)+COUNTIFS('Rules &amp; Guardrails'!$F$9:$F$60,$O256,'Rules &amp; Guardrails'!$G$9:$G$60,"Global"))&gt;0,"Blackout",""))</f>
        <v/>
      </c>
      <c r="AO256" s="6"/>
      <c r="AP256" s="25"/>
      <c r="AQ256" s="23"/>
      <c r="AR256" s="31" t="str">
        <f aca="false">IF($D256="","",IFERROR(VLOOKUP($D256,'Rules &amp; Guardrails'!$A$9:$D$24,2,0),"Other"))</f>
        <v/>
      </c>
      <c r="AS256" s="31" t="str">
        <f aca="false">IF($O256="","",$O256&amp;"|"&amp;$B256)</f>
        <v/>
      </c>
    </row>
    <row r="257" customFormat="false" ht="15" hidden="false" customHeight="false" outlineLevel="0" collapsed="false">
      <c r="A257" s="23"/>
      <c r="B257" s="23"/>
      <c r="C257" s="23"/>
      <c r="D257" s="23"/>
      <c r="E257" s="23"/>
      <c r="F257" s="23"/>
      <c r="G257" s="6"/>
      <c r="H257" s="6"/>
      <c r="I257" s="23"/>
      <c r="J257" s="23"/>
      <c r="K257" s="23"/>
      <c r="L257" s="6"/>
      <c r="M257" s="6"/>
      <c r="N257" s="24"/>
      <c r="O257" s="25"/>
      <c r="P257" s="23"/>
      <c r="Q257" s="23"/>
      <c r="R257" s="23"/>
      <c r="S257" s="23"/>
      <c r="T257" s="26" t="str">
        <f aca="false">IF(OR($O257="",$D257=""),"",WORKDAY($O257,-IFERROR(VLOOKUP($D257,'Rules &amp; Guardrails'!$A$9:$D$24,3,0),10)))</f>
        <v/>
      </c>
      <c r="U257" s="23"/>
      <c r="V257" s="23"/>
      <c r="W257" s="23"/>
      <c r="X257" s="6"/>
      <c r="Y257" s="23"/>
      <c r="Z257" s="23"/>
      <c r="AA257" s="23"/>
      <c r="AB257" s="23"/>
      <c r="AC257" s="23"/>
      <c r="AD257" s="23"/>
      <c r="AE257" s="23"/>
      <c r="AF257" s="27" t="str">
        <f aca="true">IF($O257="","",IF(OR($AE257="Cancelled",$AE257="On hold",$AE257="Launched"),$AE257,IF(AND($Y257="Approved",OR($Z257="Yes",$Z257="N/A"),OR($AA257="Yes",$AA257="N/A"),OR($AB257="No",$AB257="N/A",AND($AB257="Yes",$AD257="Yes"))),"Ready",IF($O257&lt;TODAY(),"Overdue",IF($O257-TODAY()&lt;='Rules &amp; Guardrails'!$C$5,"At Risk","In Progress")))))</f>
        <v/>
      </c>
      <c r="AG257" s="28" t="str">
        <f aca="false">IF($O257="","",IF(OR($AE257="Launched",$AE257="Cancelled"),"",MID(IF($Y257&lt;&gt;"Approved",", Content approval","")&amp;IF(NOT(OR($Z257="Yes",$Z257="N/A")),", Assets","")&amp;IF(NOT(OR($AA257="Yes",$AA257="N/A")),", List","")&amp;IF($AB257="",", Ops decision",IF(AND($AB257="Yes",$AD257&lt;&gt;"Yes"),", Ops",""))&amp;IF($U257="",", Owner","")&amp;IF($K257="",", Segment",""),3,200)))</f>
        <v/>
      </c>
      <c r="AH257" s="29" t="str">
        <f aca="true">IF($O257="","",$O257-TODAY())</f>
        <v/>
      </c>
      <c r="AI257" s="26" t="str">
        <f aca="false">IF($O257="","",$O257-WEEKDAY($O257,3))</f>
        <v/>
      </c>
      <c r="AJ257" s="30" t="str">
        <f aca="false">IF($O257="","",DATE(YEAR($O257),MONTH($O257),1))</f>
        <v/>
      </c>
      <c r="AK257" s="31" t="str">
        <f aca="false">IF(OR($O257="",$K257=""),"",COUNTIFS('Comms Calendar'!$K$5:$K$504,$K257,'Comms Calendar'!$B$5:$B$504,$B257,'Comms Calendar'!$AI$5:$AI$504,$AI257,'Comms Calendar'!$AE$5:$AE$504,"&lt;&gt;Cancelled"))</f>
        <v/>
      </c>
      <c r="AL257" s="27" t="str">
        <f aca="false">IF($AK257="","",IF($AK257&gt;'Rules &amp; Guardrails'!$C$3,"Over cap","OK"))</f>
        <v/>
      </c>
      <c r="AM257" s="27" t="str">
        <f aca="false">IF(OR($O257="",$K257=""),"",IF(COUNTIFS('Comms Calendar'!$K$5:$K$504,$K257,'Comms Calendar'!$B$5:$B$504,$B257,'Comms Calendar'!$O$5:$O$504,$O257,'Comms Calendar'!$AE$5:$AE$504,"&lt;&gt;Cancelled")&gt;1,"Clash",""))</f>
        <v/>
      </c>
      <c r="AN257" s="27" t="str">
        <f aca="false">IF($O257="","",IF(IF($B257="Global",COUNTIF('Rules &amp; Guardrails'!$F$9:$F$60,$O257),COUNTIFS('Rules &amp; Guardrails'!$F$9:$F$60,$O257,'Rules &amp; Guardrails'!$G$9:$G$60,$B257)+COUNTIFS('Rules &amp; Guardrails'!$F$9:$F$60,$O257,'Rules &amp; Guardrails'!$G$9:$G$60,"Global"))&gt;0,"Blackout",""))</f>
        <v/>
      </c>
      <c r="AO257" s="6"/>
      <c r="AP257" s="25"/>
      <c r="AQ257" s="23"/>
      <c r="AR257" s="31" t="str">
        <f aca="false">IF($D257="","",IFERROR(VLOOKUP($D257,'Rules &amp; Guardrails'!$A$9:$D$24,2,0),"Other"))</f>
        <v/>
      </c>
      <c r="AS257" s="31" t="str">
        <f aca="false">IF($O257="","",$O257&amp;"|"&amp;$B257)</f>
        <v/>
      </c>
    </row>
    <row r="258" customFormat="false" ht="15" hidden="false" customHeight="false" outlineLevel="0" collapsed="false">
      <c r="A258" s="23"/>
      <c r="B258" s="23"/>
      <c r="C258" s="23"/>
      <c r="D258" s="23"/>
      <c r="E258" s="23"/>
      <c r="F258" s="23"/>
      <c r="G258" s="6"/>
      <c r="H258" s="6"/>
      <c r="I258" s="23"/>
      <c r="J258" s="23"/>
      <c r="K258" s="23"/>
      <c r="L258" s="6"/>
      <c r="M258" s="6"/>
      <c r="N258" s="24"/>
      <c r="O258" s="25"/>
      <c r="P258" s="23"/>
      <c r="Q258" s="23"/>
      <c r="R258" s="23"/>
      <c r="S258" s="23"/>
      <c r="T258" s="26" t="str">
        <f aca="false">IF(OR($O258="",$D258=""),"",WORKDAY($O258,-IFERROR(VLOOKUP($D258,'Rules &amp; Guardrails'!$A$9:$D$24,3,0),10)))</f>
        <v/>
      </c>
      <c r="U258" s="23"/>
      <c r="V258" s="23"/>
      <c r="W258" s="23"/>
      <c r="X258" s="6"/>
      <c r="Y258" s="23"/>
      <c r="Z258" s="23"/>
      <c r="AA258" s="23"/>
      <c r="AB258" s="23"/>
      <c r="AC258" s="23"/>
      <c r="AD258" s="23"/>
      <c r="AE258" s="23"/>
      <c r="AF258" s="27" t="str">
        <f aca="true">IF($O258="","",IF(OR($AE258="Cancelled",$AE258="On hold",$AE258="Launched"),$AE258,IF(AND($Y258="Approved",OR($Z258="Yes",$Z258="N/A"),OR($AA258="Yes",$AA258="N/A"),OR($AB258="No",$AB258="N/A",AND($AB258="Yes",$AD258="Yes"))),"Ready",IF($O258&lt;TODAY(),"Overdue",IF($O258-TODAY()&lt;='Rules &amp; Guardrails'!$C$5,"At Risk","In Progress")))))</f>
        <v/>
      </c>
      <c r="AG258" s="28" t="str">
        <f aca="false">IF($O258="","",IF(OR($AE258="Launched",$AE258="Cancelled"),"",MID(IF($Y258&lt;&gt;"Approved",", Content approval","")&amp;IF(NOT(OR($Z258="Yes",$Z258="N/A")),", Assets","")&amp;IF(NOT(OR($AA258="Yes",$AA258="N/A")),", List","")&amp;IF($AB258="",", Ops decision",IF(AND($AB258="Yes",$AD258&lt;&gt;"Yes"),", Ops",""))&amp;IF($U258="",", Owner","")&amp;IF($K258="",", Segment",""),3,200)))</f>
        <v/>
      </c>
      <c r="AH258" s="29" t="str">
        <f aca="true">IF($O258="","",$O258-TODAY())</f>
        <v/>
      </c>
      <c r="AI258" s="26" t="str">
        <f aca="false">IF($O258="","",$O258-WEEKDAY($O258,3))</f>
        <v/>
      </c>
      <c r="AJ258" s="30" t="str">
        <f aca="false">IF($O258="","",DATE(YEAR($O258),MONTH($O258),1))</f>
        <v/>
      </c>
      <c r="AK258" s="31" t="str">
        <f aca="false">IF(OR($O258="",$K258=""),"",COUNTIFS('Comms Calendar'!$K$5:$K$504,$K258,'Comms Calendar'!$B$5:$B$504,$B258,'Comms Calendar'!$AI$5:$AI$504,$AI258,'Comms Calendar'!$AE$5:$AE$504,"&lt;&gt;Cancelled"))</f>
        <v/>
      </c>
      <c r="AL258" s="27" t="str">
        <f aca="false">IF($AK258="","",IF($AK258&gt;'Rules &amp; Guardrails'!$C$3,"Over cap","OK"))</f>
        <v/>
      </c>
      <c r="AM258" s="27" t="str">
        <f aca="false">IF(OR($O258="",$K258=""),"",IF(COUNTIFS('Comms Calendar'!$K$5:$K$504,$K258,'Comms Calendar'!$B$5:$B$504,$B258,'Comms Calendar'!$O$5:$O$504,$O258,'Comms Calendar'!$AE$5:$AE$504,"&lt;&gt;Cancelled")&gt;1,"Clash",""))</f>
        <v/>
      </c>
      <c r="AN258" s="27" t="str">
        <f aca="false">IF($O258="","",IF(IF($B258="Global",COUNTIF('Rules &amp; Guardrails'!$F$9:$F$60,$O258),COUNTIFS('Rules &amp; Guardrails'!$F$9:$F$60,$O258,'Rules &amp; Guardrails'!$G$9:$G$60,$B258)+COUNTIFS('Rules &amp; Guardrails'!$F$9:$F$60,$O258,'Rules &amp; Guardrails'!$G$9:$G$60,"Global"))&gt;0,"Blackout",""))</f>
        <v/>
      </c>
      <c r="AO258" s="6"/>
      <c r="AP258" s="25"/>
      <c r="AQ258" s="23"/>
      <c r="AR258" s="31" t="str">
        <f aca="false">IF($D258="","",IFERROR(VLOOKUP($D258,'Rules &amp; Guardrails'!$A$9:$D$24,2,0),"Other"))</f>
        <v/>
      </c>
      <c r="AS258" s="31" t="str">
        <f aca="false">IF($O258="","",$O258&amp;"|"&amp;$B258)</f>
        <v/>
      </c>
    </row>
    <row r="259" customFormat="false" ht="15" hidden="false" customHeight="false" outlineLevel="0" collapsed="false">
      <c r="A259" s="23"/>
      <c r="B259" s="23"/>
      <c r="C259" s="23"/>
      <c r="D259" s="23"/>
      <c r="E259" s="23"/>
      <c r="F259" s="23"/>
      <c r="G259" s="6"/>
      <c r="H259" s="6"/>
      <c r="I259" s="23"/>
      <c r="J259" s="23"/>
      <c r="K259" s="23"/>
      <c r="L259" s="6"/>
      <c r="M259" s="6"/>
      <c r="N259" s="24"/>
      <c r="O259" s="25"/>
      <c r="P259" s="23"/>
      <c r="Q259" s="23"/>
      <c r="R259" s="23"/>
      <c r="S259" s="23"/>
      <c r="T259" s="26" t="str">
        <f aca="false">IF(OR($O259="",$D259=""),"",WORKDAY($O259,-IFERROR(VLOOKUP($D259,'Rules &amp; Guardrails'!$A$9:$D$24,3,0),10)))</f>
        <v/>
      </c>
      <c r="U259" s="23"/>
      <c r="V259" s="23"/>
      <c r="W259" s="23"/>
      <c r="X259" s="6"/>
      <c r="Y259" s="23"/>
      <c r="Z259" s="23"/>
      <c r="AA259" s="23"/>
      <c r="AB259" s="23"/>
      <c r="AC259" s="23"/>
      <c r="AD259" s="23"/>
      <c r="AE259" s="23"/>
      <c r="AF259" s="27" t="str">
        <f aca="true">IF($O259="","",IF(OR($AE259="Cancelled",$AE259="On hold",$AE259="Launched"),$AE259,IF(AND($Y259="Approved",OR($Z259="Yes",$Z259="N/A"),OR($AA259="Yes",$AA259="N/A"),OR($AB259="No",$AB259="N/A",AND($AB259="Yes",$AD259="Yes"))),"Ready",IF($O259&lt;TODAY(),"Overdue",IF($O259-TODAY()&lt;='Rules &amp; Guardrails'!$C$5,"At Risk","In Progress")))))</f>
        <v/>
      </c>
      <c r="AG259" s="28" t="str">
        <f aca="false">IF($O259="","",IF(OR($AE259="Launched",$AE259="Cancelled"),"",MID(IF($Y259&lt;&gt;"Approved",", Content approval","")&amp;IF(NOT(OR($Z259="Yes",$Z259="N/A")),", Assets","")&amp;IF(NOT(OR($AA259="Yes",$AA259="N/A")),", List","")&amp;IF($AB259="",", Ops decision",IF(AND($AB259="Yes",$AD259&lt;&gt;"Yes"),", Ops",""))&amp;IF($U259="",", Owner","")&amp;IF($K259="",", Segment",""),3,200)))</f>
        <v/>
      </c>
      <c r="AH259" s="29" t="str">
        <f aca="true">IF($O259="","",$O259-TODAY())</f>
        <v/>
      </c>
      <c r="AI259" s="26" t="str">
        <f aca="false">IF($O259="","",$O259-WEEKDAY($O259,3))</f>
        <v/>
      </c>
      <c r="AJ259" s="30" t="str">
        <f aca="false">IF($O259="","",DATE(YEAR($O259),MONTH($O259),1))</f>
        <v/>
      </c>
      <c r="AK259" s="31" t="str">
        <f aca="false">IF(OR($O259="",$K259=""),"",COUNTIFS('Comms Calendar'!$K$5:$K$504,$K259,'Comms Calendar'!$B$5:$B$504,$B259,'Comms Calendar'!$AI$5:$AI$504,$AI259,'Comms Calendar'!$AE$5:$AE$504,"&lt;&gt;Cancelled"))</f>
        <v/>
      </c>
      <c r="AL259" s="27" t="str">
        <f aca="false">IF($AK259="","",IF($AK259&gt;'Rules &amp; Guardrails'!$C$3,"Over cap","OK"))</f>
        <v/>
      </c>
      <c r="AM259" s="27" t="str">
        <f aca="false">IF(OR($O259="",$K259=""),"",IF(COUNTIFS('Comms Calendar'!$K$5:$K$504,$K259,'Comms Calendar'!$B$5:$B$504,$B259,'Comms Calendar'!$O$5:$O$504,$O259,'Comms Calendar'!$AE$5:$AE$504,"&lt;&gt;Cancelled")&gt;1,"Clash",""))</f>
        <v/>
      </c>
      <c r="AN259" s="27" t="str">
        <f aca="false">IF($O259="","",IF(IF($B259="Global",COUNTIF('Rules &amp; Guardrails'!$F$9:$F$60,$O259),COUNTIFS('Rules &amp; Guardrails'!$F$9:$F$60,$O259,'Rules &amp; Guardrails'!$G$9:$G$60,$B259)+COUNTIFS('Rules &amp; Guardrails'!$F$9:$F$60,$O259,'Rules &amp; Guardrails'!$G$9:$G$60,"Global"))&gt;0,"Blackout",""))</f>
        <v/>
      </c>
      <c r="AO259" s="6"/>
      <c r="AP259" s="25"/>
      <c r="AQ259" s="23"/>
      <c r="AR259" s="31" t="str">
        <f aca="false">IF($D259="","",IFERROR(VLOOKUP($D259,'Rules &amp; Guardrails'!$A$9:$D$24,2,0),"Other"))</f>
        <v/>
      </c>
      <c r="AS259" s="31" t="str">
        <f aca="false">IF($O259="","",$O259&amp;"|"&amp;$B259)</f>
        <v/>
      </c>
    </row>
    <row r="260" customFormat="false" ht="15" hidden="false" customHeight="false" outlineLevel="0" collapsed="false">
      <c r="A260" s="23"/>
      <c r="B260" s="23"/>
      <c r="C260" s="23"/>
      <c r="D260" s="23"/>
      <c r="E260" s="23"/>
      <c r="F260" s="23"/>
      <c r="G260" s="6"/>
      <c r="H260" s="6"/>
      <c r="I260" s="23"/>
      <c r="J260" s="23"/>
      <c r="K260" s="23"/>
      <c r="L260" s="6"/>
      <c r="M260" s="6"/>
      <c r="N260" s="24"/>
      <c r="O260" s="25"/>
      <c r="P260" s="23"/>
      <c r="Q260" s="23"/>
      <c r="R260" s="23"/>
      <c r="S260" s="23"/>
      <c r="T260" s="26" t="str">
        <f aca="false">IF(OR($O260="",$D260=""),"",WORKDAY($O260,-IFERROR(VLOOKUP($D260,'Rules &amp; Guardrails'!$A$9:$D$24,3,0),10)))</f>
        <v/>
      </c>
      <c r="U260" s="23"/>
      <c r="V260" s="23"/>
      <c r="W260" s="23"/>
      <c r="X260" s="6"/>
      <c r="Y260" s="23"/>
      <c r="Z260" s="23"/>
      <c r="AA260" s="23"/>
      <c r="AB260" s="23"/>
      <c r="AC260" s="23"/>
      <c r="AD260" s="23"/>
      <c r="AE260" s="23"/>
      <c r="AF260" s="27" t="str">
        <f aca="true">IF($O260="","",IF(OR($AE260="Cancelled",$AE260="On hold",$AE260="Launched"),$AE260,IF(AND($Y260="Approved",OR($Z260="Yes",$Z260="N/A"),OR($AA260="Yes",$AA260="N/A"),OR($AB260="No",$AB260="N/A",AND($AB260="Yes",$AD260="Yes"))),"Ready",IF($O260&lt;TODAY(),"Overdue",IF($O260-TODAY()&lt;='Rules &amp; Guardrails'!$C$5,"At Risk","In Progress")))))</f>
        <v/>
      </c>
      <c r="AG260" s="28" t="str">
        <f aca="false">IF($O260="","",IF(OR($AE260="Launched",$AE260="Cancelled"),"",MID(IF($Y260&lt;&gt;"Approved",", Content approval","")&amp;IF(NOT(OR($Z260="Yes",$Z260="N/A")),", Assets","")&amp;IF(NOT(OR($AA260="Yes",$AA260="N/A")),", List","")&amp;IF($AB260="",", Ops decision",IF(AND($AB260="Yes",$AD260&lt;&gt;"Yes"),", Ops",""))&amp;IF($U260="",", Owner","")&amp;IF($K260="",", Segment",""),3,200)))</f>
        <v/>
      </c>
      <c r="AH260" s="29" t="str">
        <f aca="true">IF($O260="","",$O260-TODAY())</f>
        <v/>
      </c>
      <c r="AI260" s="26" t="str">
        <f aca="false">IF($O260="","",$O260-WEEKDAY($O260,3))</f>
        <v/>
      </c>
      <c r="AJ260" s="30" t="str">
        <f aca="false">IF($O260="","",DATE(YEAR($O260),MONTH($O260),1))</f>
        <v/>
      </c>
      <c r="AK260" s="31" t="str">
        <f aca="false">IF(OR($O260="",$K260=""),"",COUNTIFS('Comms Calendar'!$K$5:$K$504,$K260,'Comms Calendar'!$B$5:$B$504,$B260,'Comms Calendar'!$AI$5:$AI$504,$AI260,'Comms Calendar'!$AE$5:$AE$504,"&lt;&gt;Cancelled"))</f>
        <v/>
      </c>
      <c r="AL260" s="27" t="str">
        <f aca="false">IF($AK260="","",IF($AK260&gt;'Rules &amp; Guardrails'!$C$3,"Over cap","OK"))</f>
        <v/>
      </c>
      <c r="AM260" s="27" t="str">
        <f aca="false">IF(OR($O260="",$K260=""),"",IF(COUNTIFS('Comms Calendar'!$K$5:$K$504,$K260,'Comms Calendar'!$B$5:$B$504,$B260,'Comms Calendar'!$O$5:$O$504,$O260,'Comms Calendar'!$AE$5:$AE$504,"&lt;&gt;Cancelled")&gt;1,"Clash",""))</f>
        <v/>
      </c>
      <c r="AN260" s="27" t="str">
        <f aca="false">IF($O260="","",IF(IF($B260="Global",COUNTIF('Rules &amp; Guardrails'!$F$9:$F$60,$O260),COUNTIFS('Rules &amp; Guardrails'!$F$9:$F$60,$O260,'Rules &amp; Guardrails'!$G$9:$G$60,$B260)+COUNTIFS('Rules &amp; Guardrails'!$F$9:$F$60,$O260,'Rules &amp; Guardrails'!$G$9:$G$60,"Global"))&gt;0,"Blackout",""))</f>
        <v/>
      </c>
      <c r="AO260" s="6"/>
      <c r="AP260" s="25"/>
      <c r="AQ260" s="23"/>
      <c r="AR260" s="31" t="str">
        <f aca="false">IF($D260="","",IFERROR(VLOOKUP($D260,'Rules &amp; Guardrails'!$A$9:$D$24,2,0),"Other"))</f>
        <v/>
      </c>
      <c r="AS260" s="31" t="str">
        <f aca="false">IF($O260="","",$O260&amp;"|"&amp;$B260)</f>
        <v/>
      </c>
    </row>
    <row r="261" customFormat="false" ht="15" hidden="false" customHeight="false" outlineLevel="0" collapsed="false">
      <c r="A261" s="23"/>
      <c r="B261" s="23"/>
      <c r="C261" s="23"/>
      <c r="D261" s="23"/>
      <c r="E261" s="23"/>
      <c r="F261" s="23"/>
      <c r="G261" s="6"/>
      <c r="H261" s="6"/>
      <c r="I261" s="23"/>
      <c r="J261" s="23"/>
      <c r="K261" s="23"/>
      <c r="L261" s="6"/>
      <c r="M261" s="6"/>
      <c r="N261" s="24"/>
      <c r="O261" s="25"/>
      <c r="P261" s="23"/>
      <c r="Q261" s="23"/>
      <c r="R261" s="23"/>
      <c r="S261" s="23"/>
      <c r="T261" s="26" t="str">
        <f aca="false">IF(OR($O261="",$D261=""),"",WORKDAY($O261,-IFERROR(VLOOKUP($D261,'Rules &amp; Guardrails'!$A$9:$D$24,3,0),10)))</f>
        <v/>
      </c>
      <c r="U261" s="23"/>
      <c r="V261" s="23"/>
      <c r="W261" s="23"/>
      <c r="X261" s="6"/>
      <c r="Y261" s="23"/>
      <c r="Z261" s="23"/>
      <c r="AA261" s="23"/>
      <c r="AB261" s="23"/>
      <c r="AC261" s="23"/>
      <c r="AD261" s="23"/>
      <c r="AE261" s="23"/>
      <c r="AF261" s="27" t="str">
        <f aca="true">IF($O261="","",IF(OR($AE261="Cancelled",$AE261="On hold",$AE261="Launched"),$AE261,IF(AND($Y261="Approved",OR($Z261="Yes",$Z261="N/A"),OR($AA261="Yes",$AA261="N/A"),OR($AB261="No",$AB261="N/A",AND($AB261="Yes",$AD261="Yes"))),"Ready",IF($O261&lt;TODAY(),"Overdue",IF($O261-TODAY()&lt;='Rules &amp; Guardrails'!$C$5,"At Risk","In Progress")))))</f>
        <v/>
      </c>
      <c r="AG261" s="28" t="str">
        <f aca="false">IF($O261="","",IF(OR($AE261="Launched",$AE261="Cancelled"),"",MID(IF($Y261&lt;&gt;"Approved",", Content approval","")&amp;IF(NOT(OR($Z261="Yes",$Z261="N/A")),", Assets","")&amp;IF(NOT(OR($AA261="Yes",$AA261="N/A")),", List","")&amp;IF($AB261="",", Ops decision",IF(AND($AB261="Yes",$AD261&lt;&gt;"Yes"),", Ops",""))&amp;IF($U261="",", Owner","")&amp;IF($K261="",", Segment",""),3,200)))</f>
        <v/>
      </c>
      <c r="AH261" s="29" t="str">
        <f aca="true">IF($O261="","",$O261-TODAY())</f>
        <v/>
      </c>
      <c r="AI261" s="26" t="str">
        <f aca="false">IF($O261="","",$O261-WEEKDAY($O261,3))</f>
        <v/>
      </c>
      <c r="AJ261" s="30" t="str">
        <f aca="false">IF($O261="","",DATE(YEAR($O261),MONTH($O261),1))</f>
        <v/>
      </c>
      <c r="AK261" s="31" t="str">
        <f aca="false">IF(OR($O261="",$K261=""),"",COUNTIFS('Comms Calendar'!$K$5:$K$504,$K261,'Comms Calendar'!$B$5:$B$504,$B261,'Comms Calendar'!$AI$5:$AI$504,$AI261,'Comms Calendar'!$AE$5:$AE$504,"&lt;&gt;Cancelled"))</f>
        <v/>
      </c>
      <c r="AL261" s="27" t="str">
        <f aca="false">IF($AK261="","",IF($AK261&gt;'Rules &amp; Guardrails'!$C$3,"Over cap","OK"))</f>
        <v/>
      </c>
      <c r="AM261" s="27" t="str">
        <f aca="false">IF(OR($O261="",$K261=""),"",IF(COUNTIFS('Comms Calendar'!$K$5:$K$504,$K261,'Comms Calendar'!$B$5:$B$504,$B261,'Comms Calendar'!$O$5:$O$504,$O261,'Comms Calendar'!$AE$5:$AE$504,"&lt;&gt;Cancelled")&gt;1,"Clash",""))</f>
        <v/>
      </c>
      <c r="AN261" s="27" t="str">
        <f aca="false">IF($O261="","",IF(IF($B261="Global",COUNTIF('Rules &amp; Guardrails'!$F$9:$F$60,$O261),COUNTIFS('Rules &amp; Guardrails'!$F$9:$F$60,$O261,'Rules &amp; Guardrails'!$G$9:$G$60,$B261)+COUNTIFS('Rules &amp; Guardrails'!$F$9:$F$60,$O261,'Rules &amp; Guardrails'!$G$9:$G$60,"Global"))&gt;0,"Blackout",""))</f>
        <v/>
      </c>
      <c r="AO261" s="6"/>
      <c r="AP261" s="25"/>
      <c r="AQ261" s="23"/>
      <c r="AR261" s="31" t="str">
        <f aca="false">IF($D261="","",IFERROR(VLOOKUP($D261,'Rules &amp; Guardrails'!$A$9:$D$24,2,0),"Other"))</f>
        <v/>
      </c>
      <c r="AS261" s="31" t="str">
        <f aca="false">IF($O261="","",$O261&amp;"|"&amp;$B261)</f>
        <v/>
      </c>
    </row>
    <row r="262" customFormat="false" ht="15" hidden="false" customHeight="false" outlineLevel="0" collapsed="false">
      <c r="A262" s="23"/>
      <c r="B262" s="23"/>
      <c r="C262" s="23"/>
      <c r="D262" s="23"/>
      <c r="E262" s="23"/>
      <c r="F262" s="23"/>
      <c r="G262" s="6"/>
      <c r="H262" s="6"/>
      <c r="I262" s="23"/>
      <c r="J262" s="23"/>
      <c r="K262" s="23"/>
      <c r="L262" s="6"/>
      <c r="M262" s="6"/>
      <c r="N262" s="24"/>
      <c r="O262" s="25"/>
      <c r="P262" s="23"/>
      <c r="Q262" s="23"/>
      <c r="R262" s="23"/>
      <c r="S262" s="23"/>
      <c r="T262" s="26" t="str">
        <f aca="false">IF(OR($O262="",$D262=""),"",WORKDAY($O262,-IFERROR(VLOOKUP($D262,'Rules &amp; Guardrails'!$A$9:$D$24,3,0),10)))</f>
        <v/>
      </c>
      <c r="U262" s="23"/>
      <c r="V262" s="23"/>
      <c r="W262" s="23"/>
      <c r="X262" s="6"/>
      <c r="Y262" s="23"/>
      <c r="Z262" s="23"/>
      <c r="AA262" s="23"/>
      <c r="AB262" s="23"/>
      <c r="AC262" s="23"/>
      <c r="AD262" s="23"/>
      <c r="AE262" s="23"/>
      <c r="AF262" s="27" t="str">
        <f aca="true">IF($O262="","",IF(OR($AE262="Cancelled",$AE262="On hold",$AE262="Launched"),$AE262,IF(AND($Y262="Approved",OR($Z262="Yes",$Z262="N/A"),OR($AA262="Yes",$AA262="N/A"),OR($AB262="No",$AB262="N/A",AND($AB262="Yes",$AD262="Yes"))),"Ready",IF($O262&lt;TODAY(),"Overdue",IF($O262-TODAY()&lt;='Rules &amp; Guardrails'!$C$5,"At Risk","In Progress")))))</f>
        <v/>
      </c>
      <c r="AG262" s="28" t="str">
        <f aca="false">IF($O262="","",IF(OR($AE262="Launched",$AE262="Cancelled"),"",MID(IF($Y262&lt;&gt;"Approved",", Content approval","")&amp;IF(NOT(OR($Z262="Yes",$Z262="N/A")),", Assets","")&amp;IF(NOT(OR($AA262="Yes",$AA262="N/A")),", List","")&amp;IF($AB262="",", Ops decision",IF(AND($AB262="Yes",$AD262&lt;&gt;"Yes"),", Ops",""))&amp;IF($U262="",", Owner","")&amp;IF($K262="",", Segment",""),3,200)))</f>
        <v/>
      </c>
      <c r="AH262" s="29" t="str">
        <f aca="true">IF($O262="","",$O262-TODAY())</f>
        <v/>
      </c>
      <c r="AI262" s="26" t="str">
        <f aca="false">IF($O262="","",$O262-WEEKDAY($O262,3))</f>
        <v/>
      </c>
      <c r="AJ262" s="30" t="str">
        <f aca="false">IF($O262="","",DATE(YEAR($O262),MONTH($O262),1))</f>
        <v/>
      </c>
      <c r="AK262" s="31" t="str">
        <f aca="false">IF(OR($O262="",$K262=""),"",COUNTIFS('Comms Calendar'!$K$5:$K$504,$K262,'Comms Calendar'!$B$5:$B$504,$B262,'Comms Calendar'!$AI$5:$AI$504,$AI262,'Comms Calendar'!$AE$5:$AE$504,"&lt;&gt;Cancelled"))</f>
        <v/>
      </c>
      <c r="AL262" s="27" t="str">
        <f aca="false">IF($AK262="","",IF($AK262&gt;'Rules &amp; Guardrails'!$C$3,"Over cap","OK"))</f>
        <v/>
      </c>
      <c r="AM262" s="27" t="str">
        <f aca="false">IF(OR($O262="",$K262=""),"",IF(COUNTIFS('Comms Calendar'!$K$5:$K$504,$K262,'Comms Calendar'!$B$5:$B$504,$B262,'Comms Calendar'!$O$5:$O$504,$O262,'Comms Calendar'!$AE$5:$AE$504,"&lt;&gt;Cancelled")&gt;1,"Clash",""))</f>
        <v/>
      </c>
      <c r="AN262" s="27" t="str">
        <f aca="false">IF($O262="","",IF(IF($B262="Global",COUNTIF('Rules &amp; Guardrails'!$F$9:$F$60,$O262),COUNTIFS('Rules &amp; Guardrails'!$F$9:$F$60,$O262,'Rules &amp; Guardrails'!$G$9:$G$60,$B262)+COUNTIFS('Rules &amp; Guardrails'!$F$9:$F$60,$O262,'Rules &amp; Guardrails'!$G$9:$G$60,"Global"))&gt;0,"Blackout",""))</f>
        <v/>
      </c>
      <c r="AO262" s="6"/>
      <c r="AP262" s="25"/>
      <c r="AQ262" s="23"/>
      <c r="AR262" s="31" t="str">
        <f aca="false">IF($D262="","",IFERROR(VLOOKUP($D262,'Rules &amp; Guardrails'!$A$9:$D$24,2,0),"Other"))</f>
        <v/>
      </c>
      <c r="AS262" s="31" t="str">
        <f aca="false">IF($O262="","",$O262&amp;"|"&amp;$B262)</f>
        <v/>
      </c>
    </row>
    <row r="263" customFormat="false" ht="15" hidden="false" customHeight="false" outlineLevel="0" collapsed="false">
      <c r="A263" s="23"/>
      <c r="B263" s="23"/>
      <c r="C263" s="23"/>
      <c r="D263" s="23"/>
      <c r="E263" s="23"/>
      <c r="F263" s="23"/>
      <c r="G263" s="6"/>
      <c r="H263" s="6"/>
      <c r="I263" s="23"/>
      <c r="J263" s="23"/>
      <c r="K263" s="23"/>
      <c r="L263" s="6"/>
      <c r="M263" s="6"/>
      <c r="N263" s="24"/>
      <c r="O263" s="25"/>
      <c r="P263" s="23"/>
      <c r="Q263" s="23"/>
      <c r="R263" s="23"/>
      <c r="S263" s="23"/>
      <c r="T263" s="26" t="str">
        <f aca="false">IF(OR($O263="",$D263=""),"",WORKDAY($O263,-IFERROR(VLOOKUP($D263,'Rules &amp; Guardrails'!$A$9:$D$24,3,0),10)))</f>
        <v/>
      </c>
      <c r="U263" s="23"/>
      <c r="V263" s="23"/>
      <c r="W263" s="23"/>
      <c r="X263" s="6"/>
      <c r="Y263" s="23"/>
      <c r="Z263" s="23"/>
      <c r="AA263" s="23"/>
      <c r="AB263" s="23"/>
      <c r="AC263" s="23"/>
      <c r="AD263" s="23"/>
      <c r="AE263" s="23"/>
      <c r="AF263" s="27" t="str">
        <f aca="true">IF($O263="","",IF(OR($AE263="Cancelled",$AE263="On hold",$AE263="Launched"),$AE263,IF(AND($Y263="Approved",OR($Z263="Yes",$Z263="N/A"),OR($AA263="Yes",$AA263="N/A"),OR($AB263="No",$AB263="N/A",AND($AB263="Yes",$AD263="Yes"))),"Ready",IF($O263&lt;TODAY(),"Overdue",IF($O263-TODAY()&lt;='Rules &amp; Guardrails'!$C$5,"At Risk","In Progress")))))</f>
        <v/>
      </c>
      <c r="AG263" s="28" t="str">
        <f aca="false">IF($O263="","",IF(OR($AE263="Launched",$AE263="Cancelled"),"",MID(IF($Y263&lt;&gt;"Approved",", Content approval","")&amp;IF(NOT(OR($Z263="Yes",$Z263="N/A")),", Assets","")&amp;IF(NOT(OR($AA263="Yes",$AA263="N/A")),", List","")&amp;IF($AB263="",", Ops decision",IF(AND($AB263="Yes",$AD263&lt;&gt;"Yes"),", Ops",""))&amp;IF($U263="",", Owner","")&amp;IF($K263="",", Segment",""),3,200)))</f>
        <v/>
      </c>
      <c r="AH263" s="29" t="str">
        <f aca="true">IF($O263="","",$O263-TODAY())</f>
        <v/>
      </c>
      <c r="AI263" s="26" t="str">
        <f aca="false">IF($O263="","",$O263-WEEKDAY($O263,3))</f>
        <v/>
      </c>
      <c r="AJ263" s="30" t="str">
        <f aca="false">IF($O263="","",DATE(YEAR($O263),MONTH($O263),1))</f>
        <v/>
      </c>
      <c r="AK263" s="31" t="str">
        <f aca="false">IF(OR($O263="",$K263=""),"",COUNTIFS('Comms Calendar'!$K$5:$K$504,$K263,'Comms Calendar'!$B$5:$B$504,$B263,'Comms Calendar'!$AI$5:$AI$504,$AI263,'Comms Calendar'!$AE$5:$AE$504,"&lt;&gt;Cancelled"))</f>
        <v/>
      </c>
      <c r="AL263" s="27" t="str">
        <f aca="false">IF($AK263="","",IF($AK263&gt;'Rules &amp; Guardrails'!$C$3,"Over cap","OK"))</f>
        <v/>
      </c>
      <c r="AM263" s="27" t="str">
        <f aca="false">IF(OR($O263="",$K263=""),"",IF(COUNTIFS('Comms Calendar'!$K$5:$K$504,$K263,'Comms Calendar'!$B$5:$B$504,$B263,'Comms Calendar'!$O$5:$O$504,$O263,'Comms Calendar'!$AE$5:$AE$504,"&lt;&gt;Cancelled")&gt;1,"Clash",""))</f>
        <v/>
      </c>
      <c r="AN263" s="27" t="str">
        <f aca="false">IF($O263="","",IF(IF($B263="Global",COUNTIF('Rules &amp; Guardrails'!$F$9:$F$60,$O263),COUNTIFS('Rules &amp; Guardrails'!$F$9:$F$60,$O263,'Rules &amp; Guardrails'!$G$9:$G$60,$B263)+COUNTIFS('Rules &amp; Guardrails'!$F$9:$F$60,$O263,'Rules &amp; Guardrails'!$G$9:$G$60,"Global"))&gt;0,"Blackout",""))</f>
        <v/>
      </c>
      <c r="AO263" s="6"/>
      <c r="AP263" s="25"/>
      <c r="AQ263" s="23"/>
      <c r="AR263" s="31" t="str">
        <f aca="false">IF($D263="","",IFERROR(VLOOKUP($D263,'Rules &amp; Guardrails'!$A$9:$D$24,2,0),"Other"))</f>
        <v/>
      </c>
      <c r="AS263" s="31" t="str">
        <f aca="false">IF($O263="","",$O263&amp;"|"&amp;$B263)</f>
        <v/>
      </c>
    </row>
    <row r="264" customFormat="false" ht="15" hidden="false" customHeight="false" outlineLevel="0" collapsed="false">
      <c r="A264" s="23"/>
      <c r="B264" s="23"/>
      <c r="C264" s="23"/>
      <c r="D264" s="23"/>
      <c r="E264" s="23"/>
      <c r="F264" s="23"/>
      <c r="G264" s="6"/>
      <c r="H264" s="6"/>
      <c r="I264" s="23"/>
      <c r="J264" s="23"/>
      <c r="K264" s="23"/>
      <c r="L264" s="6"/>
      <c r="M264" s="6"/>
      <c r="N264" s="24"/>
      <c r="O264" s="25"/>
      <c r="P264" s="23"/>
      <c r="Q264" s="23"/>
      <c r="R264" s="23"/>
      <c r="S264" s="23"/>
      <c r="T264" s="26" t="str">
        <f aca="false">IF(OR($O264="",$D264=""),"",WORKDAY($O264,-IFERROR(VLOOKUP($D264,'Rules &amp; Guardrails'!$A$9:$D$24,3,0),10)))</f>
        <v/>
      </c>
      <c r="U264" s="23"/>
      <c r="V264" s="23"/>
      <c r="W264" s="23"/>
      <c r="X264" s="6"/>
      <c r="Y264" s="23"/>
      <c r="Z264" s="23"/>
      <c r="AA264" s="23"/>
      <c r="AB264" s="23"/>
      <c r="AC264" s="23"/>
      <c r="AD264" s="23"/>
      <c r="AE264" s="23"/>
      <c r="AF264" s="27" t="str">
        <f aca="true">IF($O264="","",IF(OR($AE264="Cancelled",$AE264="On hold",$AE264="Launched"),$AE264,IF(AND($Y264="Approved",OR($Z264="Yes",$Z264="N/A"),OR($AA264="Yes",$AA264="N/A"),OR($AB264="No",$AB264="N/A",AND($AB264="Yes",$AD264="Yes"))),"Ready",IF($O264&lt;TODAY(),"Overdue",IF($O264-TODAY()&lt;='Rules &amp; Guardrails'!$C$5,"At Risk","In Progress")))))</f>
        <v/>
      </c>
      <c r="AG264" s="28" t="str">
        <f aca="false">IF($O264="","",IF(OR($AE264="Launched",$AE264="Cancelled"),"",MID(IF($Y264&lt;&gt;"Approved",", Content approval","")&amp;IF(NOT(OR($Z264="Yes",$Z264="N/A")),", Assets","")&amp;IF(NOT(OR($AA264="Yes",$AA264="N/A")),", List","")&amp;IF($AB264="",", Ops decision",IF(AND($AB264="Yes",$AD264&lt;&gt;"Yes"),", Ops",""))&amp;IF($U264="",", Owner","")&amp;IF($K264="",", Segment",""),3,200)))</f>
        <v/>
      </c>
      <c r="AH264" s="29" t="str">
        <f aca="true">IF($O264="","",$O264-TODAY())</f>
        <v/>
      </c>
      <c r="AI264" s="26" t="str">
        <f aca="false">IF($O264="","",$O264-WEEKDAY($O264,3))</f>
        <v/>
      </c>
      <c r="AJ264" s="30" t="str">
        <f aca="false">IF($O264="","",DATE(YEAR($O264),MONTH($O264),1))</f>
        <v/>
      </c>
      <c r="AK264" s="31" t="str">
        <f aca="false">IF(OR($O264="",$K264=""),"",COUNTIFS('Comms Calendar'!$K$5:$K$504,$K264,'Comms Calendar'!$B$5:$B$504,$B264,'Comms Calendar'!$AI$5:$AI$504,$AI264,'Comms Calendar'!$AE$5:$AE$504,"&lt;&gt;Cancelled"))</f>
        <v/>
      </c>
      <c r="AL264" s="27" t="str">
        <f aca="false">IF($AK264="","",IF($AK264&gt;'Rules &amp; Guardrails'!$C$3,"Over cap","OK"))</f>
        <v/>
      </c>
      <c r="AM264" s="27" t="str">
        <f aca="false">IF(OR($O264="",$K264=""),"",IF(COUNTIFS('Comms Calendar'!$K$5:$K$504,$K264,'Comms Calendar'!$B$5:$B$504,$B264,'Comms Calendar'!$O$5:$O$504,$O264,'Comms Calendar'!$AE$5:$AE$504,"&lt;&gt;Cancelled")&gt;1,"Clash",""))</f>
        <v/>
      </c>
      <c r="AN264" s="27" t="str">
        <f aca="false">IF($O264="","",IF(IF($B264="Global",COUNTIF('Rules &amp; Guardrails'!$F$9:$F$60,$O264),COUNTIFS('Rules &amp; Guardrails'!$F$9:$F$60,$O264,'Rules &amp; Guardrails'!$G$9:$G$60,$B264)+COUNTIFS('Rules &amp; Guardrails'!$F$9:$F$60,$O264,'Rules &amp; Guardrails'!$G$9:$G$60,"Global"))&gt;0,"Blackout",""))</f>
        <v/>
      </c>
      <c r="AO264" s="6"/>
      <c r="AP264" s="25"/>
      <c r="AQ264" s="23"/>
      <c r="AR264" s="31" t="str">
        <f aca="false">IF($D264="","",IFERROR(VLOOKUP($D264,'Rules &amp; Guardrails'!$A$9:$D$24,2,0),"Other"))</f>
        <v/>
      </c>
      <c r="AS264" s="31" t="str">
        <f aca="false">IF($O264="","",$O264&amp;"|"&amp;$B264)</f>
        <v/>
      </c>
    </row>
    <row r="265" customFormat="false" ht="15" hidden="false" customHeight="false" outlineLevel="0" collapsed="false">
      <c r="A265" s="23"/>
      <c r="B265" s="23"/>
      <c r="C265" s="23"/>
      <c r="D265" s="23"/>
      <c r="E265" s="23"/>
      <c r="F265" s="23"/>
      <c r="G265" s="6"/>
      <c r="H265" s="6"/>
      <c r="I265" s="23"/>
      <c r="J265" s="23"/>
      <c r="K265" s="23"/>
      <c r="L265" s="6"/>
      <c r="M265" s="6"/>
      <c r="N265" s="24"/>
      <c r="O265" s="25"/>
      <c r="P265" s="23"/>
      <c r="Q265" s="23"/>
      <c r="R265" s="23"/>
      <c r="S265" s="23"/>
      <c r="T265" s="26" t="str">
        <f aca="false">IF(OR($O265="",$D265=""),"",WORKDAY($O265,-IFERROR(VLOOKUP($D265,'Rules &amp; Guardrails'!$A$9:$D$24,3,0),10)))</f>
        <v/>
      </c>
      <c r="U265" s="23"/>
      <c r="V265" s="23"/>
      <c r="W265" s="23"/>
      <c r="X265" s="6"/>
      <c r="Y265" s="23"/>
      <c r="Z265" s="23"/>
      <c r="AA265" s="23"/>
      <c r="AB265" s="23"/>
      <c r="AC265" s="23"/>
      <c r="AD265" s="23"/>
      <c r="AE265" s="23"/>
      <c r="AF265" s="27" t="str">
        <f aca="true">IF($O265="","",IF(OR($AE265="Cancelled",$AE265="On hold",$AE265="Launched"),$AE265,IF(AND($Y265="Approved",OR($Z265="Yes",$Z265="N/A"),OR($AA265="Yes",$AA265="N/A"),OR($AB265="No",$AB265="N/A",AND($AB265="Yes",$AD265="Yes"))),"Ready",IF($O265&lt;TODAY(),"Overdue",IF($O265-TODAY()&lt;='Rules &amp; Guardrails'!$C$5,"At Risk","In Progress")))))</f>
        <v/>
      </c>
      <c r="AG265" s="28" t="str">
        <f aca="false">IF($O265="","",IF(OR($AE265="Launched",$AE265="Cancelled"),"",MID(IF($Y265&lt;&gt;"Approved",", Content approval","")&amp;IF(NOT(OR($Z265="Yes",$Z265="N/A")),", Assets","")&amp;IF(NOT(OR($AA265="Yes",$AA265="N/A")),", List","")&amp;IF($AB265="",", Ops decision",IF(AND($AB265="Yes",$AD265&lt;&gt;"Yes"),", Ops",""))&amp;IF($U265="",", Owner","")&amp;IF($K265="",", Segment",""),3,200)))</f>
        <v/>
      </c>
      <c r="AH265" s="29" t="str">
        <f aca="true">IF($O265="","",$O265-TODAY())</f>
        <v/>
      </c>
      <c r="AI265" s="26" t="str">
        <f aca="false">IF($O265="","",$O265-WEEKDAY($O265,3))</f>
        <v/>
      </c>
      <c r="AJ265" s="30" t="str">
        <f aca="false">IF($O265="","",DATE(YEAR($O265),MONTH($O265),1))</f>
        <v/>
      </c>
      <c r="AK265" s="31" t="str">
        <f aca="false">IF(OR($O265="",$K265=""),"",COUNTIFS('Comms Calendar'!$K$5:$K$504,$K265,'Comms Calendar'!$B$5:$B$504,$B265,'Comms Calendar'!$AI$5:$AI$504,$AI265,'Comms Calendar'!$AE$5:$AE$504,"&lt;&gt;Cancelled"))</f>
        <v/>
      </c>
      <c r="AL265" s="27" t="str">
        <f aca="false">IF($AK265="","",IF($AK265&gt;'Rules &amp; Guardrails'!$C$3,"Over cap","OK"))</f>
        <v/>
      </c>
      <c r="AM265" s="27" t="str">
        <f aca="false">IF(OR($O265="",$K265=""),"",IF(COUNTIFS('Comms Calendar'!$K$5:$K$504,$K265,'Comms Calendar'!$B$5:$B$504,$B265,'Comms Calendar'!$O$5:$O$504,$O265,'Comms Calendar'!$AE$5:$AE$504,"&lt;&gt;Cancelled")&gt;1,"Clash",""))</f>
        <v/>
      </c>
      <c r="AN265" s="27" t="str">
        <f aca="false">IF($O265="","",IF(IF($B265="Global",COUNTIF('Rules &amp; Guardrails'!$F$9:$F$60,$O265),COUNTIFS('Rules &amp; Guardrails'!$F$9:$F$60,$O265,'Rules &amp; Guardrails'!$G$9:$G$60,$B265)+COUNTIFS('Rules &amp; Guardrails'!$F$9:$F$60,$O265,'Rules &amp; Guardrails'!$G$9:$G$60,"Global"))&gt;0,"Blackout",""))</f>
        <v/>
      </c>
      <c r="AO265" s="6"/>
      <c r="AP265" s="25"/>
      <c r="AQ265" s="23"/>
      <c r="AR265" s="31" t="str">
        <f aca="false">IF($D265="","",IFERROR(VLOOKUP($D265,'Rules &amp; Guardrails'!$A$9:$D$24,2,0),"Other"))</f>
        <v/>
      </c>
      <c r="AS265" s="31" t="str">
        <f aca="false">IF($O265="","",$O265&amp;"|"&amp;$B265)</f>
        <v/>
      </c>
    </row>
    <row r="266" customFormat="false" ht="15" hidden="false" customHeight="false" outlineLevel="0" collapsed="false">
      <c r="A266" s="23"/>
      <c r="B266" s="23"/>
      <c r="C266" s="23"/>
      <c r="D266" s="23"/>
      <c r="E266" s="23"/>
      <c r="F266" s="23"/>
      <c r="G266" s="6"/>
      <c r="H266" s="6"/>
      <c r="I266" s="23"/>
      <c r="J266" s="23"/>
      <c r="K266" s="23"/>
      <c r="L266" s="6"/>
      <c r="M266" s="6"/>
      <c r="N266" s="24"/>
      <c r="O266" s="25"/>
      <c r="P266" s="23"/>
      <c r="Q266" s="23"/>
      <c r="R266" s="23"/>
      <c r="S266" s="23"/>
      <c r="T266" s="26" t="str">
        <f aca="false">IF(OR($O266="",$D266=""),"",WORKDAY($O266,-IFERROR(VLOOKUP($D266,'Rules &amp; Guardrails'!$A$9:$D$24,3,0),10)))</f>
        <v/>
      </c>
      <c r="U266" s="23"/>
      <c r="V266" s="23"/>
      <c r="W266" s="23"/>
      <c r="X266" s="6"/>
      <c r="Y266" s="23"/>
      <c r="Z266" s="23"/>
      <c r="AA266" s="23"/>
      <c r="AB266" s="23"/>
      <c r="AC266" s="23"/>
      <c r="AD266" s="23"/>
      <c r="AE266" s="23"/>
      <c r="AF266" s="27" t="str">
        <f aca="true">IF($O266="","",IF(OR($AE266="Cancelled",$AE266="On hold",$AE266="Launched"),$AE266,IF(AND($Y266="Approved",OR($Z266="Yes",$Z266="N/A"),OR($AA266="Yes",$AA266="N/A"),OR($AB266="No",$AB266="N/A",AND($AB266="Yes",$AD266="Yes"))),"Ready",IF($O266&lt;TODAY(),"Overdue",IF($O266-TODAY()&lt;='Rules &amp; Guardrails'!$C$5,"At Risk","In Progress")))))</f>
        <v/>
      </c>
      <c r="AG266" s="28" t="str">
        <f aca="false">IF($O266="","",IF(OR($AE266="Launched",$AE266="Cancelled"),"",MID(IF($Y266&lt;&gt;"Approved",", Content approval","")&amp;IF(NOT(OR($Z266="Yes",$Z266="N/A")),", Assets","")&amp;IF(NOT(OR($AA266="Yes",$AA266="N/A")),", List","")&amp;IF($AB266="",", Ops decision",IF(AND($AB266="Yes",$AD266&lt;&gt;"Yes"),", Ops",""))&amp;IF($U266="",", Owner","")&amp;IF($K266="",", Segment",""),3,200)))</f>
        <v/>
      </c>
      <c r="AH266" s="29" t="str">
        <f aca="true">IF($O266="","",$O266-TODAY())</f>
        <v/>
      </c>
      <c r="AI266" s="26" t="str">
        <f aca="false">IF($O266="","",$O266-WEEKDAY($O266,3))</f>
        <v/>
      </c>
      <c r="AJ266" s="30" t="str">
        <f aca="false">IF($O266="","",DATE(YEAR($O266),MONTH($O266),1))</f>
        <v/>
      </c>
      <c r="AK266" s="31" t="str">
        <f aca="false">IF(OR($O266="",$K266=""),"",COUNTIFS('Comms Calendar'!$K$5:$K$504,$K266,'Comms Calendar'!$B$5:$B$504,$B266,'Comms Calendar'!$AI$5:$AI$504,$AI266,'Comms Calendar'!$AE$5:$AE$504,"&lt;&gt;Cancelled"))</f>
        <v/>
      </c>
      <c r="AL266" s="27" t="str">
        <f aca="false">IF($AK266="","",IF($AK266&gt;'Rules &amp; Guardrails'!$C$3,"Over cap","OK"))</f>
        <v/>
      </c>
      <c r="AM266" s="27" t="str">
        <f aca="false">IF(OR($O266="",$K266=""),"",IF(COUNTIFS('Comms Calendar'!$K$5:$K$504,$K266,'Comms Calendar'!$B$5:$B$504,$B266,'Comms Calendar'!$O$5:$O$504,$O266,'Comms Calendar'!$AE$5:$AE$504,"&lt;&gt;Cancelled")&gt;1,"Clash",""))</f>
        <v/>
      </c>
      <c r="AN266" s="27" t="str">
        <f aca="false">IF($O266="","",IF(IF($B266="Global",COUNTIF('Rules &amp; Guardrails'!$F$9:$F$60,$O266),COUNTIFS('Rules &amp; Guardrails'!$F$9:$F$60,$O266,'Rules &amp; Guardrails'!$G$9:$G$60,$B266)+COUNTIFS('Rules &amp; Guardrails'!$F$9:$F$60,$O266,'Rules &amp; Guardrails'!$G$9:$G$60,"Global"))&gt;0,"Blackout",""))</f>
        <v/>
      </c>
      <c r="AO266" s="6"/>
      <c r="AP266" s="25"/>
      <c r="AQ266" s="23"/>
      <c r="AR266" s="31" t="str">
        <f aca="false">IF($D266="","",IFERROR(VLOOKUP($D266,'Rules &amp; Guardrails'!$A$9:$D$24,2,0),"Other"))</f>
        <v/>
      </c>
      <c r="AS266" s="31" t="str">
        <f aca="false">IF($O266="","",$O266&amp;"|"&amp;$B266)</f>
        <v/>
      </c>
    </row>
    <row r="267" customFormat="false" ht="15" hidden="false" customHeight="false" outlineLevel="0" collapsed="false">
      <c r="A267" s="23"/>
      <c r="B267" s="23"/>
      <c r="C267" s="23"/>
      <c r="D267" s="23"/>
      <c r="E267" s="23"/>
      <c r="F267" s="23"/>
      <c r="G267" s="6"/>
      <c r="H267" s="6"/>
      <c r="I267" s="23"/>
      <c r="J267" s="23"/>
      <c r="K267" s="23"/>
      <c r="L267" s="6"/>
      <c r="M267" s="6"/>
      <c r="N267" s="24"/>
      <c r="O267" s="25"/>
      <c r="P267" s="23"/>
      <c r="Q267" s="23"/>
      <c r="R267" s="23"/>
      <c r="S267" s="23"/>
      <c r="T267" s="26" t="str">
        <f aca="false">IF(OR($O267="",$D267=""),"",WORKDAY($O267,-IFERROR(VLOOKUP($D267,'Rules &amp; Guardrails'!$A$9:$D$24,3,0),10)))</f>
        <v/>
      </c>
      <c r="U267" s="23"/>
      <c r="V267" s="23"/>
      <c r="W267" s="23"/>
      <c r="X267" s="6"/>
      <c r="Y267" s="23"/>
      <c r="Z267" s="23"/>
      <c r="AA267" s="23"/>
      <c r="AB267" s="23"/>
      <c r="AC267" s="23"/>
      <c r="AD267" s="23"/>
      <c r="AE267" s="23"/>
      <c r="AF267" s="27" t="str">
        <f aca="true">IF($O267="","",IF(OR($AE267="Cancelled",$AE267="On hold",$AE267="Launched"),$AE267,IF(AND($Y267="Approved",OR($Z267="Yes",$Z267="N/A"),OR($AA267="Yes",$AA267="N/A"),OR($AB267="No",$AB267="N/A",AND($AB267="Yes",$AD267="Yes"))),"Ready",IF($O267&lt;TODAY(),"Overdue",IF($O267-TODAY()&lt;='Rules &amp; Guardrails'!$C$5,"At Risk","In Progress")))))</f>
        <v/>
      </c>
      <c r="AG267" s="28" t="str">
        <f aca="false">IF($O267="","",IF(OR($AE267="Launched",$AE267="Cancelled"),"",MID(IF($Y267&lt;&gt;"Approved",", Content approval","")&amp;IF(NOT(OR($Z267="Yes",$Z267="N/A")),", Assets","")&amp;IF(NOT(OR($AA267="Yes",$AA267="N/A")),", List","")&amp;IF($AB267="",", Ops decision",IF(AND($AB267="Yes",$AD267&lt;&gt;"Yes"),", Ops",""))&amp;IF($U267="",", Owner","")&amp;IF($K267="",", Segment",""),3,200)))</f>
        <v/>
      </c>
      <c r="AH267" s="29" t="str">
        <f aca="true">IF($O267="","",$O267-TODAY())</f>
        <v/>
      </c>
      <c r="AI267" s="26" t="str">
        <f aca="false">IF($O267="","",$O267-WEEKDAY($O267,3))</f>
        <v/>
      </c>
      <c r="AJ267" s="30" t="str">
        <f aca="false">IF($O267="","",DATE(YEAR($O267),MONTH($O267),1))</f>
        <v/>
      </c>
      <c r="AK267" s="31" t="str">
        <f aca="false">IF(OR($O267="",$K267=""),"",COUNTIFS('Comms Calendar'!$K$5:$K$504,$K267,'Comms Calendar'!$B$5:$B$504,$B267,'Comms Calendar'!$AI$5:$AI$504,$AI267,'Comms Calendar'!$AE$5:$AE$504,"&lt;&gt;Cancelled"))</f>
        <v/>
      </c>
      <c r="AL267" s="27" t="str">
        <f aca="false">IF($AK267="","",IF($AK267&gt;'Rules &amp; Guardrails'!$C$3,"Over cap","OK"))</f>
        <v/>
      </c>
      <c r="AM267" s="27" t="str">
        <f aca="false">IF(OR($O267="",$K267=""),"",IF(COUNTIFS('Comms Calendar'!$K$5:$K$504,$K267,'Comms Calendar'!$B$5:$B$504,$B267,'Comms Calendar'!$O$5:$O$504,$O267,'Comms Calendar'!$AE$5:$AE$504,"&lt;&gt;Cancelled")&gt;1,"Clash",""))</f>
        <v/>
      </c>
      <c r="AN267" s="27" t="str">
        <f aca="false">IF($O267="","",IF(IF($B267="Global",COUNTIF('Rules &amp; Guardrails'!$F$9:$F$60,$O267),COUNTIFS('Rules &amp; Guardrails'!$F$9:$F$60,$O267,'Rules &amp; Guardrails'!$G$9:$G$60,$B267)+COUNTIFS('Rules &amp; Guardrails'!$F$9:$F$60,$O267,'Rules &amp; Guardrails'!$G$9:$G$60,"Global"))&gt;0,"Blackout",""))</f>
        <v/>
      </c>
      <c r="AO267" s="6"/>
      <c r="AP267" s="25"/>
      <c r="AQ267" s="23"/>
      <c r="AR267" s="31" t="str">
        <f aca="false">IF($D267="","",IFERROR(VLOOKUP($D267,'Rules &amp; Guardrails'!$A$9:$D$24,2,0),"Other"))</f>
        <v/>
      </c>
      <c r="AS267" s="31" t="str">
        <f aca="false">IF($O267="","",$O267&amp;"|"&amp;$B267)</f>
        <v/>
      </c>
    </row>
    <row r="268" customFormat="false" ht="15" hidden="false" customHeight="false" outlineLevel="0" collapsed="false">
      <c r="A268" s="23"/>
      <c r="B268" s="23"/>
      <c r="C268" s="23"/>
      <c r="D268" s="23"/>
      <c r="E268" s="23"/>
      <c r="F268" s="23"/>
      <c r="G268" s="6"/>
      <c r="H268" s="6"/>
      <c r="I268" s="23"/>
      <c r="J268" s="23"/>
      <c r="K268" s="23"/>
      <c r="L268" s="6"/>
      <c r="M268" s="6"/>
      <c r="N268" s="24"/>
      <c r="O268" s="25"/>
      <c r="P268" s="23"/>
      <c r="Q268" s="23"/>
      <c r="R268" s="23"/>
      <c r="S268" s="23"/>
      <c r="T268" s="26" t="str">
        <f aca="false">IF(OR($O268="",$D268=""),"",WORKDAY($O268,-IFERROR(VLOOKUP($D268,'Rules &amp; Guardrails'!$A$9:$D$24,3,0),10)))</f>
        <v/>
      </c>
      <c r="U268" s="23"/>
      <c r="V268" s="23"/>
      <c r="W268" s="23"/>
      <c r="X268" s="6"/>
      <c r="Y268" s="23"/>
      <c r="Z268" s="23"/>
      <c r="AA268" s="23"/>
      <c r="AB268" s="23"/>
      <c r="AC268" s="23"/>
      <c r="AD268" s="23"/>
      <c r="AE268" s="23"/>
      <c r="AF268" s="27" t="str">
        <f aca="true">IF($O268="","",IF(OR($AE268="Cancelled",$AE268="On hold",$AE268="Launched"),$AE268,IF(AND($Y268="Approved",OR($Z268="Yes",$Z268="N/A"),OR($AA268="Yes",$AA268="N/A"),OR($AB268="No",$AB268="N/A",AND($AB268="Yes",$AD268="Yes"))),"Ready",IF($O268&lt;TODAY(),"Overdue",IF($O268-TODAY()&lt;='Rules &amp; Guardrails'!$C$5,"At Risk","In Progress")))))</f>
        <v/>
      </c>
      <c r="AG268" s="28" t="str">
        <f aca="false">IF($O268="","",IF(OR($AE268="Launched",$AE268="Cancelled"),"",MID(IF($Y268&lt;&gt;"Approved",", Content approval","")&amp;IF(NOT(OR($Z268="Yes",$Z268="N/A")),", Assets","")&amp;IF(NOT(OR($AA268="Yes",$AA268="N/A")),", List","")&amp;IF($AB268="",", Ops decision",IF(AND($AB268="Yes",$AD268&lt;&gt;"Yes"),", Ops",""))&amp;IF($U268="",", Owner","")&amp;IF($K268="",", Segment",""),3,200)))</f>
        <v/>
      </c>
      <c r="AH268" s="29" t="str">
        <f aca="true">IF($O268="","",$O268-TODAY())</f>
        <v/>
      </c>
      <c r="AI268" s="26" t="str">
        <f aca="false">IF($O268="","",$O268-WEEKDAY($O268,3))</f>
        <v/>
      </c>
      <c r="AJ268" s="30" t="str">
        <f aca="false">IF($O268="","",DATE(YEAR($O268),MONTH($O268),1))</f>
        <v/>
      </c>
      <c r="AK268" s="31" t="str">
        <f aca="false">IF(OR($O268="",$K268=""),"",COUNTIFS('Comms Calendar'!$K$5:$K$504,$K268,'Comms Calendar'!$B$5:$B$504,$B268,'Comms Calendar'!$AI$5:$AI$504,$AI268,'Comms Calendar'!$AE$5:$AE$504,"&lt;&gt;Cancelled"))</f>
        <v/>
      </c>
      <c r="AL268" s="27" t="str">
        <f aca="false">IF($AK268="","",IF($AK268&gt;'Rules &amp; Guardrails'!$C$3,"Over cap","OK"))</f>
        <v/>
      </c>
      <c r="AM268" s="27" t="str">
        <f aca="false">IF(OR($O268="",$K268=""),"",IF(COUNTIFS('Comms Calendar'!$K$5:$K$504,$K268,'Comms Calendar'!$B$5:$B$504,$B268,'Comms Calendar'!$O$5:$O$504,$O268,'Comms Calendar'!$AE$5:$AE$504,"&lt;&gt;Cancelled")&gt;1,"Clash",""))</f>
        <v/>
      </c>
      <c r="AN268" s="27" t="str">
        <f aca="false">IF($O268="","",IF(IF($B268="Global",COUNTIF('Rules &amp; Guardrails'!$F$9:$F$60,$O268),COUNTIFS('Rules &amp; Guardrails'!$F$9:$F$60,$O268,'Rules &amp; Guardrails'!$G$9:$G$60,$B268)+COUNTIFS('Rules &amp; Guardrails'!$F$9:$F$60,$O268,'Rules &amp; Guardrails'!$G$9:$G$60,"Global"))&gt;0,"Blackout",""))</f>
        <v/>
      </c>
      <c r="AO268" s="6"/>
      <c r="AP268" s="25"/>
      <c r="AQ268" s="23"/>
      <c r="AR268" s="31" t="str">
        <f aca="false">IF($D268="","",IFERROR(VLOOKUP($D268,'Rules &amp; Guardrails'!$A$9:$D$24,2,0),"Other"))</f>
        <v/>
      </c>
      <c r="AS268" s="31" t="str">
        <f aca="false">IF($O268="","",$O268&amp;"|"&amp;$B268)</f>
        <v/>
      </c>
    </row>
    <row r="269" customFormat="false" ht="15" hidden="false" customHeight="false" outlineLevel="0" collapsed="false">
      <c r="A269" s="23"/>
      <c r="B269" s="23"/>
      <c r="C269" s="23"/>
      <c r="D269" s="23"/>
      <c r="E269" s="23"/>
      <c r="F269" s="23"/>
      <c r="G269" s="6"/>
      <c r="H269" s="6"/>
      <c r="I269" s="23"/>
      <c r="J269" s="23"/>
      <c r="K269" s="23"/>
      <c r="L269" s="6"/>
      <c r="M269" s="6"/>
      <c r="N269" s="24"/>
      <c r="O269" s="25"/>
      <c r="P269" s="23"/>
      <c r="Q269" s="23"/>
      <c r="R269" s="23"/>
      <c r="S269" s="23"/>
      <c r="T269" s="26" t="str">
        <f aca="false">IF(OR($O269="",$D269=""),"",WORKDAY($O269,-IFERROR(VLOOKUP($D269,'Rules &amp; Guardrails'!$A$9:$D$24,3,0),10)))</f>
        <v/>
      </c>
      <c r="U269" s="23"/>
      <c r="V269" s="23"/>
      <c r="W269" s="23"/>
      <c r="X269" s="6"/>
      <c r="Y269" s="23"/>
      <c r="Z269" s="23"/>
      <c r="AA269" s="23"/>
      <c r="AB269" s="23"/>
      <c r="AC269" s="23"/>
      <c r="AD269" s="23"/>
      <c r="AE269" s="23"/>
      <c r="AF269" s="27" t="str">
        <f aca="true">IF($O269="","",IF(OR($AE269="Cancelled",$AE269="On hold",$AE269="Launched"),$AE269,IF(AND($Y269="Approved",OR($Z269="Yes",$Z269="N/A"),OR($AA269="Yes",$AA269="N/A"),OR($AB269="No",$AB269="N/A",AND($AB269="Yes",$AD269="Yes"))),"Ready",IF($O269&lt;TODAY(),"Overdue",IF($O269-TODAY()&lt;='Rules &amp; Guardrails'!$C$5,"At Risk","In Progress")))))</f>
        <v/>
      </c>
      <c r="AG269" s="28" t="str">
        <f aca="false">IF($O269="","",IF(OR($AE269="Launched",$AE269="Cancelled"),"",MID(IF($Y269&lt;&gt;"Approved",", Content approval","")&amp;IF(NOT(OR($Z269="Yes",$Z269="N/A")),", Assets","")&amp;IF(NOT(OR($AA269="Yes",$AA269="N/A")),", List","")&amp;IF($AB269="",", Ops decision",IF(AND($AB269="Yes",$AD269&lt;&gt;"Yes"),", Ops",""))&amp;IF($U269="",", Owner","")&amp;IF($K269="",", Segment",""),3,200)))</f>
        <v/>
      </c>
      <c r="AH269" s="29" t="str">
        <f aca="true">IF($O269="","",$O269-TODAY())</f>
        <v/>
      </c>
      <c r="AI269" s="26" t="str">
        <f aca="false">IF($O269="","",$O269-WEEKDAY($O269,3))</f>
        <v/>
      </c>
      <c r="AJ269" s="30" t="str">
        <f aca="false">IF($O269="","",DATE(YEAR($O269),MONTH($O269),1))</f>
        <v/>
      </c>
      <c r="AK269" s="31" t="str">
        <f aca="false">IF(OR($O269="",$K269=""),"",COUNTIFS('Comms Calendar'!$K$5:$K$504,$K269,'Comms Calendar'!$B$5:$B$504,$B269,'Comms Calendar'!$AI$5:$AI$504,$AI269,'Comms Calendar'!$AE$5:$AE$504,"&lt;&gt;Cancelled"))</f>
        <v/>
      </c>
      <c r="AL269" s="27" t="str">
        <f aca="false">IF($AK269="","",IF($AK269&gt;'Rules &amp; Guardrails'!$C$3,"Over cap","OK"))</f>
        <v/>
      </c>
      <c r="AM269" s="27" t="str">
        <f aca="false">IF(OR($O269="",$K269=""),"",IF(COUNTIFS('Comms Calendar'!$K$5:$K$504,$K269,'Comms Calendar'!$B$5:$B$504,$B269,'Comms Calendar'!$O$5:$O$504,$O269,'Comms Calendar'!$AE$5:$AE$504,"&lt;&gt;Cancelled")&gt;1,"Clash",""))</f>
        <v/>
      </c>
      <c r="AN269" s="27" t="str">
        <f aca="false">IF($O269="","",IF(IF($B269="Global",COUNTIF('Rules &amp; Guardrails'!$F$9:$F$60,$O269),COUNTIFS('Rules &amp; Guardrails'!$F$9:$F$60,$O269,'Rules &amp; Guardrails'!$G$9:$G$60,$B269)+COUNTIFS('Rules &amp; Guardrails'!$F$9:$F$60,$O269,'Rules &amp; Guardrails'!$G$9:$G$60,"Global"))&gt;0,"Blackout",""))</f>
        <v/>
      </c>
      <c r="AO269" s="6"/>
      <c r="AP269" s="25"/>
      <c r="AQ269" s="23"/>
      <c r="AR269" s="31" t="str">
        <f aca="false">IF($D269="","",IFERROR(VLOOKUP($D269,'Rules &amp; Guardrails'!$A$9:$D$24,2,0),"Other"))</f>
        <v/>
      </c>
      <c r="AS269" s="31" t="str">
        <f aca="false">IF($O269="","",$O269&amp;"|"&amp;$B269)</f>
        <v/>
      </c>
    </row>
    <row r="270" customFormat="false" ht="15" hidden="false" customHeight="false" outlineLevel="0" collapsed="false">
      <c r="A270" s="23"/>
      <c r="B270" s="23"/>
      <c r="C270" s="23"/>
      <c r="D270" s="23"/>
      <c r="E270" s="23"/>
      <c r="F270" s="23"/>
      <c r="G270" s="6"/>
      <c r="H270" s="6"/>
      <c r="I270" s="23"/>
      <c r="J270" s="23"/>
      <c r="K270" s="23"/>
      <c r="L270" s="6"/>
      <c r="M270" s="6"/>
      <c r="N270" s="24"/>
      <c r="O270" s="25"/>
      <c r="P270" s="23"/>
      <c r="Q270" s="23"/>
      <c r="R270" s="23"/>
      <c r="S270" s="23"/>
      <c r="T270" s="26" t="str">
        <f aca="false">IF(OR($O270="",$D270=""),"",WORKDAY($O270,-IFERROR(VLOOKUP($D270,'Rules &amp; Guardrails'!$A$9:$D$24,3,0),10)))</f>
        <v/>
      </c>
      <c r="U270" s="23"/>
      <c r="V270" s="23"/>
      <c r="W270" s="23"/>
      <c r="X270" s="6"/>
      <c r="Y270" s="23"/>
      <c r="Z270" s="23"/>
      <c r="AA270" s="23"/>
      <c r="AB270" s="23"/>
      <c r="AC270" s="23"/>
      <c r="AD270" s="23"/>
      <c r="AE270" s="23"/>
      <c r="AF270" s="27" t="str">
        <f aca="true">IF($O270="","",IF(OR($AE270="Cancelled",$AE270="On hold",$AE270="Launched"),$AE270,IF(AND($Y270="Approved",OR($Z270="Yes",$Z270="N/A"),OR($AA270="Yes",$AA270="N/A"),OR($AB270="No",$AB270="N/A",AND($AB270="Yes",$AD270="Yes"))),"Ready",IF($O270&lt;TODAY(),"Overdue",IF($O270-TODAY()&lt;='Rules &amp; Guardrails'!$C$5,"At Risk","In Progress")))))</f>
        <v/>
      </c>
      <c r="AG270" s="28" t="str">
        <f aca="false">IF($O270="","",IF(OR($AE270="Launched",$AE270="Cancelled"),"",MID(IF($Y270&lt;&gt;"Approved",", Content approval","")&amp;IF(NOT(OR($Z270="Yes",$Z270="N/A")),", Assets","")&amp;IF(NOT(OR($AA270="Yes",$AA270="N/A")),", List","")&amp;IF($AB270="",", Ops decision",IF(AND($AB270="Yes",$AD270&lt;&gt;"Yes"),", Ops",""))&amp;IF($U270="",", Owner","")&amp;IF($K270="",", Segment",""),3,200)))</f>
        <v/>
      </c>
      <c r="AH270" s="29" t="str">
        <f aca="true">IF($O270="","",$O270-TODAY())</f>
        <v/>
      </c>
      <c r="AI270" s="26" t="str">
        <f aca="false">IF($O270="","",$O270-WEEKDAY($O270,3))</f>
        <v/>
      </c>
      <c r="AJ270" s="30" t="str">
        <f aca="false">IF($O270="","",DATE(YEAR($O270),MONTH($O270),1))</f>
        <v/>
      </c>
      <c r="AK270" s="31" t="str">
        <f aca="false">IF(OR($O270="",$K270=""),"",COUNTIFS('Comms Calendar'!$K$5:$K$504,$K270,'Comms Calendar'!$B$5:$B$504,$B270,'Comms Calendar'!$AI$5:$AI$504,$AI270,'Comms Calendar'!$AE$5:$AE$504,"&lt;&gt;Cancelled"))</f>
        <v/>
      </c>
      <c r="AL270" s="27" t="str">
        <f aca="false">IF($AK270="","",IF($AK270&gt;'Rules &amp; Guardrails'!$C$3,"Over cap","OK"))</f>
        <v/>
      </c>
      <c r="AM270" s="27" t="str">
        <f aca="false">IF(OR($O270="",$K270=""),"",IF(COUNTIFS('Comms Calendar'!$K$5:$K$504,$K270,'Comms Calendar'!$B$5:$B$504,$B270,'Comms Calendar'!$O$5:$O$504,$O270,'Comms Calendar'!$AE$5:$AE$504,"&lt;&gt;Cancelled")&gt;1,"Clash",""))</f>
        <v/>
      </c>
      <c r="AN270" s="27" t="str">
        <f aca="false">IF($O270="","",IF(IF($B270="Global",COUNTIF('Rules &amp; Guardrails'!$F$9:$F$60,$O270),COUNTIFS('Rules &amp; Guardrails'!$F$9:$F$60,$O270,'Rules &amp; Guardrails'!$G$9:$G$60,$B270)+COUNTIFS('Rules &amp; Guardrails'!$F$9:$F$60,$O270,'Rules &amp; Guardrails'!$G$9:$G$60,"Global"))&gt;0,"Blackout",""))</f>
        <v/>
      </c>
      <c r="AO270" s="6"/>
      <c r="AP270" s="25"/>
      <c r="AQ270" s="23"/>
      <c r="AR270" s="31" t="str">
        <f aca="false">IF($D270="","",IFERROR(VLOOKUP($D270,'Rules &amp; Guardrails'!$A$9:$D$24,2,0),"Other"))</f>
        <v/>
      </c>
      <c r="AS270" s="31" t="str">
        <f aca="false">IF($O270="","",$O270&amp;"|"&amp;$B270)</f>
        <v/>
      </c>
    </row>
    <row r="271" customFormat="false" ht="15" hidden="false" customHeight="false" outlineLevel="0" collapsed="false">
      <c r="A271" s="23"/>
      <c r="B271" s="23"/>
      <c r="C271" s="23"/>
      <c r="D271" s="23"/>
      <c r="E271" s="23"/>
      <c r="F271" s="23"/>
      <c r="G271" s="6"/>
      <c r="H271" s="6"/>
      <c r="I271" s="23"/>
      <c r="J271" s="23"/>
      <c r="K271" s="23"/>
      <c r="L271" s="6"/>
      <c r="M271" s="6"/>
      <c r="N271" s="24"/>
      <c r="O271" s="25"/>
      <c r="P271" s="23"/>
      <c r="Q271" s="23"/>
      <c r="R271" s="23"/>
      <c r="S271" s="23"/>
      <c r="T271" s="26" t="str">
        <f aca="false">IF(OR($O271="",$D271=""),"",WORKDAY($O271,-IFERROR(VLOOKUP($D271,'Rules &amp; Guardrails'!$A$9:$D$24,3,0),10)))</f>
        <v/>
      </c>
      <c r="U271" s="23"/>
      <c r="V271" s="23"/>
      <c r="W271" s="23"/>
      <c r="X271" s="6"/>
      <c r="Y271" s="23"/>
      <c r="Z271" s="23"/>
      <c r="AA271" s="23"/>
      <c r="AB271" s="23"/>
      <c r="AC271" s="23"/>
      <c r="AD271" s="23"/>
      <c r="AE271" s="23"/>
      <c r="AF271" s="27" t="str">
        <f aca="true">IF($O271="","",IF(OR($AE271="Cancelled",$AE271="On hold",$AE271="Launched"),$AE271,IF(AND($Y271="Approved",OR($Z271="Yes",$Z271="N/A"),OR($AA271="Yes",$AA271="N/A"),OR($AB271="No",$AB271="N/A",AND($AB271="Yes",$AD271="Yes"))),"Ready",IF($O271&lt;TODAY(),"Overdue",IF($O271-TODAY()&lt;='Rules &amp; Guardrails'!$C$5,"At Risk","In Progress")))))</f>
        <v/>
      </c>
      <c r="AG271" s="28" t="str">
        <f aca="false">IF($O271="","",IF(OR($AE271="Launched",$AE271="Cancelled"),"",MID(IF($Y271&lt;&gt;"Approved",", Content approval","")&amp;IF(NOT(OR($Z271="Yes",$Z271="N/A")),", Assets","")&amp;IF(NOT(OR($AA271="Yes",$AA271="N/A")),", List","")&amp;IF($AB271="",", Ops decision",IF(AND($AB271="Yes",$AD271&lt;&gt;"Yes"),", Ops",""))&amp;IF($U271="",", Owner","")&amp;IF($K271="",", Segment",""),3,200)))</f>
        <v/>
      </c>
      <c r="AH271" s="29" t="str">
        <f aca="true">IF($O271="","",$O271-TODAY())</f>
        <v/>
      </c>
      <c r="AI271" s="26" t="str">
        <f aca="false">IF($O271="","",$O271-WEEKDAY($O271,3))</f>
        <v/>
      </c>
      <c r="AJ271" s="30" t="str">
        <f aca="false">IF($O271="","",DATE(YEAR($O271),MONTH($O271),1))</f>
        <v/>
      </c>
      <c r="AK271" s="31" t="str">
        <f aca="false">IF(OR($O271="",$K271=""),"",COUNTIFS('Comms Calendar'!$K$5:$K$504,$K271,'Comms Calendar'!$B$5:$B$504,$B271,'Comms Calendar'!$AI$5:$AI$504,$AI271,'Comms Calendar'!$AE$5:$AE$504,"&lt;&gt;Cancelled"))</f>
        <v/>
      </c>
      <c r="AL271" s="27" t="str">
        <f aca="false">IF($AK271="","",IF($AK271&gt;'Rules &amp; Guardrails'!$C$3,"Over cap","OK"))</f>
        <v/>
      </c>
      <c r="AM271" s="27" t="str">
        <f aca="false">IF(OR($O271="",$K271=""),"",IF(COUNTIFS('Comms Calendar'!$K$5:$K$504,$K271,'Comms Calendar'!$B$5:$B$504,$B271,'Comms Calendar'!$O$5:$O$504,$O271,'Comms Calendar'!$AE$5:$AE$504,"&lt;&gt;Cancelled")&gt;1,"Clash",""))</f>
        <v/>
      </c>
      <c r="AN271" s="27" t="str">
        <f aca="false">IF($O271="","",IF(IF($B271="Global",COUNTIF('Rules &amp; Guardrails'!$F$9:$F$60,$O271),COUNTIFS('Rules &amp; Guardrails'!$F$9:$F$60,$O271,'Rules &amp; Guardrails'!$G$9:$G$60,$B271)+COUNTIFS('Rules &amp; Guardrails'!$F$9:$F$60,$O271,'Rules &amp; Guardrails'!$G$9:$G$60,"Global"))&gt;0,"Blackout",""))</f>
        <v/>
      </c>
      <c r="AO271" s="6"/>
      <c r="AP271" s="25"/>
      <c r="AQ271" s="23"/>
      <c r="AR271" s="31" t="str">
        <f aca="false">IF($D271="","",IFERROR(VLOOKUP($D271,'Rules &amp; Guardrails'!$A$9:$D$24,2,0),"Other"))</f>
        <v/>
      </c>
      <c r="AS271" s="31" t="str">
        <f aca="false">IF($O271="","",$O271&amp;"|"&amp;$B271)</f>
        <v/>
      </c>
    </row>
    <row r="272" customFormat="false" ht="15" hidden="false" customHeight="false" outlineLevel="0" collapsed="false">
      <c r="A272" s="23"/>
      <c r="B272" s="23"/>
      <c r="C272" s="23"/>
      <c r="D272" s="23"/>
      <c r="E272" s="23"/>
      <c r="F272" s="23"/>
      <c r="G272" s="6"/>
      <c r="H272" s="6"/>
      <c r="I272" s="23"/>
      <c r="J272" s="23"/>
      <c r="K272" s="23"/>
      <c r="L272" s="6"/>
      <c r="M272" s="6"/>
      <c r="N272" s="24"/>
      <c r="O272" s="25"/>
      <c r="P272" s="23"/>
      <c r="Q272" s="23"/>
      <c r="R272" s="23"/>
      <c r="S272" s="23"/>
      <c r="T272" s="26" t="str">
        <f aca="false">IF(OR($O272="",$D272=""),"",WORKDAY($O272,-IFERROR(VLOOKUP($D272,'Rules &amp; Guardrails'!$A$9:$D$24,3,0),10)))</f>
        <v/>
      </c>
      <c r="U272" s="23"/>
      <c r="V272" s="23"/>
      <c r="W272" s="23"/>
      <c r="X272" s="6"/>
      <c r="Y272" s="23"/>
      <c r="Z272" s="23"/>
      <c r="AA272" s="23"/>
      <c r="AB272" s="23"/>
      <c r="AC272" s="23"/>
      <c r="AD272" s="23"/>
      <c r="AE272" s="23"/>
      <c r="AF272" s="27" t="str">
        <f aca="true">IF($O272="","",IF(OR($AE272="Cancelled",$AE272="On hold",$AE272="Launched"),$AE272,IF(AND($Y272="Approved",OR($Z272="Yes",$Z272="N/A"),OR($AA272="Yes",$AA272="N/A"),OR($AB272="No",$AB272="N/A",AND($AB272="Yes",$AD272="Yes"))),"Ready",IF($O272&lt;TODAY(),"Overdue",IF($O272-TODAY()&lt;='Rules &amp; Guardrails'!$C$5,"At Risk","In Progress")))))</f>
        <v/>
      </c>
      <c r="AG272" s="28" t="str">
        <f aca="false">IF($O272="","",IF(OR($AE272="Launched",$AE272="Cancelled"),"",MID(IF($Y272&lt;&gt;"Approved",", Content approval","")&amp;IF(NOT(OR($Z272="Yes",$Z272="N/A")),", Assets","")&amp;IF(NOT(OR($AA272="Yes",$AA272="N/A")),", List","")&amp;IF($AB272="",", Ops decision",IF(AND($AB272="Yes",$AD272&lt;&gt;"Yes"),", Ops",""))&amp;IF($U272="",", Owner","")&amp;IF($K272="",", Segment",""),3,200)))</f>
        <v/>
      </c>
      <c r="AH272" s="29" t="str">
        <f aca="true">IF($O272="","",$O272-TODAY())</f>
        <v/>
      </c>
      <c r="AI272" s="26" t="str">
        <f aca="false">IF($O272="","",$O272-WEEKDAY($O272,3))</f>
        <v/>
      </c>
      <c r="AJ272" s="30" t="str">
        <f aca="false">IF($O272="","",DATE(YEAR($O272),MONTH($O272),1))</f>
        <v/>
      </c>
      <c r="AK272" s="31" t="str">
        <f aca="false">IF(OR($O272="",$K272=""),"",COUNTIFS('Comms Calendar'!$K$5:$K$504,$K272,'Comms Calendar'!$B$5:$B$504,$B272,'Comms Calendar'!$AI$5:$AI$504,$AI272,'Comms Calendar'!$AE$5:$AE$504,"&lt;&gt;Cancelled"))</f>
        <v/>
      </c>
      <c r="AL272" s="27" t="str">
        <f aca="false">IF($AK272="","",IF($AK272&gt;'Rules &amp; Guardrails'!$C$3,"Over cap","OK"))</f>
        <v/>
      </c>
      <c r="AM272" s="27" t="str">
        <f aca="false">IF(OR($O272="",$K272=""),"",IF(COUNTIFS('Comms Calendar'!$K$5:$K$504,$K272,'Comms Calendar'!$B$5:$B$504,$B272,'Comms Calendar'!$O$5:$O$504,$O272,'Comms Calendar'!$AE$5:$AE$504,"&lt;&gt;Cancelled")&gt;1,"Clash",""))</f>
        <v/>
      </c>
      <c r="AN272" s="27" t="str">
        <f aca="false">IF($O272="","",IF(IF($B272="Global",COUNTIF('Rules &amp; Guardrails'!$F$9:$F$60,$O272),COUNTIFS('Rules &amp; Guardrails'!$F$9:$F$60,$O272,'Rules &amp; Guardrails'!$G$9:$G$60,$B272)+COUNTIFS('Rules &amp; Guardrails'!$F$9:$F$60,$O272,'Rules &amp; Guardrails'!$G$9:$G$60,"Global"))&gt;0,"Blackout",""))</f>
        <v/>
      </c>
      <c r="AO272" s="6"/>
      <c r="AP272" s="25"/>
      <c r="AQ272" s="23"/>
      <c r="AR272" s="31" t="str">
        <f aca="false">IF($D272="","",IFERROR(VLOOKUP($D272,'Rules &amp; Guardrails'!$A$9:$D$24,2,0),"Other"))</f>
        <v/>
      </c>
      <c r="AS272" s="31" t="str">
        <f aca="false">IF($O272="","",$O272&amp;"|"&amp;$B272)</f>
        <v/>
      </c>
    </row>
    <row r="273" customFormat="false" ht="15" hidden="false" customHeight="false" outlineLevel="0" collapsed="false">
      <c r="A273" s="23"/>
      <c r="B273" s="23"/>
      <c r="C273" s="23"/>
      <c r="D273" s="23"/>
      <c r="E273" s="23"/>
      <c r="F273" s="23"/>
      <c r="G273" s="6"/>
      <c r="H273" s="6"/>
      <c r="I273" s="23"/>
      <c r="J273" s="23"/>
      <c r="K273" s="23"/>
      <c r="L273" s="6"/>
      <c r="M273" s="6"/>
      <c r="N273" s="24"/>
      <c r="O273" s="25"/>
      <c r="P273" s="23"/>
      <c r="Q273" s="23"/>
      <c r="R273" s="23"/>
      <c r="S273" s="23"/>
      <c r="T273" s="26" t="str">
        <f aca="false">IF(OR($O273="",$D273=""),"",WORKDAY($O273,-IFERROR(VLOOKUP($D273,'Rules &amp; Guardrails'!$A$9:$D$24,3,0),10)))</f>
        <v/>
      </c>
      <c r="U273" s="23"/>
      <c r="V273" s="23"/>
      <c r="W273" s="23"/>
      <c r="X273" s="6"/>
      <c r="Y273" s="23"/>
      <c r="Z273" s="23"/>
      <c r="AA273" s="23"/>
      <c r="AB273" s="23"/>
      <c r="AC273" s="23"/>
      <c r="AD273" s="23"/>
      <c r="AE273" s="23"/>
      <c r="AF273" s="27" t="str">
        <f aca="true">IF($O273="","",IF(OR($AE273="Cancelled",$AE273="On hold",$AE273="Launched"),$AE273,IF(AND($Y273="Approved",OR($Z273="Yes",$Z273="N/A"),OR($AA273="Yes",$AA273="N/A"),OR($AB273="No",$AB273="N/A",AND($AB273="Yes",$AD273="Yes"))),"Ready",IF($O273&lt;TODAY(),"Overdue",IF($O273-TODAY()&lt;='Rules &amp; Guardrails'!$C$5,"At Risk","In Progress")))))</f>
        <v/>
      </c>
      <c r="AG273" s="28" t="str">
        <f aca="false">IF($O273="","",IF(OR($AE273="Launched",$AE273="Cancelled"),"",MID(IF($Y273&lt;&gt;"Approved",", Content approval","")&amp;IF(NOT(OR($Z273="Yes",$Z273="N/A")),", Assets","")&amp;IF(NOT(OR($AA273="Yes",$AA273="N/A")),", List","")&amp;IF($AB273="",", Ops decision",IF(AND($AB273="Yes",$AD273&lt;&gt;"Yes"),", Ops",""))&amp;IF($U273="",", Owner","")&amp;IF($K273="",", Segment",""),3,200)))</f>
        <v/>
      </c>
      <c r="AH273" s="29" t="str">
        <f aca="true">IF($O273="","",$O273-TODAY())</f>
        <v/>
      </c>
      <c r="AI273" s="26" t="str">
        <f aca="false">IF($O273="","",$O273-WEEKDAY($O273,3))</f>
        <v/>
      </c>
      <c r="AJ273" s="30" t="str">
        <f aca="false">IF($O273="","",DATE(YEAR($O273),MONTH($O273),1))</f>
        <v/>
      </c>
      <c r="AK273" s="31" t="str">
        <f aca="false">IF(OR($O273="",$K273=""),"",COUNTIFS('Comms Calendar'!$K$5:$K$504,$K273,'Comms Calendar'!$B$5:$B$504,$B273,'Comms Calendar'!$AI$5:$AI$504,$AI273,'Comms Calendar'!$AE$5:$AE$504,"&lt;&gt;Cancelled"))</f>
        <v/>
      </c>
      <c r="AL273" s="27" t="str">
        <f aca="false">IF($AK273="","",IF($AK273&gt;'Rules &amp; Guardrails'!$C$3,"Over cap","OK"))</f>
        <v/>
      </c>
      <c r="AM273" s="27" t="str">
        <f aca="false">IF(OR($O273="",$K273=""),"",IF(COUNTIFS('Comms Calendar'!$K$5:$K$504,$K273,'Comms Calendar'!$B$5:$B$504,$B273,'Comms Calendar'!$O$5:$O$504,$O273,'Comms Calendar'!$AE$5:$AE$504,"&lt;&gt;Cancelled")&gt;1,"Clash",""))</f>
        <v/>
      </c>
      <c r="AN273" s="27" t="str">
        <f aca="false">IF($O273="","",IF(IF($B273="Global",COUNTIF('Rules &amp; Guardrails'!$F$9:$F$60,$O273),COUNTIFS('Rules &amp; Guardrails'!$F$9:$F$60,$O273,'Rules &amp; Guardrails'!$G$9:$G$60,$B273)+COUNTIFS('Rules &amp; Guardrails'!$F$9:$F$60,$O273,'Rules &amp; Guardrails'!$G$9:$G$60,"Global"))&gt;0,"Blackout",""))</f>
        <v/>
      </c>
      <c r="AO273" s="6"/>
      <c r="AP273" s="25"/>
      <c r="AQ273" s="23"/>
      <c r="AR273" s="31" t="str">
        <f aca="false">IF($D273="","",IFERROR(VLOOKUP($D273,'Rules &amp; Guardrails'!$A$9:$D$24,2,0),"Other"))</f>
        <v/>
      </c>
      <c r="AS273" s="31" t="str">
        <f aca="false">IF($O273="","",$O273&amp;"|"&amp;$B273)</f>
        <v/>
      </c>
    </row>
    <row r="274" customFormat="false" ht="15" hidden="false" customHeight="false" outlineLevel="0" collapsed="false">
      <c r="A274" s="23"/>
      <c r="B274" s="23"/>
      <c r="C274" s="23"/>
      <c r="D274" s="23"/>
      <c r="E274" s="23"/>
      <c r="F274" s="23"/>
      <c r="G274" s="6"/>
      <c r="H274" s="6"/>
      <c r="I274" s="23"/>
      <c r="J274" s="23"/>
      <c r="K274" s="23"/>
      <c r="L274" s="6"/>
      <c r="M274" s="6"/>
      <c r="N274" s="24"/>
      <c r="O274" s="25"/>
      <c r="P274" s="23"/>
      <c r="Q274" s="23"/>
      <c r="R274" s="23"/>
      <c r="S274" s="23"/>
      <c r="T274" s="26" t="str">
        <f aca="false">IF(OR($O274="",$D274=""),"",WORKDAY($O274,-IFERROR(VLOOKUP($D274,'Rules &amp; Guardrails'!$A$9:$D$24,3,0),10)))</f>
        <v/>
      </c>
      <c r="U274" s="23"/>
      <c r="V274" s="23"/>
      <c r="W274" s="23"/>
      <c r="X274" s="6"/>
      <c r="Y274" s="23"/>
      <c r="Z274" s="23"/>
      <c r="AA274" s="23"/>
      <c r="AB274" s="23"/>
      <c r="AC274" s="23"/>
      <c r="AD274" s="23"/>
      <c r="AE274" s="23"/>
      <c r="AF274" s="27" t="str">
        <f aca="true">IF($O274="","",IF(OR($AE274="Cancelled",$AE274="On hold",$AE274="Launched"),$AE274,IF(AND($Y274="Approved",OR($Z274="Yes",$Z274="N/A"),OR($AA274="Yes",$AA274="N/A"),OR($AB274="No",$AB274="N/A",AND($AB274="Yes",$AD274="Yes"))),"Ready",IF($O274&lt;TODAY(),"Overdue",IF($O274-TODAY()&lt;='Rules &amp; Guardrails'!$C$5,"At Risk","In Progress")))))</f>
        <v/>
      </c>
      <c r="AG274" s="28" t="str">
        <f aca="false">IF($O274="","",IF(OR($AE274="Launched",$AE274="Cancelled"),"",MID(IF($Y274&lt;&gt;"Approved",", Content approval","")&amp;IF(NOT(OR($Z274="Yes",$Z274="N/A")),", Assets","")&amp;IF(NOT(OR($AA274="Yes",$AA274="N/A")),", List","")&amp;IF($AB274="",", Ops decision",IF(AND($AB274="Yes",$AD274&lt;&gt;"Yes"),", Ops",""))&amp;IF($U274="",", Owner","")&amp;IF($K274="",", Segment",""),3,200)))</f>
        <v/>
      </c>
      <c r="AH274" s="29" t="str">
        <f aca="true">IF($O274="","",$O274-TODAY())</f>
        <v/>
      </c>
      <c r="AI274" s="26" t="str">
        <f aca="false">IF($O274="","",$O274-WEEKDAY($O274,3))</f>
        <v/>
      </c>
      <c r="AJ274" s="30" t="str">
        <f aca="false">IF($O274="","",DATE(YEAR($O274),MONTH($O274),1))</f>
        <v/>
      </c>
      <c r="AK274" s="31" t="str">
        <f aca="false">IF(OR($O274="",$K274=""),"",COUNTIFS('Comms Calendar'!$K$5:$K$504,$K274,'Comms Calendar'!$B$5:$B$504,$B274,'Comms Calendar'!$AI$5:$AI$504,$AI274,'Comms Calendar'!$AE$5:$AE$504,"&lt;&gt;Cancelled"))</f>
        <v/>
      </c>
      <c r="AL274" s="27" t="str">
        <f aca="false">IF($AK274="","",IF($AK274&gt;'Rules &amp; Guardrails'!$C$3,"Over cap","OK"))</f>
        <v/>
      </c>
      <c r="AM274" s="27" t="str">
        <f aca="false">IF(OR($O274="",$K274=""),"",IF(COUNTIFS('Comms Calendar'!$K$5:$K$504,$K274,'Comms Calendar'!$B$5:$B$504,$B274,'Comms Calendar'!$O$5:$O$504,$O274,'Comms Calendar'!$AE$5:$AE$504,"&lt;&gt;Cancelled")&gt;1,"Clash",""))</f>
        <v/>
      </c>
      <c r="AN274" s="27" t="str">
        <f aca="false">IF($O274="","",IF(IF($B274="Global",COUNTIF('Rules &amp; Guardrails'!$F$9:$F$60,$O274),COUNTIFS('Rules &amp; Guardrails'!$F$9:$F$60,$O274,'Rules &amp; Guardrails'!$G$9:$G$60,$B274)+COUNTIFS('Rules &amp; Guardrails'!$F$9:$F$60,$O274,'Rules &amp; Guardrails'!$G$9:$G$60,"Global"))&gt;0,"Blackout",""))</f>
        <v/>
      </c>
      <c r="AO274" s="6"/>
      <c r="AP274" s="25"/>
      <c r="AQ274" s="23"/>
      <c r="AR274" s="31" t="str">
        <f aca="false">IF($D274="","",IFERROR(VLOOKUP($D274,'Rules &amp; Guardrails'!$A$9:$D$24,2,0),"Other"))</f>
        <v/>
      </c>
      <c r="AS274" s="31" t="str">
        <f aca="false">IF($O274="","",$O274&amp;"|"&amp;$B274)</f>
        <v/>
      </c>
    </row>
    <row r="275" customFormat="false" ht="15" hidden="false" customHeight="false" outlineLevel="0" collapsed="false">
      <c r="A275" s="23"/>
      <c r="B275" s="23"/>
      <c r="C275" s="23"/>
      <c r="D275" s="23"/>
      <c r="E275" s="23"/>
      <c r="F275" s="23"/>
      <c r="G275" s="6"/>
      <c r="H275" s="6"/>
      <c r="I275" s="23"/>
      <c r="J275" s="23"/>
      <c r="K275" s="23"/>
      <c r="L275" s="6"/>
      <c r="M275" s="6"/>
      <c r="N275" s="24"/>
      <c r="O275" s="25"/>
      <c r="P275" s="23"/>
      <c r="Q275" s="23"/>
      <c r="R275" s="23"/>
      <c r="S275" s="23"/>
      <c r="T275" s="26" t="str">
        <f aca="false">IF(OR($O275="",$D275=""),"",WORKDAY($O275,-IFERROR(VLOOKUP($D275,'Rules &amp; Guardrails'!$A$9:$D$24,3,0),10)))</f>
        <v/>
      </c>
      <c r="U275" s="23"/>
      <c r="V275" s="23"/>
      <c r="W275" s="23"/>
      <c r="X275" s="6"/>
      <c r="Y275" s="23"/>
      <c r="Z275" s="23"/>
      <c r="AA275" s="23"/>
      <c r="AB275" s="23"/>
      <c r="AC275" s="23"/>
      <c r="AD275" s="23"/>
      <c r="AE275" s="23"/>
      <c r="AF275" s="27" t="str">
        <f aca="true">IF($O275="","",IF(OR($AE275="Cancelled",$AE275="On hold",$AE275="Launched"),$AE275,IF(AND($Y275="Approved",OR($Z275="Yes",$Z275="N/A"),OR($AA275="Yes",$AA275="N/A"),OR($AB275="No",$AB275="N/A",AND($AB275="Yes",$AD275="Yes"))),"Ready",IF($O275&lt;TODAY(),"Overdue",IF($O275-TODAY()&lt;='Rules &amp; Guardrails'!$C$5,"At Risk","In Progress")))))</f>
        <v/>
      </c>
      <c r="AG275" s="28" t="str">
        <f aca="false">IF($O275="","",IF(OR($AE275="Launched",$AE275="Cancelled"),"",MID(IF($Y275&lt;&gt;"Approved",", Content approval","")&amp;IF(NOT(OR($Z275="Yes",$Z275="N/A")),", Assets","")&amp;IF(NOT(OR($AA275="Yes",$AA275="N/A")),", List","")&amp;IF($AB275="",", Ops decision",IF(AND($AB275="Yes",$AD275&lt;&gt;"Yes"),", Ops",""))&amp;IF($U275="",", Owner","")&amp;IF($K275="",", Segment",""),3,200)))</f>
        <v/>
      </c>
      <c r="AH275" s="29" t="str">
        <f aca="true">IF($O275="","",$O275-TODAY())</f>
        <v/>
      </c>
      <c r="AI275" s="26" t="str">
        <f aca="false">IF($O275="","",$O275-WEEKDAY($O275,3))</f>
        <v/>
      </c>
      <c r="AJ275" s="30" t="str">
        <f aca="false">IF($O275="","",DATE(YEAR($O275),MONTH($O275),1))</f>
        <v/>
      </c>
      <c r="AK275" s="31" t="str">
        <f aca="false">IF(OR($O275="",$K275=""),"",COUNTIFS('Comms Calendar'!$K$5:$K$504,$K275,'Comms Calendar'!$B$5:$B$504,$B275,'Comms Calendar'!$AI$5:$AI$504,$AI275,'Comms Calendar'!$AE$5:$AE$504,"&lt;&gt;Cancelled"))</f>
        <v/>
      </c>
      <c r="AL275" s="27" t="str">
        <f aca="false">IF($AK275="","",IF($AK275&gt;'Rules &amp; Guardrails'!$C$3,"Over cap","OK"))</f>
        <v/>
      </c>
      <c r="AM275" s="27" t="str">
        <f aca="false">IF(OR($O275="",$K275=""),"",IF(COUNTIFS('Comms Calendar'!$K$5:$K$504,$K275,'Comms Calendar'!$B$5:$B$504,$B275,'Comms Calendar'!$O$5:$O$504,$O275,'Comms Calendar'!$AE$5:$AE$504,"&lt;&gt;Cancelled")&gt;1,"Clash",""))</f>
        <v/>
      </c>
      <c r="AN275" s="27" t="str">
        <f aca="false">IF($O275="","",IF(IF($B275="Global",COUNTIF('Rules &amp; Guardrails'!$F$9:$F$60,$O275),COUNTIFS('Rules &amp; Guardrails'!$F$9:$F$60,$O275,'Rules &amp; Guardrails'!$G$9:$G$60,$B275)+COUNTIFS('Rules &amp; Guardrails'!$F$9:$F$60,$O275,'Rules &amp; Guardrails'!$G$9:$G$60,"Global"))&gt;0,"Blackout",""))</f>
        <v/>
      </c>
      <c r="AO275" s="6"/>
      <c r="AP275" s="25"/>
      <c r="AQ275" s="23"/>
      <c r="AR275" s="31" t="str">
        <f aca="false">IF($D275="","",IFERROR(VLOOKUP($D275,'Rules &amp; Guardrails'!$A$9:$D$24,2,0),"Other"))</f>
        <v/>
      </c>
      <c r="AS275" s="31" t="str">
        <f aca="false">IF($O275="","",$O275&amp;"|"&amp;$B275)</f>
        <v/>
      </c>
    </row>
    <row r="276" customFormat="false" ht="15" hidden="false" customHeight="false" outlineLevel="0" collapsed="false">
      <c r="A276" s="23"/>
      <c r="B276" s="23"/>
      <c r="C276" s="23"/>
      <c r="D276" s="23"/>
      <c r="E276" s="23"/>
      <c r="F276" s="23"/>
      <c r="G276" s="6"/>
      <c r="H276" s="6"/>
      <c r="I276" s="23"/>
      <c r="J276" s="23"/>
      <c r="K276" s="23"/>
      <c r="L276" s="6"/>
      <c r="M276" s="6"/>
      <c r="N276" s="24"/>
      <c r="O276" s="25"/>
      <c r="P276" s="23"/>
      <c r="Q276" s="23"/>
      <c r="R276" s="23"/>
      <c r="S276" s="23"/>
      <c r="T276" s="26" t="str">
        <f aca="false">IF(OR($O276="",$D276=""),"",WORKDAY($O276,-IFERROR(VLOOKUP($D276,'Rules &amp; Guardrails'!$A$9:$D$24,3,0),10)))</f>
        <v/>
      </c>
      <c r="U276" s="23"/>
      <c r="V276" s="23"/>
      <c r="W276" s="23"/>
      <c r="X276" s="6"/>
      <c r="Y276" s="23"/>
      <c r="Z276" s="23"/>
      <c r="AA276" s="23"/>
      <c r="AB276" s="23"/>
      <c r="AC276" s="23"/>
      <c r="AD276" s="23"/>
      <c r="AE276" s="23"/>
      <c r="AF276" s="27" t="str">
        <f aca="true">IF($O276="","",IF(OR($AE276="Cancelled",$AE276="On hold",$AE276="Launched"),$AE276,IF(AND($Y276="Approved",OR($Z276="Yes",$Z276="N/A"),OR($AA276="Yes",$AA276="N/A"),OR($AB276="No",$AB276="N/A",AND($AB276="Yes",$AD276="Yes"))),"Ready",IF($O276&lt;TODAY(),"Overdue",IF($O276-TODAY()&lt;='Rules &amp; Guardrails'!$C$5,"At Risk","In Progress")))))</f>
        <v/>
      </c>
      <c r="AG276" s="28" t="str">
        <f aca="false">IF($O276="","",IF(OR($AE276="Launched",$AE276="Cancelled"),"",MID(IF($Y276&lt;&gt;"Approved",", Content approval","")&amp;IF(NOT(OR($Z276="Yes",$Z276="N/A")),", Assets","")&amp;IF(NOT(OR($AA276="Yes",$AA276="N/A")),", List","")&amp;IF($AB276="",", Ops decision",IF(AND($AB276="Yes",$AD276&lt;&gt;"Yes"),", Ops",""))&amp;IF($U276="",", Owner","")&amp;IF($K276="",", Segment",""),3,200)))</f>
        <v/>
      </c>
      <c r="AH276" s="29" t="str">
        <f aca="true">IF($O276="","",$O276-TODAY())</f>
        <v/>
      </c>
      <c r="AI276" s="26" t="str">
        <f aca="false">IF($O276="","",$O276-WEEKDAY($O276,3))</f>
        <v/>
      </c>
      <c r="AJ276" s="30" t="str">
        <f aca="false">IF($O276="","",DATE(YEAR($O276),MONTH($O276),1))</f>
        <v/>
      </c>
      <c r="AK276" s="31" t="str">
        <f aca="false">IF(OR($O276="",$K276=""),"",COUNTIFS('Comms Calendar'!$K$5:$K$504,$K276,'Comms Calendar'!$B$5:$B$504,$B276,'Comms Calendar'!$AI$5:$AI$504,$AI276,'Comms Calendar'!$AE$5:$AE$504,"&lt;&gt;Cancelled"))</f>
        <v/>
      </c>
      <c r="AL276" s="27" t="str">
        <f aca="false">IF($AK276="","",IF($AK276&gt;'Rules &amp; Guardrails'!$C$3,"Over cap","OK"))</f>
        <v/>
      </c>
      <c r="AM276" s="27" t="str">
        <f aca="false">IF(OR($O276="",$K276=""),"",IF(COUNTIFS('Comms Calendar'!$K$5:$K$504,$K276,'Comms Calendar'!$B$5:$B$504,$B276,'Comms Calendar'!$O$5:$O$504,$O276,'Comms Calendar'!$AE$5:$AE$504,"&lt;&gt;Cancelled")&gt;1,"Clash",""))</f>
        <v/>
      </c>
      <c r="AN276" s="27" t="str">
        <f aca="false">IF($O276="","",IF(IF($B276="Global",COUNTIF('Rules &amp; Guardrails'!$F$9:$F$60,$O276),COUNTIFS('Rules &amp; Guardrails'!$F$9:$F$60,$O276,'Rules &amp; Guardrails'!$G$9:$G$60,$B276)+COUNTIFS('Rules &amp; Guardrails'!$F$9:$F$60,$O276,'Rules &amp; Guardrails'!$G$9:$G$60,"Global"))&gt;0,"Blackout",""))</f>
        <v/>
      </c>
      <c r="AO276" s="6"/>
      <c r="AP276" s="25"/>
      <c r="AQ276" s="23"/>
      <c r="AR276" s="31" t="str">
        <f aca="false">IF($D276="","",IFERROR(VLOOKUP($D276,'Rules &amp; Guardrails'!$A$9:$D$24,2,0),"Other"))</f>
        <v/>
      </c>
      <c r="AS276" s="31" t="str">
        <f aca="false">IF($O276="","",$O276&amp;"|"&amp;$B276)</f>
        <v/>
      </c>
    </row>
    <row r="277" customFormat="false" ht="15" hidden="false" customHeight="false" outlineLevel="0" collapsed="false">
      <c r="A277" s="23"/>
      <c r="B277" s="23"/>
      <c r="C277" s="23"/>
      <c r="D277" s="23"/>
      <c r="E277" s="23"/>
      <c r="F277" s="23"/>
      <c r="G277" s="6"/>
      <c r="H277" s="6"/>
      <c r="I277" s="23"/>
      <c r="J277" s="23"/>
      <c r="K277" s="23"/>
      <c r="L277" s="6"/>
      <c r="M277" s="6"/>
      <c r="N277" s="24"/>
      <c r="O277" s="25"/>
      <c r="P277" s="23"/>
      <c r="Q277" s="23"/>
      <c r="R277" s="23"/>
      <c r="S277" s="23"/>
      <c r="T277" s="26" t="str">
        <f aca="false">IF(OR($O277="",$D277=""),"",WORKDAY($O277,-IFERROR(VLOOKUP($D277,'Rules &amp; Guardrails'!$A$9:$D$24,3,0),10)))</f>
        <v/>
      </c>
      <c r="U277" s="23"/>
      <c r="V277" s="23"/>
      <c r="W277" s="23"/>
      <c r="X277" s="6"/>
      <c r="Y277" s="23"/>
      <c r="Z277" s="23"/>
      <c r="AA277" s="23"/>
      <c r="AB277" s="23"/>
      <c r="AC277" s="23"/>
      <c r="AD277" s="23"/>
      <c r="AE277" s="23"/>
      <c r="AF277" s="27" t="str">
        <f aca="true">IF($O277="","",IF(OR($AE277="Cancelled",$AE277="On hold",$AE277="Launched"),$AE277,IF(AND($Y277="Approved",OR($Z277="Yes",$Z277="N/A"),OR($AA277="Yes",$AA277="N/A"),OR($AB277="No",$AB277="N/A",AND($AB277="Yes",$AD277="Yes"))),"Ready",IF($O277&lt;TODAY(),"Overdue",IF($O277-TODAY()&lt;='Rules &amp; Guardrails'!$C$5,"At Risk","In Progress")))))</f>
        <v/>
      </c>
      <c r="AG277" s="28" t="str">
        <f aca="false">IF($O277="","",IF(OR($AE277="Launched",$AE277="Cancelled"),"",MID(IF($Y277&lt;&gt;"Approved",", Content approval","")&amp;IF(NOT(OR($Z277="Yes",$Z277="N/A")),", Assets","")&amp;IF(NOT(OR($AA277="Yes",$AA277="N/A")),", List","")&amp;IF($AB277="",", Ops decision",IF(AND($AB277="Yes",$AD277&lt;&gt;"Yes"),", Ops",""))&amp;IF($U277="",", Owner","")&amp;IF($K277="",", Segment",""),3,200)))</f>
        <v/>
      </c>
      <c r="AH277" s="29" t="str">
        <f aca="true">IF($O277="","",$O277-TODAY())</f>
        <v/>
      </c>
      <c r="AI277" s="26" t="str">
        <f aca="false">IF($O277="","",$O277-WEEKDAY($O277,3))</f>
        <v/>
      </c>
      <c r="AJ277" s="30" t="str">
        <f aca="false">IF($O277="","",DATE(YEAR($O277),MONTH($O277),1))</f>
        <v/>
      </c>
      <c r="AK277" s="31" t="str">
        <f aca="false">IF(OR($O277="",$K277=""),"",COUNTIFS('Comms Calendar'!$K$5:$K$504,$K277,'Comms Calendar'!$B$5:$B$504,$B277,'Comms Calendar'!$AI$5:$AI$504,$AI277,'Comms Calendar'!$AE$5:$AE$504,"&lt;&gt;Cancelled"))</f>
        <v/>
      </c>
      <c r="AL277" s="27" t="str">
        <f aca="false">IF($AK277="","",IF($AK277&gt;'Rules &amp; Guardrails'!$C$3,"Over cap","OK"))</f>
        <v/>
      </c>
      <c r="AM277" s="27" t="str">
        <f aca="false">IF(OR($O277="",$K277=""),"",IF(COUNTIFS('Comms Calendar'!$K$5:$K$504,$K277,'Comms Calendar'!$B$5:$B$504,$B277,'Comms Calendar'!$O$5:$O$504,$O277,'Comms Calendar'!$AE$5:$AE$504,"&lt;&gt;Cancelled")&gt;1,"Clash",""))</f>
        <v/>
      </c>
      <c r="AN277" s="27" t="str">
        <f aca="false">IF($O277="","",IF(IF($B277="Global",COUNTIF('Rules &amp; Guardrails'!$F$9:$F$60,$O277),COUNTIFS('Rules &amp; Guardrails'!$F$9:$F$60,$O277,'Rules &amp; Guardrails'!$G$9:$G$60,$B277)+COUNTIFS('Rules &amp; Guardrails'!$F$9:$F$60,$O277,'Rules &amp; Guardrails'!$G$9:$G$60,"Global"))&gt;0,"Blackout",""))</f>
        <v/>
      </c>
      <c r="AO277" s="6"/>
      <c r="AP277" s="25"/>
      <c r="AQ277" s="23"/>
      <c r="AR277" s="31" t="str">
        <f aca="false">IF($D277="","",IFERROR(VLOOKUP($D277,'Rules &amp; Guardrails'!$A$9:$D$24,2,0),"Other"))</f>
        <v/>
      </c>
      <c r="AS277" s="31" t="str">
        <f aca="false">IF($O277="","",$O277&amp;"|"&amp;$B277)</f>
        <v/>
      </c>
    </row>
    <row r="278" customFormat="false" ht="15" hidden="false" customHeight="false" outlineLevel="0" collapsed="false">
      <c r="A278" s="23"/>
      <c r="B278" s="23"/>
      <c r="C278" s="23"/>
      <c r="D278" s="23"/>
      <c r="E278" s="23"/>
      <c r="F278" s="23"/>
      <c r="G278" s="6"/>
      <c r="H278" s="6"/>
      <c r="I278" s="23"/>
      <c r="J278" s="23"/>
      <c r="K278" s="23"/>
      <c r="L278" s="6"/>
      <c r="M278" s="6"/>
      <c r="N278" s="24"/>
      <c r="O278" s="25"/>
      <c r="P278" s="23"/>
      <c r="Q278" s="23"/>
      <c r="R278" s="23"/>
      <c r="S278" s="23"/>
      <c r="T278" s="26" t="str">
        <f aca="false">IF(OR($O278="",$D278=""),"",WORKDAY($O278,-IFERROR(VLOOKUP($D278,'Rules &amp; Guardrails'!$A$9:$D$24,3,0),10)))</f>
        <v/>
      </c>
      <c r="U278" s="23"/>
      <c r="V278" s="23"/>
      <c r="W278" s="23"/>
      <c r="X278" s="6"/>
      <c r="Y278" s="23"/>
      <c r="Z278" s="23"/>
      <c r="AA278" s="23"/>
      <c r="AB278" s="23"/>
      <c r="AC278" s="23"/>
      <c r="AD278" s="23"/>
      <c r="AE278" s="23"/>
      <c r="AF278" s="27" t="str">
        <f aca="true">IF($O278="","",IF(OR($AE278="Cancelled",$AE278="On hold",$AE278="Launched"),$AE278,IF(AND($Y278="Approved",OR($Z278="Yes",$Z278="N/A"),OR($AA278="Yes",$AA278="N/A"),OR($AB278="No",$AB278="N/A",AND($AB278="Yes",$AD278="Yes"))),"Ready",IF($O278&lt;TODAY(),"Overdue",IF($O278-TODAY()&lt;='Rules &amp; Guardrails'!$C$5,"At Risk","In Progress")))))</f>
        <v/>
      </c>
      <c r="AG278" s="28" t="str">
        <f aca="false">IF($O278="","",IF(OR($AE278="Launched",$AE278="Cancelled"),"",MID(IF($Y278&lt;&gt;"Approved",", Content approval","")&amp;IF(NOT(OR($Z278="Yes",$Z278="N/A")),", Assets","")&amp;IF(NOT(OR($AA278="Yes",$AA278="N/A")),", List","")&amp;IF($AB278="",", Ops decision",IF(AND($AB278="Yes",$AD278&lt;&gt;"Yes"),", Ops",""))&amp;IF($U278="",", Owner","")&amp;IF($K278="",", Segment",""),3,200)))</f>
        <v/>
      </c>
      <c r="AH278" s="29" t="str">
        <f aca="true">IF($O278="","",$O278-TODAY())</f>
        <v/>
      </c>
      <c r="AI278" s="26" t="str">
        <f aca="false">IF($O278="","",$O278-WEEKDAY($O278,3))</f>
        <v/>
      </c>
      <c r="AJ278" s="30" t="str">
        <f aca="false">IF($O278="","",DATE(YEAR($O278),MONTH($O278),1))</f>
        <v/>
      </c>
      <c r="AK278" s="31" t="str">
        <f aca="false">IF(OR($O278="",$K278=""),"",COUNTIFS('Comms Calendar'!$K$5:$K$504,$K278,'Comms Calendar'!$B$5:$B$504,$B278,'Comms Calendar'!$AI$5:$AI$504,$AI278,'Comms Calendar'!$AE$5:$AE$504,"&lt;&gt;Cancelled"))</f>
        <v/>
      </c>
      <c r="AL278" s="27" t="str">
        <f aca="false">IF($AK278="","",IF($AK278&gt;'Rules &amp; Guardrails'!$C$3,"Over cap","OK"))</f>
        <v/>
      </c>
      <c r="AM278" s="27" t="str">
        <f aca="false">IF(OR($O278="",$K278=""),"",IF(COUNTIFS('Comms Calendar'!$K$5:$K$504,$K278,'Comms Calendar'!$B$5:$B$504,$B278,'Comms Calendar'!$O$5:$O$504,$O278,'Comms Calendar'!$AE$5:$AE$504,"&lt;&gt;Cancelled")&gt;1,"Clash",""))</f>
        <v/>
      </c>
      <c r="AN278" s="27" t="str">
        <f aca="false">IF($O278="","",IF(IF($B278="Global",COUNTIF('Rules &amp; Guardrails'!$F$9:$F$60,$O278),COUNTIFS('Rules &amp; Guardrails'!$F$9:$F$60,$O278,'Rules &amp; Guardrails'!$G$9:$G$60,$B278)+COUNTIFS('Rules &amp; Guardrails'!$F$9:$F$60,$O278,'Rules &amp; Guardrails'!$G$9:$G$60,"Global"))&gt;0,"Blackout",""))</f>
        <v/>
      </c>
      <c r="AO278" s="6"/>
      <c r="AP278" s="25"/>
      <c r="AQ278" s="23"/>
      <c r="AR278" s="31" t="str">
        <f aca="false">IF($D278="","",IFERROR(VLOOKUP($D278,'Rules &amp; Guardrails'!$A$9:$D$24,2,0),"Other"))</f>
        <v/>
      </c>
      <c r="AS278" s="31" t="str">
        <f aca="false">IF($O278="","",$O278&amp;"|"&amp;$B278)</f>
        <v/>
      </c>
    </row>
    <row r="279" customFormat="false" ht="15" hidden="false" customHeight="false" outlineLevel="0" collapsed="false">
      <c r="A279" s="23"/>
      <c r="B279" s="23"/>
      <c r="C279" s="23"/>
      <c r="D279" s="23"/>
      <c r="E279" s="23"/>
      <c r="F279" s="23"/>
      <c r="G279" s="6"/>
      <c r="H279" s="6"/>
      <c r="I279" s="23"/>
      <c r="J279" s="23"/>
      <c r="K279" s="23"/>
      <c r="L279" s="6"/>
      <c r="M279" s="6"/>
      <c r="N279" s="24"/>
      <c r="O279" s="25"/>
      <c r="P279" s="23"/>
      <c r="Q279" s="23"/>
      <c r="R279" s="23"/>
      <c r="S279" s="23"/>
      <c r="T279" s="26" t="str">
        <f aca="false">IF(OR($O279="",$D279=""),"",WORKDAY($O279,-IFERROR(VLOOKUP($D279,'Rules &amp; Guardrails'!$A$9:$D$24,3,0),10)))</f>
        <v/>
      </c>
      <c r="U279" s="23"/>
      <c r="V279" s="23"/>
      <c r="W279" s="23"/>
      <c r="X279" s="6"/>
      <c r="Y279" s="23"/>
      <c r="Z279" s="23"/>
      <c r="AA279" s="23"/>
      <c r="AB279" s="23"/>
      <c r="AC279" s="23"/>
      <c r="AD279" s="23"/>
      <c r="AE279" s="23"/>
      <c r="AF279" s="27" t="str">
        <f aca="true">IF($O279="","",IF(OR($AE279="Cancelled",$AE279="On hold",$AE279="Launched"),$AE279,IF(AND($Y279="Approved",OR($Z279="Yes",$Z279="N/A"),OR($AA279="Yes",$AA279="N/A"),OR($AB279="No",$AB279="N/A",AND($AB279="Yes",$AD279="Yes"))),"Ready",IF($O279&lt;TODAY(),"Overdue",IF($O279-TODAY()&lt;='Rules &amp; Guardrails'!$C$5,"At Risk","In Progress")))))</f>
        <v/>
      </c>
      <c r="AG279" s="28" t="str">
        <f aca="false">IF($O279="","",IF(OR($AE279="Launched",$AE279="Cancelled"),"",MID(IF($Y279&lt;&gt;"Approved",", Content approval","")&amp;IF(NOT(OR($Z279="Yes",$Z279="N/A")),", Assets","")&amp;IF(NOT(OR($AA279="Yes",$AA279="N/A")),", List","")&amp;IF($AB279="",", Ops decision",IF(AND($AB279="Yes",$AD279&lt;&gt;"Yes"),", Ops",""))&amp;IF($U279="",", Owner","")&amp;IF($K279="",", Segment",""),3,200)))</f>
        <v/>
      </c>
      <c r="AH279" s="29" t="str">
        <f aca="true">IF($O279="","",$O279-TODAY())</f>
        <v/>
      </c>
      <c r="AI279" s="26" t="str">
        <f aca="false">IF($O279="","",$O279-WEEKDAY($O279,3))</f>
        <v/>
      </c>
      <c r="AJ279" s="30" t="str">
        <f aca="false">IF($O279="","",DATE(YEAR($O279),MONTH($O279),1))</f>
        <v/>
      </c>
      <c r="AK279" s="31" t="str">
        <f aca="false">IF(OR($O279="",$K279=""),"",COUNTIFS('Comms Calendar'!$K$5:$K$504,$K279,'Comms Calendar'!$B$5:$B$504,$B279,'Comms Calendar'!$AI$5:$AI$504,$AI279,'Comms Calendar'!$AE$5:$AE$504,"&lt;&gt;Cancelled"))</f>
        <v/>
      </c>
      <c r="AL279" s="27" t="str">
        <f aca="false">IF($AK279="","",IF($AK279&gt;'Rules &amp; Guardrails'!$C$3,"Over cap","OK"))</f>
        <v/>
      </c>
      <c r="AM279" s="27" t="str">
        <f aca="false">IF(OR($O279="",$K279=""),"",IF(COUNTIFS('Comms Calendar'!$K$5:$K$504,$K279,'Comms Calendar'!$B$5:$B$504,$B279,'Comms Calendar'!$O$5:$O$504,$O279,'Comms Calendar'!$AE$5:$AE$504,"&lt;&gt;Cancelled")&gt;1,"Clash",""))</f>
        <v/>
      </c>
      <c r="AN279" s="27" t="str">
        <f aca="false">IF($O279="","",IF(IF($B279="Global",COUNTIF('Rules &amp; Guardrails'!$F$9:$F$60,$O279),COUNTIFS('Rules &amp; Guardrails'!$F$9:$F$60,$O279,'Rules &amp; Guardrails'!$G$9:$G$60,$B279)+COUNTIFS('Rules &amp; Guardrails'!$F$9:$F$60,$O279,'Rules &amp; Guardrails'!$G$9:$G$60,"Global"))&gt;0,"Blackout",""))</f>
        <v/>
      </c>
      <c r="AO279" s="6"/>
      <c r="AP279" s="25"/>
      <c r="AQ279" s="23"/>
      <c r="AR279" s="31" t="str">
        <f aca="false">IF($D279="","",IFERROR(VLOOKUP($D279,'Rules &amp; Guardrails'!$A$9:$D$24,2,0),"Other"))</f>
        <v/>
      </c>
      <c r="AS279" s="31" t="str">
        <f aca="false">IF($O279="","",$O279&amp;"|"&amp;$B279)</f>
        <v/>
      </c>
    </row>
    <row r="280" customFormat="false" ht="15" hidden="false" customHeight="false" outlineLevel="0" collapsed="false">
      <c r="A280" s="23"/>
      <c r="B280" s="23"/>
      <c r="C280" s="23"/>
      <c r="D280" s="23"/>
      <c r="E280" s="23"/>
      <c r="F280" s="23"/>
      <c r="G280" s="6"/>
      <c r="H280" s="6"/>
      <c r="I280" s="23"/>
      <c r="J280" s="23"/>
      <c r="K280" s="23"/>
      <c r="L280" s="6"/>
      <c r="M280" s="6"/>
      <c r="N280" s="24"/>
      <c r="O280" s="25"/>
      <c r="P280" s="23"/>
      <c r="Q280" s="23"/>
      <c r="R280" s="23"/>
      <c r="S280" s="23"/>
      <c r="T280" s="26" t="str">
        <f aca="false">IF(OR($O280="",$D280=""),"",WORKDAY($O280,-IFERROR(VLOOKUP($D280,'Rules &amp; Guardrails'!$A$9:$D$24,3,0),10)))</f>
        <v/>
      </c>
      <c r="U280" s="23"/>
      <c r="V280" s="23"/>
      <c r="W280" s="23"/>
      <c r="X280" s="6"/>
      <c r="Y280" s="23"/>
      <c r="Z280" s="23"/>
      <c r="AA280" s="23"/>
      <c r="AB280" s="23"/>
      <c r="AC280" s="23"/>
      <c r="AD280" s="23"/>
      <c r="AE280" s="23"/>
      <c r="AF280" s="27" t="str">
        <f aca="true">IF($O280="","",IF(OR($AE280="Cancelled",$AE280="On hold",$AE280="Launched"),$AE280,IF(AND($Y280="Approved",OR($Z280="Yes",$Z280="N/A"),OR($AA280="Yes",$AA280="N/A"),OR($AB280="No",$AB280="N/A",AND($AB280="Yes",$AD280="Yes"))),"Ready",IF($O280&lt;TODAY(),"Overdue",IF($O280-TODAY()&lt;='Rules &amp; Guardrails'!$C$5,"At Risk","In Progress")))))</f>
        <v/>
      </c>
      <c r="AG280" s="28" t="str">
        <f aca="false">IF($O280="","",IF(OR($AE280="Launched",$AE280="Cancelled"),"",MID(IF($Y280&lt;&gt;"Approved",", Content approval","")&amp;IF(NOT(OR($Z280="Yes",$Z280="N/A")),", Assets","")&amp;IF(NOT(OR($AA280="Yes",$AA280="N/A")),", List","")&amp;IF($AB280="",", Ops decision",IF(AND($AB280="Yes",$AD280&lt;&gt;"Yes"),", Ops",""))&amp;IF($U280="",", Owner","")&amp;IF($K280="",", Segment",""),3,200)))</f>
        <v/>
      </c>
      <c r="AH280" s="29" t="str">
        <f aca="true">IF($O280="","",$O280-TODAY())</f>
        <v/>
      </c>
      <c r="AI280" s="26" t="str">
        <f aca="false">IF($O280="","",$O280-WEEKDAY($O280,3))</f>
        <v/>
      </c>
      <c r="AJ280" s="30" t="str">
        <f aca="false">IF($O280="","",DATE(YEAR($O280),MONTH($O280),1))</f>
        <v/>
      </c>
      <c r="AK280" s="31" t="str">
        <f aca="false">IF(OR($O280="",$K280=""),"",COUNTIFS('Comms Calendar'!$K$5:$K$504,$K280,'Comms Calendar'!$B$5:$B$504,$B280,'Comms Calendar'!$AI$5:$AI$504,$AI280,'Comms Calendar'!$AE$5:$AE$504,"&lt;&gt;Cancelled"))</f>
        <v/>
      </c>
      <c r="AL280" s="27" t="str">
        <f aca="false">IF($AK280="","",IF($AK280&gt;'Rules &amp; Guardrails'!$C$3,"Over cap","OK"))</f>
        <v/>
      </c>
      <c r="AM280" s="27" t="str">
        <f aca="false">IF(OR($O280="",$K280=""),"",IF(COUNTIFS('Comms Calendar'!$K$5:$K$504,$K280,'Comms Calendar'!$B$5:$B$504,$B280,'Comms Calendar'!$O$5:$O$504,$O280,'Comms Calendar'!$AE$5:$AE$504,"&lt;&gt;Cancelled")&gt;1,"Clash",""))</f>
        <v/>
      </c>
      <c r="AN280" s="27" t="str">
        <f aca="false">IF($O280="","",IF(IF($B280="Global",COUNTIF('Rules &amp; Guardrails'!$F$9:$F$60,$O280),COUNTIFS('Rules &amp; Guardrails'!$F$9:$F$60,$O280,'Rules &amp; Guardrails'!$G$9:$G$60,$B280)+COUNTIFS('Rules &amp; Guardrails'!$F$9:$F$60,$O280,'Rules &amp; Guardrails'!$G$9:$G$60,"Global"))&gt;0,"Blackout",""))</f>
        <v/>
      </c>
      <c r="AO280" s="6"/>
      <c r="AP280" s="25"/>
      <c r="AQ280" s="23"/>
      <c r="AR280" s="31" t="str">
        <f aca="false">IF($D280="","",IFERROR(VLOOKUP($D280,'Rules &amp; Guardrails'!$A$9:$D$24,2,0),"Other"))</f>
        <v/>
      </c>
      <c r="AS280" s="31" t="str">
        <f aca="false">IF($O280="","",$O280&amp;"|"&amp;$B280)</f>
        <v/>
      </c>
    </row>
    <row r="281" customFormat="false" ht="15" hidden="false" customHeight="false" outlineLevel="0" collapsed="false">
      <c r="A281" s="23"/>
      <c r="B281" s="23"/>
      <c r="C281" s="23"/>
      <c r="D281" s="23"/>
      <c r="E281" s="23"/>
      <c r="F281" s="23"/>
      <c r="G281" s="6"/>
      <c r="H281" s="6"/>
      <c r="I281" s="23"/>
      <c r="J281" s="23"/>
      <c r="K281" s="23"/>
      <c r="L281" s="6"/>
      <c r="M281" s="6"/>
      <c r="N281" s="24"/>
      <c r="O281" s="25"/>
      <c r="P281" s="23"/>
      <c r="Q281" s="23"/>
      <c r="R281" s="23"/>
      <c r="S281" s="23"/>
      <c r="T281" s="26" t="str">
        <f aca="false">IF(OR($O281="",$D281=""),"",WORKDAY($O281,-IFERROR(VLOOKUP($D281,'Rules &amp; Guardrails'!$A$9:$D$24,3,0),10)))</f>
        <v/>
      </c>
      <c r="U281" s="23"/>
      <c r="V281" s="23"/>
      <c r="W281" s="23"/>
      <c r="X281" s="6"/>
      <c r="Y281" s="23"/>
      <c r="Z281" s="23"/>
      <c r="AA281" s="23"/>
      <c r="AB281" s="23"/>
      <c r="AC281" s="23"/>
      <c r="AD281" s="23"/>
      <c r="AE281" s="23"/>
      <c r="AF281" s="27" t="str">
        <f aca="true">IF($O281="","",IF(OR($AE281="Cancelled",$AE281="On hold",$AE281="Launched"),$AE281,IF(AND($Y281="Approved",OR($Z281="Yes",$Z281="N/A"),OR($AA281="Yes",$AA281="N/A"),OR($AB281="No",$AB281="N/A",AND($AB281="Yes",$AD281="Yes"))),"Ready",IF($O281&lt;TODAY(),"Overdue",IF($O281-TODAY()&lt;='Rules &amp; Guardrails'!$C$5,"At Risk","In Progress")))))</f>
        <v/>
      </c>
      <c r="AG281" s="28" t="str">
        <f aca="false">IF($O281="","",IF(OR($AE281="Launched",$AE281="Cancelled"),"",MID(IF($Y281&lt;&gt;"Approved",", Content approval","")&amp;IF(NOT(OR($Z281="Yes",$Z281="N/A")),", Assets","")&amp;IF(NOT(OR($AA281="Yes",$AA281="N/A")),", List","")&amp;IF($AB281="",", Ops decision",IF(AND($AB281="Yes",$AD281&lt;&gt;"Yes"),", Ops",""))&amp;IF($U281="",", Owner","")&amp;IF($K281="",", Segment",""),3,200)))</f>
        <v/>
      </c>
      <c r="AH281" s="29" t="str">
        <f aca="true">IF($O281="","",$O281-TODAY())</f>
        <v/>
      </c>
      <c r="AI281" s="26" t="str">
        <f aca="false">IF($O281="","",$O281-WEEKDAY($O281,3))</f>
        <v/>
      </c>
      <c r="AJ281" s="30" t="str">
        <f aca="false">IF($O281="","",DATE(YEAR($O281),MONTH($O281),1))</f>
        <v/>
      </c>
      <c r="AK281" s="31" t="str">
        <f aca="false">IF(OR($O281="",$K281=""),"",COUNTIFS('Comms Calendar'!$K$5:$K$504,$K281,'Comms Calendar'!$B$5:$B$504,$B281,'Comms Calendar'!$AI$5:$AI$504,$AI281,'Comms Calendar'!$AE$5:$AE$504,"&lt;&gt;Cancelled"))</f>
        <v/>
      </c>
      <c r="AL281" s="27" t="str">
        <f aca="false">IF($AK281="","",IF($AK281&gt;'Rules &amp; Guardrails'!$C$3,"Over cap","OK"))</f>
        <v/>
      </c>
      <c r="AM281" s="27" t="str">
        <f aca="false">IF(OR($O281="",$K281=""),"",IF(COUNTIFS('Comms Calendar'!$K$5:$K$504,$K281,'Comms Calendar'!$B$5:$B$504,$B281,'Comms Calendar'!$O$5:$O$504,$O281,'Comms Calendar'!$AE$5:$AE$504,"&lt;&gt;Cancelled")&gt;1,"Clash",""))</f>
        <v/>
      </c>
      <c r="AN281" s="27" t="str">
        <f aca="false">IF($O281="","",IF(IF($B281="Global",COUNTIF('Rules &amp; Guardrails'!$F$9:$F$60,$O281),COUNTIFS('Rules &amp; Guardrails'!$F$9:$F$60,$O281,'Rules &amp; Guardrails'!$G$9:$G$60,$B281)+COUNTIFS('Rules &amp; Guardrails'!$F$9:$F$60,$O281,'Rules &amp; Guardrails'!$G$9:$G$60,"Global"))&gt;0,"Blackout",""))</f>
        <v/>
      </c>
      <c r="AO281" s="6"/>
      <c r="AP281" s="25"/>
      <c r="AQ281" s="23"/>
      <c r="AR281" s="31" t="str">
        <f aca="false">IF($D281="","",IFERROR(VLOOKUP($D281,'Rules &amp; Guardrails'!$A$9:$D$24,2,0),"Other"))</f>
        <v/>
      </c>
      <c r="AS281" s="31" t="str">
        <f aca="false">IF($O281="","",$O281&amp;"|"&amp;$B281)</f>
        <v/>
      </c>
    </row>
    <row r="282" customFormat="false" ht="15" hidden="false" customHeight="false" outlineLevel="0" collapsed="false">
      <c r="A282" s="23"/>
      <c r="B282" s="23"/>
      <c r="C282" s="23"/>
      <c r="D282" s="23"/>
      <c r="E282" s="23"/>
      <c r="F282" s="23"/>
      <c r="G282" s="6"/>
      <c r="H282" s="6"/>
      <c r="I282" s="23"/>
      <c r="J282" s="23"/>
      <c r="K282" s="23"/>
      <c r="L282" s="6"/>
      <c r="M282" s="6"/>
      <c r="N282" s="24"/>
      <c r="O282" s="25"/>
      <c r="P282" s="23"/>
      <c r="Q282" s="23"/>
      <c r="R282" s="23"/>
      <c r="S282" s="23"/>
      <c r="T282" s="26" t="str">
        <f aca="false">IF(OR($O282="",$D282=""),"",WORKDAY($O282,-IFERROR(VLOOKUP($D282,'Rules &amp; Guardrails'!$A$9:$D$24,3,0),10)))</f>
        <v/>
      </c>
      <c r="U282" s="23"/>
      <c r="V282" s="23"/>
      <c r="W282" s="23"/>
      <c r="X282" s="6"/>
      <c r="Y282" s="23"/>
      <c r="Z282" s="23"/>
      <c r="AA282" s="23"/>
      <c r="AB282" s="23"/>
      <c r="AC282" s="23"/>
      <c r="AD282" s="23"/>
      <c r="AE282" s="23"/>
      <c r="AF282" s="27" t="str">
        <f aca="true">IF($O282="","",IF(OR($AE282="Cancelled",$AE282="On hold",$AE282="Launched"),$AE282,IF(AND($Y282="Approved",OR($Z282="Yes",$Z282="N/A"),OR($AA282="Yes",$AA282="N/A"),OR($AB282="No",$AB282="N/A",AND($AB282="Yes",$AD282="Yes"))),"Ready",IF($O282&lt;TODAY(),"Overdue",IF($O282-TODAY()&lt;='Rules &amp; Guardrails'!$C$5,"At Risk","In Progress")))))</f>
        <v/>
      </c>
      <c r="AG282" s="28" t="str">
        <f aca="false">IF($O282="","",IF(OR($AE282="Launched",$AE282="Cancelled"),"",MID(IF($Y282&lt;&gt;"Approved",", Content approval","")&amp;IF(NOT(OR($Z282="Yes",$Z282="N/A")),", Assets","")&amp;IF(NOT(OR($AA282="Yes",$AA282="N/A")),", List","")&amp;IF($AB282="",", Ops decision",IF(AND($AB282="Yes",$AD282&lt;&gt;"Yes"),", Ops",""))&amp;IF($U282="",", Owner","")&amp;IF($K282="",", Segment",""),3,200)))</f>
        <v/>
      </c>
      <c r="AH282" s="29" t="str">
        <f aca="true">IF($O282="","",$O282-TODAY())</f>
        <v/>
      </c>
      <c r="AI282" s="26" t="str">
        <f aca="false">IF($O282="","",$O282-WEEKDAY($O282,3))</f>
        <v/>
      </c>
      <c r="AJ282" s="30" t="str">
        <f aca="false">IF($O282="","",DATE(YEAR($O282),MONTH($O282),1))</f>
        <v/>
      </c>
      <c r="AK282" s="31" t="str">
        <f aca="false">IF(OR($O282="",$K282=""),"",COUNTIFS('Comms Calendar'!$K$5:$K$504,$K282,'Comms Calendar'!$B$5:$B$504,$B282,'Comms Calendar'!$AI$5:$AI$504,$AI282,'Comms Calendar'!$AE$5:$AE$504,"&lt;&gt;Cancelled"))</f>
        <v/>
      </c>
      <c r="AL282" s="27" t="str">
        <f aca="false">IF($AK282="","",IF($AK282&gt;'Rules &amp; Guardrails'!$C$3,"Over cap","OK"))</f>
        <v/>
      </c>
      <c r="AM282" s="27" t="str">
        <f aca="false">IF(OR($O282="",$K282=""),"",IF(COUNTIFS('Comms Calendar'!$K$5:$K$504,$K282,'Comms Calendar'!$B$5:$B$504,$B282,'Comms Calendar'!$O$5:$O$504,$O282,'Comms Calendar'!$AE$5:$AE$504,"&lt;&gt;Cancelled")&gt;1,"Clash",""))</f>
        <v/>
      </c>
      <c r="AN282" s="27" t="str">
        <f aca="false">IF($O282="","",IF(IF($B282="Global",COUNTIF('Rules &amp; Guardrails'!$F$9:$F$60,$O282),COUNTIFS('Rules &amp; Guardrails'!$F$9:$F$60,$O282,'Rules &amp; Guardrails'!$G$9:$G$60,$B282)+COUNTIFS('Rules &amp; Guardrails'!$F$9:$F$60,$O282,'Rules &amp; Guardrails'!$G$9:$G$60,"Global"))&gt;0,"Blackout",""))</f>
        <v/>
      </c>
      <c r="AO282" s="6"/>
      <c r="AP282" s="25"/>
      <c r="AQ282" s="23"/>
      <c r="AR282" s="31" t="str">
        <f aca="false">IF($D282="","",IFERROR(VLOOKUP($D282,'Rules &amp; Guardrails'!$A$9:$D$24,2,0),"Other"))</f>
        <v/>
      </c>
      <c r="AS282" s="31" t="str">
        <f aca="false">IF($O282="","",$O282&amp;"|"&amp;$B282)</f>
        <v/>
      </c>
    </row>
    <row r="283" customFormat="false" ht="15" hidden="false" customHeight="false" outlineLevel="0" collapsed="false">
      <c r="A283" s="23"/>
      <c r="B283" s="23"/>
      <c r="C283" s="23"/>
      <c r="D283" s="23"/>
      <c r="E283" s="23"/>
      <c r="F283" s="23"/>
      <c r="G283" s="6"/>
      <c r="H283" s="6"/>
      <c r="I283" s="23"/>
      <c r="J283" s="23"/>
      <c r="K283" s="23"/>
      <c r="L283" s="6"/>
      <c r="M283" s="6"/>
      <c r="N283" s="24"/>
      <c r="O283" s="25"/>
      <c r="P283" s="23"/>
      <c r="Q283" s="23"/>
      <c r="R283" s="23"/>
      <c r="S283" s="23"/>
      <c r="T283" s="26" t="str">
        <f aca="false">IF(OR($O283="",$D283=""),"",WORKDAY($O283,-IFERROR(VLOOKUP($D283,'Rules &amp; Guardrails'!$A$9:$D$24,3,0),10)))</f>
        <v/>
      </c>
      <c r="U283" s="23"/>
      <c r="V283" s="23"/>
      <c r="W283" s="23"/>
      <c r="X283" s="6"/>
      <c r="Y283" s="23"/>
      <c r="Z283" s="23"/>
      <c r="AA283" s="23"/>
      <c r="AB283" s="23"/>
      <c r="AC283" s="23"/>
      <c r="AD283" s="23"/>
      <c r="AE283" s="23"/>
      <c r="AF283" s="27" t="str">
        <f aca="true">IF($O283="","",IF(OR($AE283="Cancelled",$AE283="On hold",$AE283="Launched"),$AE283,IF(AND($Y283="Approved",OR($Z283="Yes",$Z283="N/A"),OR($AA283="Yes",$AA283="N/A"),OR($AB283="No",$AB283="N/A",AND($AB283="Yes",$AD283="Yes"))),"Ready",IF($O283&lt;TODAY(),"Overdue",IF($O283-TODAY()&lt;='Rules &amp; Guardrails'!$C$5,"At Risk","In Progress")))))</f>
        <v/>
      </c>
      <c r="AG283" s="28" t="str">
        <f aca="false">IF($O283="","",IF(OR($AE283="Launched",$AE283="Cancelled"),"",MID(IF($Y283&lt;&gt;"Approved",", Content approval","")&amp;IF(NOT(OR($Z283="Yes",$Z283="N/A")),", Assets","")&amp;IF(NOT(OR($AA283="Yes",$AA283="N/A")),", List","")&amp;IF($AB283="",", Ops decision",IF(AND($AB283="Yes",$AD283&lt;&gt;"Yes"),", Ops",""))&amp;IF($U283="",", Owner","")&amp;IF($K283="",", Segment",""),3,200)))</f>
        <v/>
      </c>
      <c r="AH283" s="29" t="str">
        <f aca="true">IF($O283="","",$O283-TODAY())</f>
        <v/>
      </c>
      <c r="AI283" s="26" t="str">
        <f aca="false">IF($O283="","",$O283-WEEKDAY($O283,3))</f>
        <v/>
      </c>
      <c r="AJ283" s="30" t="str">
        <f aca="false">IF($O283="","",DATE(YEAR($O283),MONTH($O283),1))</f>
        <v/>
      </c>
      <c r="AK283" s="31" t="str">
        <f aca="false">IF(OR($O283="",$K283=""),"",COUNTIFS('Comms Calendar'!$K$5:$K$504,$K283,'Comms Calendar'!$B$5:$B$504,$B283,'Comms Calendar'!$AI$5:$AI$504,$AI283,'Comms Calendar'!$AE$5:$AE$504,"&lt;&gt;Cancelled"))</f>
        <v/>
      </c>
      <c r="AL283" s="27" t="str">
        <f aca="false">IF($AK283="","",IF($AK283&gt;'Rules &amp; Guardrails'!$C$3,"Over cap","OK"))</f>
        <v/>
      </c>
      <c r="AM283" s="27" t="str">
        <f aca="false">IF(OR($O283="",$K283=""),"",IF(COUNTIFS('Comms Calendar'!$K$5:$K$504,$K283,'Comms Calendar'!$B$5:$B$504,$B283,'Comms Calendar'!$O$5:$O$504,$O283,'Comms Calendar'!$AE$5:$AE$504,"&lt;&gt;Cancelled")&gt;1,"Clash",""))</f>
        <v/>
      </c>
      <c r="AN283" s="27" t="str">
        <f aca="false">IF($O283="","",IF(IF($B283="Global",COUNTIF('Rules &amp; Guardrails'!$F$9:$F$60,$O283),COUNTIFS('Rules &amp; Guardrails'!$F$9:$F$60,$O283,'Rules &amp; Guardrails'!$G$9:$G$60,$B283)+COUNTIFS('Rules &amp; Guardrails'!$F$9:$F$60,$O283,'Rules &amp; Guardrails'!$G$9:$G$60,"Global"))&gt;0,"Blackout",""))</f>
        <v/>
      </c>
      <c r="AO283" s="6"/>
      <c r="AP283" s="25"/>
      <c r="AQ283" s="23"/>
      <c r="AR283" s="31" t="str">
        <f aca="false">IF($D283="","",IFERROR(VLOOKUP($D283,'Rules &amp; Guardrails'!$A$9:$D$24,2,0),"Other"))</f>
        <v/>
      </c>
      <c r="AS283" s="31" t="str">
        <f aca="false">IF($O283="","",$O283&amp;"|"&amp;$B283)</f>
        <v/>
      </c>
    </row>
    <row r="284" customFormat="false" ht="15" hidden="false" customHeight="false" outlineLevel="0" collapsed="false">
      <c r="A284" s="23"/>
      <c r="B284" s="23"/>
      <c r="C284" s="23"/>
      <c r="D284" s="23"/>
      <c r="E284" s="23"/>
      <c r="F284" s="23"/>
      <c r="G284" s="6"/>
      <c r="H284" s="6"/>
      <c r="I284" s="23"/>
      <c r="J284" s="23"/>
      <c r="K284" s="23"/>
      <c r="L284" s="6"/>
      <c r="M284" s="6"/>
      <c r="N284" s="24"/>
      <c r="O284" s="25"/>
      <c r="P284" s="23"/>
      <c r="Q284" s="23"/>
      <c r="R284" s="23"/>
      <c r="S284" s="23"/>
      <c r="T284" s="26" t="str">
        <f aca="false">IF(OR($O284="",$D284=""),"",WORKDAY($O284,-IFERROR(VLOOKUP($D284,'Rules &amp; Guardrails'!$A$9:$D$24,3,0),10)))</f>
        <v/>
      </c>
      <c r="U284" s="23"/>
      <c r="V284" s="23"/>
      <c r="W284" s="23"/>
      <c r="X284" s="6"/>
      <c r="Y284" s="23"/>
      <c r="Z284" s="23"/>
      <c r="AA284" s="23"/>
      <c r="AB284" s="23"/>
      <c r="AC284" s="23"/>
      <c r="AD284" s="23"/>
      <c r="AE284" s="23"/>
      <c r="AF284" s="27" t="str">
        <f aca="true">IF($O284="","",IF(OR($AE284="Cancelled",$AE284="On hold",$AE284="Launched"),$AE284,IF(AND($Y284="Approved",OR($Z284="Yes",$Z284="N/A"),OR($AA284="Yes",$AA284="N/A"),OR($AB284="No",$AB284="N/A",AND($AB284="Yes",$AD284="Yes"))),"Ready",IF($O284&lt;TODAY(),"Overdue",IF($O284-TODAY()&lt;='Rules &amp; Guardrails'!$C$5,"At Risk","In Progress")))))</f>
        <v/>
      </c>
      <c r="AG284" s="28" t="str">
        <f aca="false">IF($O284="","",IF(OR($AE284="Launched",$AE284="Cancelled"),"",MID(IF($Y284&lt;&gt;"Approved",", Content approval","")&amp;IF(NOT(OR($Z284="Yes",$Z284="N/A")),", Assets","")&amp;IF(NOT(OR($AA284="Yes",$AA284="N/A")),", List","")&amp;IF($AB284="",", Ops decision",IF(AND($AB284="Yes",$AD284&lt;&gt;"Yes"),", Ops",""))&amp;IF($U284="",", Owner","")&amp;IF($K284="",", Segment",""),3,200)))</f>
        <v/>
      </c>
      <c r="AH284" s="29" t="str">
        <f aca="true">IF($O284="","",$O284-TODAY())</f>
        <v/>
      </c>
      <c r="AI284" s="26" t="str">
        <f aca="false">IF($O284="","",$O284-WEEKDAY($O284,3))</f>
        <v/>
      </c>
      <c r="AJ284" s="30" t="str">
        <f aca="false">IF($O284="","",DATE(YEAR($O284),MONTH($O284),1))</f>
        <v/>
      </c>
      <c r="AK284" s="31" t="str">
        <f aca="false">IF(OR($O284="",$K284=""),"",COUNTIFS('Comms Calendar'!$K$5:$K$504,$K284,'Comms Calendar'!$B$5:$B$504,$B284,'Comms Calendar'!$AI$5:$AI$504,$AI284,'Comms Calendar'!$AE$5:$AE$504,"&lt;&gt;Cancelled"))</f>
        <v/>
      </c>
      <c r="AL284" s="27" t="str">
        <f aca="false">IF($AK284="","",IF($AK284&gt;'Rules &amp; Guardrails'!$C$3,"Over cap","OK"))</f>
        <v/>
      </c>
      <c r="AM284" s="27" t="str">
        <f aca="false">IF(OR($O284="",$K284=""),"",IF(COUNTIFS('Comms Calendar'!$K$5:$K$504,$K284,'Comms Calendar'!$B$5:$B$504,$B284,'Comms Calendar'!$O$5:$O$504,$O284,'Comms Calendar'!$AE$5:$AE$504,"&lt;&gt;Cancelled")&gt;1,"Clash",""))</f>
        <v/>
      </c>
      <c r="AN284" s="27" t="str">
        <f aca="false">IF($O284="","",IF(IF($B284="Global",COUNTIF('Rules &amp; Guardrails'!$F$9:$F$60,$O284),COUNTIFS('Rules &amp; Guardrails'!$F$9:$F$60,$O284,'Rules &amp; Guardrails'!$G$9:$G$60,$B284)+COUNTIFS('Rules &amp; Guardrails'!$F$9:$F$60,$O284,'Rules &amp; Guardrails'!$G$9:$G$60,"Global"))&gt;0,"Blackout",""))</f>
        <v/>
      </c>
      <c r="AO284" s="6"/>
      <c r="AP284" s="25"/>
      <c r="AQ284" s="23"/>
      <c r="AR284" s="31" t="str">
        <f aca="false">IF($D284="","",IFERROR(VLOOKUP($D284,'Rules &amp; Guardrails'!$A$9:$D$24,2,0),"Other"))</f>
        <v/>
      </c>
      <c r="AS284" s="31" t="str">
        <f aca="false">IF($O284="","",$O284&amp;"|"&amp;$B284)</f>
        <v/>
      </c>
    </row>
    <row r="285" customFormat="false" ht="15" hidden="false" customHeight="false" outlineLevel="0" collapsed="false">
      <c r="A285" s="23"/>
      <c r="B285" s="23"/>
      <c r="C285" s="23"/>
      <c r="D285" s="23"/>
      <c r="E285" s="23"/>
      <c r="F285" s="23"/>
      <c r="G285" s="6"/>
      <c r="H285" s="6"/>
      <c r="I285" s="23"/>
      <c r="J285" s="23"/>
      <c r="K285" s="23"/>
      <c r="L285" s="6"/>
      <c r="M285" s="6"/>
      <c r="N285" s="24"/>
      <c r="O285" s="25"/>
      <c r="P285" s="23"/>
      <c r="Q285" s="23"/>
      <c r="R285" s="23"/>
      <c r="S285" s="23"/>
      <c r="T285" s="26" t="str">
        <f aca="false">IF(OR($O285="",$D285=""),"",WORKDAY($O285,-IFERROR(VLOOKUP($D285,'Rules &amp; Guardrails'!$A$9:$D$24,3,0),10)))</f>
        <v/>
      </c>
      <c r="U285" s="23"/>
      <c r="V285" s="23"/>
      <c r="W285" s="23"/>
      <c r="X285" s="6"/>
      <c r="Y285" s="23"/>
      <c r="Z285" s="23"/>
      <c r="AA285" s="23"/>
      <c r="AB285" s="23"/>
      <c r="AC285" s="23"/>
      <c r="AD285" s="23"/>
      <c r="AE285" s="23"/>
      <c r="AF285" s="27" t="str">
        <f aca="true">IF($O285="","",IF(OR($AE285="Cancelled",$AE285="On hold",$AE285="Launched"),$AE285,IF(AND($Y285="Approved",OR($Z285="Yes",$Z285="N/A"),OR($AA285="Yes",$AA285="N/A"),OR($AB285="No",$AB285="N/A",AND($AB285="Yes",$AD285="Yes"))),"Ready",IF($O285&lt;TODAY(),"Overdue",IF($O285-TODAY()&lt;='Rules &amp; Guardrails'!$C$5,"At Risk","In Progress")))))</f>
        <v/>
      </c>
      <c r="AG285" s="28" t="str">
        <f aca="false">IF($O285="","",IF(OR($AE285="Launched",$AE285="Cancelled"),"",MID(IF($Y285&lt;&gt;"Approved",", Content approval","")&amp;IF(NOT(OR($Z285="Yes",$Z285="N/A")),", Assets","")&amp;IF(NOT(OR($AA285="Yes",$AA285="N/A")),", List","")&amp;IF($AB285="",", Ops decision",IF(AND($AB285="Yes",$AD285&lt;&gt;"Yes"),", Ops",""))&amp;IF($U285="",", Owner","")&amp;IF($K285="",", Segment",""),3,200)))</f>
        <v/>
      </c>
      <c r="AH285" s="29" t="str">
        <f aca="true">IF($O285="","",$O285-TODAY())</f>
        <v/>
      </c>
      <c r="AI285" s="26" t="str">
        <f aca="false">IF($O285="","",$O285-WEEKDAY($O285,3))</f>
        <v/>
      </c>
      <c r="AJ285" s="30" t="str">
        <f aca="false">IF($O285="","",DATE(YEAR($O285),MONTH($O285),1))</f>
        <v/>
      </c>
      <c r="AK285" s="31" t="str">
        <f aca="false">IF(OR($O285="",$K285=""),"",COUNTIFS('Comms Calendar'!$K$5:$K$504,$K285,'Comms Calendar'!$B$5:$B$504,$B285,'Comms Calendar'!$AI$5:$AI$504,$AI285,'Comms Calendar'!$AE$5:$AE$504,"&lt;&gt;Cancelled"))</f>
        <v/>
      </c>
      <c r="AL285" s="27" t="str">
        <f aca="false">IF($AK285="","",IF($AK285&gt;'Rules &amp; Guardrails'!$C$3,"Over cap","OK"))</f>
        <v/>
      </c>
      <c r="AM285" s="27" t="str">
        <f aca="false">IF(OR($O285="",$K285=""),"",IF(COUNTIFS('Comms Calendar'!$K$5:$K$504,$K285,'Comms Calendar'!$B$5:$B$504,$B285,'Comms Calendar'!$O$5:$O$504,$O285,'Comms Calendar'!$AE$5:$AE$504,"&lt;&gt;Cancelled")&gt;1,"Clash",""))</f>
        <v/>
      </c>
      <c r="AN285" s="27" t="str">
        <f aca="false">IF($O285="","",IF(IF($B285="Global",COUNTIF('Rules &amp; Guardrails'!$F$9:$F$60,$O285),COUNTIFS('Rules &amp; Guardrails'!$F$9:$F$60,$O285,'Rules &amp; Guardrails'!$G$9:$G$60,$B285)+COUNTIFS('Rules &amp; Guardrails'!$F$9:$F$60,$O285,'Rules &amp; Guardrails'!$G$9:$G$60,"Global"))&gt;0,"Blackout",""))</f>
        <v/>
      </c>
      <c r="AO285" s="6"/>
      <c r="AP285" s="25"/>
      <c r="AQ285" s="23"/>
      <c r="AR285" s="31" t="str">
        <f aca="false">IF($D285="","",IFERROR(VLOOKUP($D285,'Rules &amp; Guardrails'!$A$9:$D$24,2,0),"Other"))</f>
        <v/>
      </c>
      <c r="AS285" s="31" t="str">
        <f aca="false">IF($O285="","",$O285&amp;"|"&amp;$B285)</f>
        <v/>
      </c>
    </row>
    <row r="286" customFormat="false" ht="15" hidden="false" customHeight="false" outlineLevel="0" collapsed="false">
      <c r="A286" s="23"/>
      <c r="B286" s="23"/>
      <c r="C286" s="23"/>
      <c r="D286" s="23"/>
      <c r="E286" s="23"/>
      <c r="F286" s="23"/>
      <c r="G286" s="6"/>
      <c r="H286" s="6"/>
      <c r="I286" s="23"/>
      <c r="J286" s="23"/>
      <c r="K286" s="23"/>
      <c r="L286" s="6"/>
      <c r="M286" s="6"/>
      <c r="N286" s="24"/>
      <c r="O286" s="25"/>
      <c r="P286" s="23"/>
      <c r="Q286" s="23"/>
      <c r="R286" s="23"/>
      <c r="S286" s="23"/>
      <c r="T286" s="26" t="str">
        <f aca="false">IF(OR($O286="",$D286=""),"",WORKDAY($O286,-IFERROR(VLOOKUP($D286,'Rules &amp; Guardrails'!$A$9:$D$24,3,0),10)))</f>
        <v/>
      </c>
      <c r="U286" s="23"/>
      <c r="V286" s="23"/>
      <c r="W286" s="23"/>
      <c r="X286" s="6"/>
      <c r="Y286" s="23"/>
      <c r="Z286" s="23"/>
      <c r="AA286" s="23"/>
      <c r="AB286" s="23"/>
      <c r="AC286" s="23"/>
      <c r="AD286" s="23"/>
      <c r="AE286" s="23"/>
      <c r="AF286" s="27" t="str">
        <f aca="true">IF($O286="","",IF(OR($AE286="Cancelled",$AE286="On hold",$AE286="Launched"),$AE286,IF(AND($Y286="Approved",OR($Z286="Yes",$Z286="N/A"),OR($AA286="Yes",$AA286="N/A"),OR($AB286="No",$AB286="N/A",AND($AB286="Yes",$AD286="Yes"))),"Ready",IF($O286&lt;TODAY(),"Overdue",IF($O286-TODAY()&lt;='Rules &amp; Guardrails'!$C$5,"At Risk","In Progress")))))</f>
        <v/>
      </c>
      <c r="AG286" s="28" t="str">
        <f aca="false">IF($O286="","",IF(OR($AE286="Launched",$AE286="Cancelled"),"",MID(IF($Y286&lt;&gt;"Approved",", Content approval","")&amp;IF(NOT(OR($Z286="Yes",$Z286="N/A")),", Assets","")&amp;IF(NOT(OR($AA286="Yes",$AA286="N/A")),", List","")&amp;IF($AB286="",", Ops decision",IF(AND($AB286="Yes",$AD286&lt;&gt;"Yes"),", Ops",""))&amp;IF($U286="",", Owner","")&amp;IF($K286="",", Segment",""),3,200)))</f>
        <v/>
      </c>
      <c r="AH286" s="29" t="str">
        <f aca="true">IF($O286="","",$O286-TODAY())</f>
        <v/>
      </c>
      <c r="AI286" s="26" t="str">
        <f aca="false">IF($O286="","",$O286-WEEKDAY($O286,3))</f>
        <v/>
      </c>
      <c r="AJ286" s="30" t="str">
        <f aca="false">IF($O286="","",DATE(YEAR($O286),MONTH($O286),1))</f>
        <v/>
      </c>
      <c r="AK286" s="31" t="str">
        <f aca="false">IF(OR($O286="",$K286=""),"",COUNTIFS('Comms Calendar'!$K$5:$K$504,$K286,'Comms Calendar'!$B$5:$B$504,$B286,'Comms Calendar'!$AI$5:$AI$504,$AI286,'Comms Calendar'!$AE$5:$AE$504,"&lt;&gt;Cancelled"))</f>
        <v/>
      </c>
      <c r="AL286" s="27" t="str">
        <f aca="false">IF($AK286="","",IF($AK286&gt;'Rules &amp; Guardrails'!$C$3,"Over cap","OK"))</f>
        <v/>
      </c>
      <c r="AM286" s="27" t="str">
        <f aca="false">IF(OR($O286="",$K286=""),"",IF(COUNTIFS('Comms Calendar'!$K$5:$K$504,$K286,'Comms Calendar'!$B$5:$B$504,$B286,'Comms Calendar'!$O$5:$O$504,$O286,'Comms Calendar'!$AE$5:$AE$504,"&lt;&gt;Cancelled")&gt;1,"Clash",""))</f>
        <v/>
      </c>
      <c r="AN286" s="27" t="str">
        <f aca="false">IF($O286="","",IF(IF($B286="Global",COUNTIF('Rules &amp; Guardrails'!$F$9:$F$60,$O286),COUNTIFS('Rules &amp; Guardrails'!$F$9:$F$60,$O286,'Rules &amp; Guardrails'!$G$9:$G$60,$B286)+COUNTIFS('Rules &amp; Guardrails'!$F$9:$F$60,$O286,'Rules &amp; Guardrails'!$G$9:$G$60,"Global"))&gt;0,"Blackout",""))</f>
        <v/>
      </c>
      <c r="AO286" s="6"/>
      <c r="AP286" s="25"/>
      <c r="AQ286" s="23"/>
      <c r="AR286" s="31" t="str">
        <f aca="false">IF($D286="","",IFERROR(VLOOKUP($D286,'Rules &amp; Guardrails'!$A$9:$D$24,2,0),"Other"))</f>
        <v/>
      </c>
      <c r="AS286" s="31" t="str">
        <f aca="false">IF($O286="","",$O286&amp;"|"&amp;$B286)</f>
        <v/>
      </c>
    </row>
    <row r="287" customFormat="false" ht="15" hidden="false" customHeight="false" outlineLevel="0" collapsed="false">
      <c r="A287" s="23"/>
      <c r="B287" s="23"/>
      <c r="C287" s="23"/>
      <c r="D287" s="23"/>
      <c r="E287" s="23"/>
      <c r="F287" s="23"/>
      <c r="G287" s="6"/>
      <c r="H287" s="6"/>
      <c r="I287" s="23"/>
      <c r="J287" s="23"/>
      <c r="K287" s="23"/>
      <c r="L287" s="6"/>
      <c r="M287" s="6"/>
      <c r="N287" s="24"/>
      <c r="O287" s="25"/>
      <c r="P287" s="23"/>
      <c r="Q287" s="23"/>
      <c r="R287" s="23"/>
      <c r="S287" s="23"/>
      <c r="T287" s="26" t="str">
        <f aca="false">IF(OR($O287="",$D287=""),"",WORKDAY($O287,-IFERROR(VLOOKUP($D287,'Rules &amp; Guardrails'!$A$9:$D$24,3,0),10)))</f>
        <v/>
      </c>
      <c r="U287" s="23"/>
      <c r="V287" s="23"/>
      <c r="W287" s="23"/>
      <c r="X287" s="6"/>
      <c r="Y287" s="23"/>
      <c r="Z287" s="23"/>
      <c r="AA287" s="23"/>
      <c r="AB287" s="23"/>
      <c r="AC287" s="23"/>
      <c r="AD287" s="23"/>
      <c r="AE287" s="23"/>
      <c r="AF287" s="27" t="str">
        <f aca="true">IF($O287="","",IF(OR($AE287="Cancelled",$AE287="On hold",$AE287="Launched"),$AE287,IF(AND($Y287="Approved",OR($Z287="Yes",$Z287="N/A"),OR($AA287="Yes",$AA287="N/A"),OR($AB287="No",$AB287="N/A",AND($AB287="Yes",$AD287="Yes"))),"Ready",IF($O287&lt;TODAY(),"Overdue",IF($O287-TODAY()&lt;='Rules &amp; Guardrails'!$C$5,"At Risk","In Progress")))))</f>
        <v/>
      </c>
      <c r="AG287" s="28" t="str">
        <f aca="false">IF($O287="","",IF(OR($AE287="Launched",$AE287="Cancelled"),"",MID(IF($Y287&lt;&gt;"Approved",", Content approval","")&amp;IF(NOT(OR($Z287="Yes",$Z287="N/A")),", Assets","")&amp;IF(NOT(OR($AA287="Yes",$AA287="N/A")),", List","")&amp;IF($AB287="",", Ops decision",IF(AND($AB287="Yes",$AD287&lt;&gt;"Yes"),", Ops",""))&amp;IF($U287="",", Owner","")&amp;IF($K287="",", Segment",""),3,200)))</f>
        <v/>
      </c>
      <c r="AH287" s="29" t="str">
        <f aca="true">IF($O287="","",$O287-TODAY())</f>
        <v/>
      </c>
      <c r="AI287" s="26" t="str">
        <f aca="false">IF($O287="","",$O287-WEEKDAY($O287,3))</f>
        <v/>
      </c>
      <c r="AJ287" s="30" t="str">
        <f aca="false">IF($O287="","",DATE(YEAR($O287),MONTH($O287),1))</f>
        <v/>
      </c>
      <c r="AK287" s="31" t="str">
        <f aca="false">IF(OR($O287="",$K287=""),"",COUNTIFS('Comms Calendar'!$K$5:$K$504,$K287,'Comms Calendar'!$B$5:$B$504,$B287,'Comms Calendar'!$AI$5:$AI$504,$AI287,'Comms Calendar'!$AE$5:$AE$504,"&lt;&gt;Cancelled"))</f>
        <v/>
      </c>
      <c r="AL287" s="27" t="str">
        <f aca="false">IF($AK287="","",IF($AK287&gt;'Rules &amp; Guardrails'!$C$3,"Over cap","OK"))</f>
        <v/>
      </c>
      <c r="AM287" s="27" t="str">
        <f aca="false">IF(OR($O287="",$K287=""),"",IF(COUNTIFS('Comms Calendar'!$K$5:$K$504,$K287,'Comms Calendar'!$B$5:$B$504,$B287,'Comms Calendar'!$O$5:$O$504,$O287,'Comms Calendar'!$AE$5:$AE$504,"&lt;&gt;Cancelled")&gt;1,"Clash",""))</f>
        <v/>
      </c>
      <c r="AN287" s="27" t="str">
        <f aca="false">IF($O287="","",IF(IF($B287="Global",COUNTIF('Rules &amp; Guardrails'!$F$9:$F$60,$O287),COUNTIFS('Rules &amp; Guardrails'!$F$9:$F$60,$O287,'Rules &amp; Guardrails'!$G$9:$G$60,$B287)+COUNTIFS('Rules &amp; Guardrails'!$F$9:$F$60,$O287,'Rules &amp; Guardrails'!$G$9:$G$60,"Global"))&gt;0,"Blackout",""))</f>
        <v/>
      </c>
      <c r="AO287" s="6"/>
      <c r="AP287" s="25"/>
      <c r="AQ287" s="23"/>
      <c r="AR287" s="31" t="str">
        <f aca="false">IF($D287="","",IFERROR(VLOOKUP($D287,'Rules &amp; Guardrails'!$A$9:$D$24,2,0),"Other"))</f>
        <v/>
      </c>
      <c r="AS287" s="31" t="str">
        <f aca="false">IF($O287="","",$O287&amp;"|"&amp;$B287)</f>
        <v/>
      </c>
    </row>
    <row r="288" customFormat="false" ht="15" hidden="false" customHeight="false" outlineLevel="0" collapsed="false">
      <c r="A288" s="23"/>
      <c r="B288" s="23"/>
      <c r="C288" s="23"/>
      <c r="D288" s="23"/>
      <c r="E288" s="23"/>
      <c r="F288" s="23"/>
      <c r="G288" s="6"/>
      <c r="H288" s="6"/>
      <c r="I288" s="23"/>
      <c r="J288" s="23"/>
      <c r="K288" s="23"/>
      <c r="L288" s="6"/>
      <c r="M288" s="6"/>
      <c r="N288" s="24"/>
      <c r="O288" s="25"/>
      <c r="P288" s="23"/>
      <c r="Q288" s="23"/>
      <c r="R288" s="23"/>
      <c r="S288" s="23"/>
      <c r="T288" s="26" t="str">
        <f aca="false">IF(OR($O288="",$D288=""),"",WORKDAY($O288,-IFERROR(VLOOKUP($D288,'Rules &amp; Guardrails'!$A$9:$D$24,3,0),10)))</f>
        <v/>
      </c>
      <c r="U288" s="23"/>
      <c r="V288" s="23"/>
      <c r="W288" s="23"/>
      <c r="X288" s="6"/>
      <c r="Y288" s="23"/>
      <c r="Z288" s="23"/>
      <c r="AA288" s="23"/>
      <c r="AB288" s="23"/>
      <c r="AC288" s="23"/>
      <c r="AD288" s="23"/>
      <c r="AE288" s="23"/>
      <c r="AF288" s="27" t="str">
        <f aca="true">IF($O288="","",IF(OR($AE288="Cancelled",$AE288="On hold",$AE288="Launched"),$AE288,IF(AND($Y288="Approved",OR($Z288="Yes",$Z288="N/A"),OR($AA288="Yes",$AA288="N/A"),OR($AB288="No",$AB288="N/A",AND($AB288="Yes",$AD288="Yes"))),"Ready",IF($O288&lt;TODAY(),"Overdue",IF($O288-TODAY()&lt;='Rules &amp; Guardrails'!$C$5,"At Risk","In Progress")))))</f>
        <v/>
      </c>
      <c r="AG288" s="28" t="str">
        <f aca="false">IF($O288="","",IF(OR($AE288="Launched",$AE288="Cancelled"),"",MID(IF($Y288&lt;&gt;"Approved",", Content approval","")&amp;IF(NOT(OR($Z288="Yes",$Z288="N/A")),", Assets","")&amp;IF(NOT(OR($AA288="Yes",$AA288="N/A")),", List","")&amp;IF($AB288="",", Ops decision",IF(AND($AB288="Yes",$AD288&lt;&gt;"Yes"),", Ops",""))&amp;IF($U288="",", Owner","")&amp;IF($K288="",", Segment",""),3,200)))</f>
        <v/>
      </c>
      <c r="AH288" s="29" t="str">
        <f aca="true">IF($O288="","",$O288-TODAY())</f>
        <v/>
      </c>
      <c r="AI288" s="26" t="str">
        <f aca="false">IF($O288="","",$O288-WEEKDAY($O288,3))</f>
        <v/>
      </c>
      <c r="AJ288" s="30" t="str">
        <f aca="false">IF($O288="","",DATE(YEAR($O288),MONTH($O288),1))</f>
        <v/>
      </c>
      <c r="AK288" s="31" t="str">
        <f aca="false">IF(OR($O288="",$K288=""),"",COUNTIFS('Comms Calendar'!$K$5:$K$504,$K288,'Comms Calendar'!$B$5:$B$504,$B288,'Comms Calendar'!$AI$5:$AI$504,$AI288,'Comms Calendar'!$AE$5:$AE$504,"&lt;&gt;Cancelled"))</f>
        <v/>
      </c>
      <c r="AL288" s="27" t="str">
        <f aca="false">IF($AK288="","",IF($AK288&gt;'Rules &amp; Guardrails'!$C$3,"Over cap","OK"))</f>
        <v/>
      </c>
      <c r="AM288" s="27" t="str">
        <f aca="false">IF(OR($O288="",$K288=""),"",IF(COUNTIFS('Comms Calendar'!$K$5:$K$504,$K288,'Comms Calendar'!$B$5:$B$504,$B288,'Comms Calendar'!$O$5:$O$504,$O288,'Comms Calendar'!$AE$5:$AE$504,"&lt;&gt;Cancelled")&gt;1,"Clash",""))</f>
        <v/>
      </c>
      <c r="AN288" s="27" t="str">
        <f aca="false">IF($O288="","",IF(IF($B288="Global",COUNTIF('Rules &amp; Guardrails'!$F$9:$F$60,$O288),COUNTIFS('Rules &amp; Guardrails'!$F$9:$F$60,$O288,'Rules &amp; Guardrails'!$G$9:$G$60,$B288)+COUNTIFS('Rules &amp; Guardrails'!$F$9:$F$60,$O288,'Rules &amp; Guardrails'!$G$9:$G$60,"Global"))&gt;0,"Blackout",""))</f>
        <v/>
      </c>
      <c r="AO288" s="6"/>
      <c r="AP288" s="25"/>
      <c r="AQ288" s="23"/>
      <c r="AR288" s="31" t="str">
        <f aca="false">IF($D288="","",IFERROR(VLOOKUP($D288,'Rules &amp; Guardrails'!$A$9:$D$24,2,0),"Other"))</f>
        <v/>
      </c>
      <c r="AS288" s="31" t="str">
        <f aca="false">IF($O288="","",$O288&amp;"|"&amp;$B288)</f>
        <v/>
      </c>
    </row>
    <row r="289" customFormat="false" ht="15" hidden="false" customHeight="false" outlineLevel="0" collapsed="false">
      <c r="A289" s="23"/>
      <c r="B289" s="23"/>
      <c r="C289" s="23"/>
      <c r="D289" s="23"/>
      <c r="E289" s="23"/>
      <c r="F289" s="23"/>
      <c r="G289" s="6"/>
      <c r="H289" s="6"/>
      <c r="I289" s="23"/>
      <c r="J289" s="23"/>
      <c r="K289" s="23"/>
      <c r="L289" s="6"/>
      <c r="M289" s="6"/>
      <c r="N289" s="24"/>
      <c r="O289" s="25"/>
      <c r="P289" s="23"/>
      <c r="Q289" s="23"/>
      <c r="R289" s="23"/>
      <c r="S289" s="23"/>
      <c r="T289" s="26" t="str">
        <f aca="false">IF(OR($O289="",$D289=""),"",WORKDAY($O289,-IFERROR(VLOOKUP($D289,'Rules &amp; Guardrails'!$A$9:$D$24,3,0),10)))</f>
        <v/>
      </c>
      <c r="U289" s="23"/>
      <c r="V289" s="23"/>
      <c r="W289" s="23"/>
      <c r="X289" s="6"/>
      <c r="Y289" s="23"/>
      <c r="Z289" s="23"/>
      <c r="AA289" s="23"/>
      <c r="AB289" s="23"/>
      <c r="AC289" s="23"/>
      <c r="AD289" s="23"/>
      <c r="AE289" s="23"/>
      <c r="AF289" s="27" t="str">
        <f aca="true">IF($O289="","",IF(OR($AE289="Cancelled",$AE289="On hold",$AE289="Launched"),$AE289,IF(AND($Y289="Approved",OR($Z289="Yes",$Z289="N/A"),OR($AA289="Yes",$AA289="N/A"),OR($AB289="No",$AB289="N/A",AND($AB289="Yes",$AD289="Yes"))),"Ready",IF($O289&lt;TODAY(),"Overdue",IF($O289-TODAY()&lt;='Rules &amp; Guardrails'!$C$5,"At Risk","In Progress")))))</f>
        <v/>
      </c>
      <c r="AG289" s="28" t="str">
        <f aca="false">IF($O289="","",IF(OR($AE289="Launched",$AE289="Cancelled"),"",MID(IF($Y289&lt;&gt;"Approved",", Content approval","")&amp;IF(NOT(OR($Z289="Yes",$Z289="N/A")),", Assets","")&amp;IF(NOT(OR($AA289="Yes",$AA289="N/A")),", List","")&amp;IF($AB289="",", Ops decision",IF(AND($AB289="Yes",$AD289&lt;&gt;"Yes"),", Ops",""))&amp;IF($U289="",", Owner","")&amp;IF($K289="",", Segment",""),3,200)))</f>
        <v/>
      </c>
      <c r="AH289" s="29" t="str">
        <f aca="true">IF($O289="","",$O289-TODAY())</f>
        <v/>
      </c>
      <c r="AI289" s="26" t="str">
        <f aca="false">IF($O289="","",$O289-WEEKDAY($O289,3))</f>
        <v/>
      </c>
      <c r="AJ289" s="30" t="str">
        <f aca="false">IF($O289="","",DATE(YEAR($O289),MONTH($O289),1))</f>
        <v/>
      </c>
      <c r="AK289" s="31" t="str">
        <f aca="false">IF(OR($O289="",$K289=""),"",COUNTIFS('Comms Calendar'!$K$5:$K$504,$K289,'Comms Calendar'!$B$5:$B$504,$B289,'Comms Calendar'!$AI$5:$AI$504,$AI289,'Comms Calendar'!$AE$5:$AE$504,"&lt;&gt;Cancelled"))</f>
        <v/>
      </c>
      <c r="AL289" s="27" t="str">
        <f aca="false">IF($AK289="","",IF($AK289&gt;'Rules &amp; Guardrails'!$C$3,"Over cap","OK"))</f>
        <v/>
      </c>
      <c r="AM289" s="27" t="str">
        <f aca="false">IF(OR($O289="",$K289=""),"",IF(COUNTIFS('Comms Calendar'!$K$5:$K$504,$K289,'Comms Calendar'!$B$5:$B$504,$B289,'Comms Calendar'!$O$5:$O$504,$O289,'Comms Calendar'!$AE$5:$AE$504,"&lt;&gt;Cancelled")&gt;1,"Clash",""))</f>
        <v/>
      </c>
      <c r="AN289" s="27" t="str">
        <f aca="false">IF($O289="","",IF(IF($B289="Global",COUNTIF('Rules &amp; Guardrails'!$F$9:$F$60,$O289),COUNTIFS('Rules &amp; Guardrails'!$F$9:$F$60,$O289,'Rules &amp; Guardrails'!$G$9:$G$60,$B289)+COUNTIFS('Rules &amp; Guardrails'!$F$9:$F$60,$O289,'Rules &amp; Guardrails'!$G$9:$G$60,"Global"))&gt;0,"Blackout",""))</f>
        <v/>
      </c>
      <c r="AO289" s="6"/>
      <c r="AP289" s="25"/>
      <c r="AQ289" s="23"/>
      <c r="AR289" s="31" t="str">
        <f aca="false">IF($D289="","",IFERROR(VLOOKUP($D289,'Rules &amp; Guardrails'!$A$9:$D$24,2,0),"Other"))</f>
        <v/>
      </c>
      <c r="AS289" s="31" t="str">
        <f aca="false">IF($O289="","",$O289&amp;"|"&amp;$B289)</f>
        <v/>
      </c>
    </row>
    <row r="290" customFormat="false" ht="15" hidden="false" customHeight="false" outlineLevel="0" collapsed="false">
      <c r="A290" s="23"/>
      <c r="B290" s="23"/>
      <c r="C290" s="23"/>
      <c r="D290" s="23"/>
      <c r="E290" s="23"/>
      <c r="F290" s="23"/>
      <c r="G290" s="6"/>
      <c r="H290" s="6"/>
      <c r="I290" s="23"/>
      <c r="J290" s="23"/>
      <c r="K290" s="23"/>
      <c r="L290" s="6"/>
      <c r="M290" s="6"/>
      <c r="N290" s="24"/>
      <c r="O290" s="25"/>
      <c r="P290" s="23"/>
      <c r="Q290" s="23"/>
      <c r="R290" s="23"/>
      <c r="S290" s="23"/>
      <c r="T290" s="26" t="str">
        <f aca="false">IF(OR($O290="",$D290=""),"",WORKDAY($O290,-IFERROR(VLOOKUP($D290,'Rules &amp; Guardrails'!$A$9:$D$24,3,0),10)))</f>
        <v/>
      </c>
      <c r="U290" s="23"/>
      <c r="V290" s="23"/>
      <c r="W290" s="23"/>
      <c r="X290" s="6"/>
      <c r="Y290" s="23"/>
      <c r="Z290" s="23"/>
      <c r="AA290" s="23"/>
      <c r="AB290" s="23"/>
      <c r="AC290" s="23"/>
      <c r="AD290" s="23"/>
      <c r="AE290" s="23"/>
      <c r="AF290" s="27" t="str">
        <f aca="true">IF($O290="","",IF(OR($AE290="Cancelled",$AE290="On hold",$AE290="Launched"),$AE290,IF(AND($Y290="Approved",OR($Z290="Yes",$Z290="N/A"),OR($AA290="Yes",$AA290="N/A"),OR($AB290="No",$AB290="N/A",AND($AB290="Yes",$AD290="Yes"))),"Ready",IF($O290&lt;TODAY(),"Overdue",IF($O290-TODAY()&lt;='Rules &amp; Guardrails'!$C$5,"At Risk","In Progress")))))</f>
        <v/>
      </c>
      <c r="AG290" s="28" t="str">
        <f aca="false">IF($O290="","",IF(OR($AE290="Launched",$AE290="Cancelled"),"",MID(IF($Y290&lt;&gt;"Approved",", Content approval","")&amp;IF(NOT(OR($Z290="Yes",$Z290="N/A")),", Assets","")&amp;IF(NOT(OR($AA290="Yes",$AA290="N/A")),", List","")&amp;IF($AB290="",", Ops decision",IF(AND($AB290="Yes",$AD290&lt;&gt;"Yes"),", Ops",""))&amp;IF($U290="",", Owner","")&amp;IF($K290="",", Segment",""),3,200)))</f>
        <v/>
      </c>
      <c r="AH290" s="29" t="str">
        <f aca="true">IF($O290="","",$O290-TODAY())</f>
        <v/>
      </c>
      <c r="AI290" s="26" t="str">
        <f aca="false">IF($O290="","",$O290-WEEKDAY($O290,3))</f>
        <v/>
      </c>
      <c r="AJ290" s="30" t="str">
        <f aca="false">IF($O290="","",DATE(YEAR($O290),MONTH($O290),1))</f>
        <v/>
      </c>
      <c r="AK290" s="31" t="str">
        <f aca="false">IF(OR($O290="",$K290=""),"",COUNTIFS('Comms Calendar'!$K$5:$K$504,$K290,'Comms Calendar'!$B$5:$B$504,$B290,'Comms Calendar'!$AI$5:$AI$504,$AI290,'Comms Calendar'!$AE$5:$AE$504,"&lt;&gt;Cancelled"))</f>
        <v/>
      </c>
      <c r="AL290" s="27" t="str">
        <f aca="false">IF($AK290="","",IF($AK290&gt;'Rules &amp; Guardrails'!$C$3,"Over cap","OK"))</f>
        <v/>
      </c>
      <c r="AM290" s="27" t="str">
        <f aca="false">IF(OR($O290="",$K290=""),"",IF(COUNTIFS('Comms Calendar'!$K$5:$K$504,$K290,'Comms Calendar'!$B$5:$B$504,$B290,'Comms Calendar'!$O$5:$O$504,$O290,'Comms Calendar'!$AE$5:$AE$504,"&lt;&gt;Cancelled")&gt;1,"Clash",""))</f>
        <v/>
      </c>
      <c r="AN290" s="27" t="str">
        <f aca="false">IF($O290="","",IF(IF($B290="Global",COUNTIF('Rules &amp; Guardrails'!$F$9:$F$60,$O290),COUNTIFS('Rules &amp; Guardrails'!$F$9:$F$60,$O290,'Rules &amp; Guardrails'!$G$9:$G$60,$B290)+COUNTIFS('Rules &amp; Guardrails'!$F$9:$F$60,$O290,'Rules &amp; Guardrails'!$G$9:$G$60,"Global"))&gt;0,"Blackout",""))</f>
        <v/>
      </c>
      <c r="AO290" s="6"/>
      <c r="AP290" s="25"/>
      <c r="AQ290" s="23"/>
      <c r="AR290" s="31" t="str">
        <f aca="false">IF($D290="","",IFERROR(VLOOKUP($D290,'Rules &amp; Guardrails'!$A$9:$D$24,2,0),"Other"))</f>
        <v/>
      </c>
      <c r="AS290" s="31" t="str">
        <f aca="false">IF($O290="","",$O290&amp;"|"&amp;$B290)</f>
        <v/>
      </c>
    </row>
    <row r="291" customFormat="false" ht="15" hidden="false" customHeight="false" outlineLevel="0" collapsed="false">
      <c r="A291" s="23"/>
      <c r="B291" s="23"/>
      <c r="C291" s="23"/>
      <c r="D291" s="23"/>
      <c r="E291" s="23"/>
      <c r="F291" s="23"/>
      <c r="G291" s="6"/>
      <c r="H291" s="6"/>
      <c r="I291" s="23"/>
      <c r="J291" s="23"/>
      <c r="K291" s="23"/>
      <c r="L291" s="6"/>
      <c r="M291" s="6"/>
      <c r="N291" s="24"/>
      <c r="O291" s="25"/>
      <c r="P291" s="23"/>
      <c r="Q291" s="23"/>
      <c r="R291" s="23"/>
      <c r="S291" s="23"/>
      <c r="T291" s="26" t="str">
        <f aca="false">IF(OR($O291="",$D291=""),"",WORKDAY($O291,-IFERROR(VLOOKUP($D291,'Rules &amp; Guardrails'!$A$9:$D$24,3,0),10)))</f>
        <v/>
      </c>
      <c r="U291" s="23"/>
      <c r="V291" s="23"/>
      <c r="W291" s="23"/>
      <c r="X291" s="6"/>
      <c r="Y291" s="23"/>
      <c r="Z291" s="23"/>
      <c r="AA291" s="23"/>
      <c r="AB291" s="23"/>
      <c r="AC291" s="23"/>
      <c r="AD291" s="23"/>
      <c r="AE291" s="23"/>
      <c r="AF291" s="27" t="str">
        <f aca="true">IF($O291="","",IF(OR($AE291="Cancelled",$AE291="On hold",$AE291="Launched"),$AE291,IF(AND($Y291="Approved",OR($Z291="Yes",$Z291="N/A"),OR($AA291="Yes",$AA291="N/A"),OR($AB291="No",$AB291="N/A",AND($AB291="Yes",$AD291="Yes"))),"Ready",IF($O291&lt;TODAY(),"Overdue",IF($O291-TODAY()&lt;='Rules &amp; Guardrails'!$C$5,"At Risk","In Progress")))))</f>
        <v/>
      </c>
      <c r="AG291" s="28" t="str">
        <f aca="false">IF($O291="","",IF(OR($AE291="Launched",$AE291="Cancelled"),"",MID(IF($Y291&lt;&gt;"Approved",", Content approval","")&amp;IF(NOT(OR($Z291="Yes",$Z291="N/A")),", Assets","")&amp;IF(NOT(OR($AA291="Yes",$AA291="N/A")),", List","")&amp;IF($AB291="",", Ops decision",IF(AND($AB291="Yes",$AD291&lt;&gt;"Yes"),", Ops",""))&amp;IF($U291="",", Owner","")&amp;IF($K291="",", Segment",""),3,200)))</f>
        <v/>
      </c>
      <c r="AH291" s="29" t="str">
        <f aca="true">IF($O291="","",$O291-TODAY())</f>
        <v/>
      </c>
      <c r="AI291" s="26" t="str">
        <f aca="false">IF($O291="","",$O291-WEEKDAY($O291,3))</f>
        <v/>
      </c>
      <c r="AJ291" s="30" t="str">
        <f aca="false">IF($O291="","",DATE(YEAR($O291),MONTH($O291),1))</f>
        <v/>
      </c>
      <c r="AK291" s="31" t="str">
        <f aca="false">IF(OR($O291="",$K291=""),"",COUNTIFS('Comms Calendar'!$K$5:$K$504,$K291,'Comms Calendar'!$B$5:$B$504,$B291,'Comms Calendar'!$AI$5:$AI$504,$AI291,'Comms Calendar'!$AE$5:$AE$504,"&lt;&gt;Cancelled"))</f>
        <v/>
      </c>
      <c r="AL291" s="27" t="str">
        <f aca="false">IF($AK291="","",IF($AK291&gt;'Rules &amp; Guardrails'!$C$3,"Over cap","OK"))</f>
        <v/>
      </c>
      <c r="AM291" s="27" t="str">
        <f aca="false">IF(OR($O291="",$K291=""),"",IF(COUNTIFS('Comms Calendar'!$K$5:$K$504,$K291,'Comms Calendar'!$B$5:$B$504,$B291,'Comms Calendar'!$O$5:$O$504,$O291,'Comms Calendar'!$AE$5:$AE$504,"&lt;&gt;Cancelled")&gt;1,"Clash",""))</f>
        <v/>
      </c>
      <c r="AN291" s="27" t="str">
        <f aca="false">IF($O291="","",IF(IF($B291="Global",COUNTIF('Rules &amp; Guardrails'!$F$9:$F$60,$O291),COUNTIFS('Rules &amp; Guardrails'!$F$9:$F$60,$O291,'Rules &amp; Guardrails'!$G$9:$G$60,$B291)+COUNTIFS('Rules &amp; Guardrails'!$F$9:$F$60,$O291,'Rules &amp; Guardrails'!$G$9:$G$60,"Global"))&gt;0,"Blackout",""))</f>
        <v/>
      </c>
      <c r="AO291" s="6"/>
      <c r="AP291" s="25"/>
      <c r="AQ291" s="23"/>
      <c r="AR291" s="31" t="str">
        <f aca="false">IF($D291="","",IFERROR(VLOOKUP($D291,'Rules &amp; Guardrails'!$A$9:$D$24,2,0),"Other"))</f>
        <v/>
      </c>
      <c r="AS291" s="31" t="str">
        <f aca="false">IF($O291="","",$O291&amp;"|"&amp;$B291)</f>
        <v/>
      </c>
    </row>
    <row r="292" customFormat="false" ht="15" hidden="false" customHeight="false" outlineLevel="0" collapsed="false">
      <c r="A292" s="23"/>
      <c r="B292" s="23"/>
      <c r="C292" s="23"/>
      <c r="D292" s="23"/>
      <c r="E292" s="23"/>
      <c r="F292" s="23"/>
      <c r="G292" s="6"/>
      <c r="H292" s="6"/>
      <c r="I292" s="23"/>
      <c r="J292" s="23"/>
      <c r="K292" s="23"/>
      <c r="L292" s="6"/>
      <c r="M292" s="6"/>
      <c r="N292" s="24"/>
      <c r="O292" s="25"/>
      <c r="P292" s="23"/>
      <c r="Q292" s="23"/>
      <c r="R292" s="23"/>
      <c r="S292" s="23"/>
      <c r="T292" s="26" t="str">
        <f aca="false">IF(OR($O292="",$D292=""),"",WORKDAY($O292,-IFERROR(VLOOKUP($D292,'Rules &amp; Guardrails'!$A$9:$D$24,3,0),10)))</f>
        <v/>
      </c>
      <c r="U292" s="23"/>
      <c r="V292" s="23"/>
      <c r="W292" s="23"/>
      <c r="X292" s="6"/>
      <c r="Y292" s="23"/>
      <c r="Z292" s="23"/>
      <c r="AA292" s="23"/>
      <c r="AB292" s="23"/>
      <c r="AC292" s="23"/>
      <c r="AD292" s="23"/>
      <c r="AE292" s="23"/>
      <c r="AF292" s="27" t="str">
        <f aca="true">IF($O292="","",IF(OR($AE292="Cancelled",$AE292="On hold",$AE292="Launched"),$AE292,IF(AND($Y292="Approved",OR($Z292="Yes",$Z292="N/A"),OR($AA292="Yes",$AA292="N/A"),OR($AB292="No",$AB292="N/A",AND($AB292="Yes",$AD292="Yes"))),"Ready",IF($O292&lt;TODAY(),"Overdue",IF($O292-TODAY()&lt;='Rules &amp; Guardrails'!$C$5,"At Risk","In Progress")))))</f>
        <v/>
      </c>
      <c r="AG292" s="28" t="str">
        <f aca="false">IF($O292="","",IF(OR($AE292="Launched",$AE292="Cancelled"),"",MID(IF($Y292&lt;&gt;"Approved",", Content approval","")&amp;IF(NOT(OR($Z292="Yes",$Z292="N/A")),", Assets","")&amp;IF(NOT(OR($AA292="Yes",$AA292="N/A")),", List","")&amp;IF($AB292="",", Ops decision",IF(AND($AB292="Yes",$AD292&lt;&gt;"Yes"),", Ops",""))&amp;IF($U292="",", Owner","")&amp;IF($K292="",", Segment",""),3,200)))</f>
        <v/>
      </c>
      <c r="AH292" s="29" t="str">
        <f aca="true">IF($O292="","",$O292-TODAY())</f>
        <v/>
      </c>
      <c r="AI292" s="26" t="str">
        <f aca="false">IF($O292="","",$O292-WEEKDAY($O292,3))</f>
        <v/>
      </c>
      <c r="AJ292" s="30" t="str">
        <f aca="false">IF($O292="","",DATE(YEAR($O292),MONTH($O292),1))</f>
        <v/>
      </c>
      <c r="AK292" s="31" t="str">
        <f aca="false">IF(OR($O292="",$K292=""),"",COUNTIFS('Comms Calendar'!$K$5:$K$504,$K292,'Comms Calendar'!$B$5:$B$504,$B292,'Comms Calendar'!$AI$5:$AI$504,$AI292,'Comms Calendar'!$AE$5:$AE$504,"&lt;&gt;Cancelled"))</f>
        <v/>
      </c>
      <c r="AL292" s="27" t="str">
        <f aca="false">IF($AK292="","",IF($AK292&gt;'Rules &amp; Guardrails'!$C$3,"Over cap","OK"))</f>
        <v/>
      </c>
      <c r="AM292" s="27" t="str">
        <f aca="false">IF(OR($O292="",$K292=""),"",IF(COUNTIFS('Comms Calendar'!$K$5:$K$504,$K292,'Comms Calendar'!$B$5:$B$504,$B292,'Comms Calendar'!$O$5:$O$504,$O292,'Comms Calendar'!$AE$5:$AE$504,"&lt;&gt;Cancelled")&gt;1,"Clash",""))</f>
        <v/>
      </c>
      <c r="AN292" s="27" t="str">
        <f aca="false">IF($O292="","",IF(IF($B292="Global",COUNTIF('Rules &amp; Guardrails'!$F$9:$F$60,$O292),COUNTIFS('Rules &amp; Guardrails'!$F$9:$F$60,$O292,'Rules &amp; Guardrails'!$G$9:$G$60,$B292)+COUNTIFS('Rules &amp; Guardrails'!$F$9:$F$60,$O292,'Rules &amp; Guardrails'!$G$9:$G$60,"Global"))&gt;0,"Blackout",""))</f>
        <v/>
      </c>
      <c r="AO292" s="6"/>
      <c r="AP292" s="25"/>
      <c r="AQ292" s="23"/>
      <c r="AR292" s="31" t="str">
        <f aca="false">IF($D292="","",IFERROR(VLOOKUP($D292,'Rules &amp; Guardrails'!$A$9:$D$24,2,0),"Other"))</f>
        <v/>
      </c>
      <c r="AS292" s="31" t="str">
        <f aca="false">IF($O292="","",$O292&amp;"|"&amp;$B292)</f>
        <v/>
      </c>
    </row>
    <row r="293" customFormat="false" ht="15" hidden="false" customHeight="false" outlineLevel="0" collapsed="false">
      <c r="A293" s="23"/>
      <c r="B293" s="23"/>
      <c r="C293" s="23"/>
      <c r="D293" s="23"/>
      <c r="E293" s="23"/>
      <c r="F293" s="23"/>
      <c r="G293" s="6"/>
      <c r="H293" s="6"/>
      <c r="I293" s="23"/>
      <c r="J293" s="23"/>
      <c r="K293" s="23"/>
      <c r="L293" s="6"/>
      <c r="M293" s="6"/>
      <c r="N293" s="24"/>
      <c r="O293" s="25"/>
      <c r="P293" s="23"/>
      <c r="Q293" s="23"/>
      <c r="R293" s="23"/>
      <c r="S293" s="23"/>
      <c r="T293" s="26" t="str">
        <f aca="false">IF(OR($O293="",$D293=""),"",WORKDAY($O293,-IFERROR(VLOOKUP($D293,'Rules &amp; Guardrails'!$A$9:$D$24,3,0),10)))</f>
        <v/>
      </c>
      <c r="U293" s="23"/>
      <c r="V293" s="23"/>
      <c r="W293" s="23"/>
      <c r="X293" s="6"/>
      <c r="Y293" s="23"/>
      <c r="Z293" s="23"/>
      <c r="AA293" s="23"/>
      <c r="AB293" s="23"/>
      <c r="AC293" s="23"/>
      <c r="AD293" s="23"/>
      <c r="AE293" s="23"/>
      <c r="AF293" s="27" t="str">
        <f aca="true">IF($O293="","",IF(OR($AE293="Cancelled",$AE293="On hold",$AE293="Launched"),$AE293,IF(AND($Y293="Approved",OR($Z293="Yes",$Z293="N/A"),OR($AA293="Yes",$AA293="N/A"),OR($AB293="No",$AB293="N/A",AND($AB293="Yes",$AD293="Yes"))),"Ready",IF($O293&lt;TODAY(),"Overdue",IF($O293-TODAY()&lt;='Rules &amp; Guardrails'!$C$5,"At Risk","In Progress")))))</f>
        <v/>
      </c>
      <c r="AG293" s="28" t="str">
        <f aca="false">IF($O293="","",IF(OR($AE293="Launched",$AE293="Cancelled"),"",MID(IF($Y293&lt;&gt;"Approved",", Content approval","")&amp;IF(NOT(OR($Z293="Yes",$Z293="N/A")),", Assets","")&amp;IF(NOT(OR($AA293="Yes",$AA293="N/A")),", List","")&amp;IF($AB293="",", Ops decision",IF(AND($AB293="Yes",$AD293&lt;&gt;"Yes"),", Ops",""))&amp;IF($U293="",", Owner","")&amp;IF($K293="",", Segment",""),3,200)))</f>
        <v/>
      </c>
      <c r="AH293" s="29" t="str">
        <f aca="true">IF($O293="","",$O293-TODAY())</f>
        <v/>
      </c>
      <c r="AI293" s="26" t="str">
        <f aca="false">IF($O293="","",$O293-WEEKDAY($O293,3))</f>
        <v/>
      </c>
      <c r="AJ293" s="30" t="str">
        <f aca="false">IF($O293="","",DATE(YEAR($O293),MONTH($O293),1))</f>
        <v/>
      </c>
      <c r="AK293" s="31" t="str">
        <f aca="false">IF(OR($O293="",$K293=""),"",COUNTIFS('Comms Calendar'!$K$5:$K$504,$K293,'Comms Calendar'!$B$5:$B$504,$B293,'Comms Calendar'!$AI$5:$AI$504,$AI293,'Comms Calendar'!$AE$5:$AE$504,"&lt;&gt;Cancelled"))</f>
        <v/>
      </c>
      <c r="AL293" s="27" t="str">
        <f aca="false">IF($AK293="","",IF($AK293&gt;'Rules &amp; Guardrails'!$C$3,"Over cap","OK"))</f>
        <v/>
      </c>
      <c r="AM293" s="27" t="str">
        <f aca="false">IF(OR($O293="",$K293=""),"",IF(COUNTIFS('Comms Calendar'!$K$5:$K$504,$K293,'Comms Calendar'!$B$5:$B$504,$B293,'Comms Calendar'!$O$5:$O$504,$O293,'Comms Calendar'!$AE$5:$AE$504,"&lt;&gt;Cancelled")&gt;1,"Clash",""))</f>
        <v/>
      </c>
      <c r="AN293" s="27" t="str">
        <f aca="false">IF($O293="","",IF(IF($B293="Global",COUNTIF('Rules &amp; Guardrails'!$F$9:$F$60,$O293),COUNTIFS('Rules &amp; Guardrails'!$F$9:$F$60,$O293,'Rules &amp; Guardrails'!$G$9:$G$60,$B293)+COUNTIFS('Rules &amp; Guardrails'!$F$9:$F$60,$O293,'Rules &amp; Guardrails'!$G$9:$G$60,"Global"))&gt;0,"Blackout",""))</f>
        <v/>
      </c>
      <c r="AO293" s="6"/>
      <c r="AP293" s="25"/>
      <c r="AQ293" s="23"/>
      <c r="AR293" s="31" t="str">
        <f aca="false">IF($D293="","",IFERROR(VLOOKUP($D293,'Rules &amp; Guardrails'!$A$9:$D$24,2,0),"Other"))</f>
        <v/>
      </c>
      <c r="AS293" s="31" t="str">
        <f aca="false">IF($O293="","",$O293&amp;"|"&amp;$B293)</f>
        <v/>
      </c>
    </row>
    <row r="294" customFormat="false" ht="15" hidden="false" customHeight="false" outlineLevel="0" collapsed="false">
      <c r="A294" s="23"/>
      <c r="B294" s="23"/>
      <c r="C294" s="23"/>
      <c r="D294" s="23"/>
      <c r="E294" s="23"/>
      <c r="F294" s="23"/>
      <c r="G294" s="6"/>
      <c r="H294" s="6"/>
      <c r="I294" s="23"/>
      <c r="J294" s="23"/>
      <c r="K294" s="23"/>
      <c r="L294" s="6"/>
      <c r="M294" s="6"/>
      <c r="N294" s="24"/>
      <c r="O294" s="25"/>
      <c r="P294" s="23"/>
      <c r="Q294" s="23"/>
      <c r="R294" s="23"/>
      <c r="S294" s="23"/>
      <c r="T294" s="26" t="str">
        <f aca="false">IF(OR($O294="",$D294=""),"",WORKDAY($O294,-IFERROR(VLOOKUP($D294,'Rules &amp; Guardrails'!$A$9:$D$24,3,0),10)))</f>
        <v/>
      </c>
      <c r="U294" s="23"/>
      <c r="V294" s="23"/>
      <c r="W294" s="23"/>
      <c r="X294" s="6"/>
      <c r="Y294" s="23"/>
      <c r="Z294" s="23"/>
      <c r="AA294" s="23"/>
      <c r="AB294" s="23"/>
      <c r="AC294" s="23"/>
      <c r="AD294" s="23"/>
      <c r="AE294" s="23"/>
      <c r="AF294" s="27" t="str">
        <f aca="true">IF($O294="","",IF(OR($AE294="Cancelled",$AE294="On hold",$AE294="Launched"),$AE294,IF(AND($Y294="Approved",OR($Z294="Yes",$Z294="N/A"),OR($AA294="Yes",$AA294="N/A"),OR($AB294="No",$AB294="N/A",AND($AB294="Yes",$AD294="Yes"))),"Ready",IF($O294&lt;TODAY(),"Overdue",IF($O294-TODAY()&lt;='Rules &amp; Guardrails'!$C$5,"At Risk","In Progress")))))</f>
        <v/>
      </c>
      <c r="AG294" s="28" t="str">
        <f aca="false">IF($O294="","",IF(OR($AE294="Launched",$AE294="Cancelled"),"",MID(IF($Y294&lt;&gt;"Approved",", Content approval","")&amp;IF(NOT(OR($Z294="Yes",$Z294="N/A")),", Assets","")&amp;IF(NOT(OR($AA294="Yes",$AA294="N/A")),", List","")&amp;IF($AB294="",", Ops decision",IF(AND($AB294="Yes",$AD294&lt;&gt;"Yes"),", Ops",""))&amp;IF($U294="",", Owner","")&amp;IF($K294="",", Segment",""),3,200)))</f>
        <v/>
      </c>
      <c r="AH294" s="29" t="str">
        <f aca="true">IF($O294="","",$O294-TODAY())</f>
        <v/>
      </c>
      <c r="AI294" s="26" t="str">
        <f aca="false">IF($O294="","",$O294-WEEKDAY($O294,3))</f>
        <v/>
      </c>
      <c r="AJ294" s="30" t="str">
        <f aca="false">IF($O294="","",DATE(YEAR($O294),MONTH($O294),1))</f>
        <v/>
      </c>
      <c r="AK294" s="31" t="str">
        <f aca="false">IF(OR($O294="",$K294=""),"",COUNTIFS('Comms Calendar'!$K$5:$K$504,$K294,'Comms Calendar'!$B$5:$B$504,$B294,'Comms Calendar'!$AI$5:$AI$504,$AI294,'Comms Calendar'!$AE$5:$AE$504,"&lt;&gt;Cancelled"))</f>
        <v/>
      </c>
      <c r="AL294" s="27" t="str">
        <f aca="false">IF($AK294="","",IF($AK294&gt;'Rules &amp; Guardrails'!$C$3,"Over cap","OK"))</f>
        <v/>
      </c>
      <c r="AM294" s="27" t="str">
        <f aca="false">IF(OR($O294="",$K294=""),"",IF(COUNTIFS('Comms Calendar'!$K$5:$K$504,$K294,'Comms Calendar'!$B$5:$B$504,$B294,'Comms Calendar'!$O$5:$O$504,$O294,'Comms Calendar'!$AE$5:$AE$504,"&lt;&gt;Cancelled")&gt;1,"Clash",""))</f>
        <v/>
      </c>
      <c r="AN294" s="27" t="str">
        <f aca="false">IF($O294="","",IF(IF($B294="Global",COUNTIF('Rules &amp; Guardrails'!$F$9:$F$60,$O294),COUNTIFS('Rules &amp; Guardrails'!$F$9:$F$60,$O294,'Rules &amp; Guardrails'!$G$9:$G$60,$B294)+COUNTIFS('Rules &amp; Guardrails'!$F$9:$F$60,$O294,'Rules &amp; Guardrails'!$G$9:$G$60,"Global"))&gt;0,"Blackout",""))</f>
        <v/>
      </c>
      <c r="AO294" s="6"/>
      <c r="AP294" s="25"/>
      <c r="AQ294" s="23"/>
      <c r="AR294" s="31" t="str">
        <f aca="false">IF($D294="","",IFERROR(VLOOKUP($D294,'Rules &amp; Guardrails'!$A$9:$D$24,2,0),"Other"))</f>
        <v/>
      </c>
      <c r="AS294" s="31" t="str">
        <f aca="false">IF($O294="","",$O294&amp;"|"&amp;$B294)</f>
        <v/>
      </c>
    </row>
    <row r="295" customFormat="false" ht="15" hidden="false" customHeight="false" outlineLevel="0" collapsed="false">
      <c r="A295" s="23"/>
      <c r="B295" s="23"/>
      <c r="C295" s="23"/>
      <c r="D295" s="23"/>
      <c r="E295" s="23"/>
      <c r="F295" s="23"/>
      <c r="G295" s="6"/>
      <c r="H295" s="6"/>
      <c r="I295" s="23"/>
      <c r="J295" s="23"/>
      <c r="K295" s="23"/>
      <c r="L295" s="6"/>
      <c r="M295" s="6"/>
      <c r="N295" s="24"/>
      <c r="O295" s="25"/>
      <c r="P295" s="23"/>
      <c r="Q295" s="23"/>
      <c r="R295" s="23"/>
      <c r="S295" s="23"/>
      <c r="T295" s="26" t="str">
        <f aca="false">IF(OR($O295="",$D295=""),"",WORKDAY($O295,-IFERROR(VLOOKUP($D295,'Rules &amp; Guardrails'!$A$9:$D$24,3,0),10)))</f>
        <v/>
      </c>
      <c r="U295" s="23"/>
      <c r="V295" s="23"/>
      <c r="W295" s="23"/>
      <c r="X295" s="6"/>
      <c r="Y295" s="23"/>
      <c r="Z295" s="23"/>
      <c r="AA295" s="23"/>
      <c r="AB295" s="23"/>
      <c r="AC295" s="23"/>
      <c r="AD295" s="23"/>
      <c r="AE295" s="23"/>
      <c r="AF295" s="27" t="str">
        <f aca="true">IF($O295="","",IF(OR($AE295="Cancelled",$AE295="On hold",$AE295="Launched"),$AE295,IF(AND($Y295="Approved",OR($Z295="Yes",$Z295="N/A"),OR($AA295="Yes",$AA295="N/A"),OR($AB295="No",$AB295="N/A",AND($AB295="Yes",$AD295="Yes"))),"Ready",IF($O295&lt;TODAY(),"Overdue",IF($O295-TODAY()&lt;='Rules &amp; Guardrails'!$C$5,"At Risk","In Progress")))))</f>
        <v/>
      </c>
      <c r="AG295" s="28" t="str">
        <f aca="false">IF($O295="","",IF(OR($AE295="Launched",$AE295="Cancelled"),"",MID(IF($Y295&lt;&gt;"Approved",", Content approval","")&amp;IF(NOT(OR($Z295="Yes",$Z295="N/A")),", Assets","")&amp;IF(NOT(OR($AA295="Yes",$AA295="N/A")),", List","")&amp;IF($AB295="",", Ops decision",IF(AND($AB295="Yes",$AD295&lt;&gt;"Yes"),", Ops",""))&amp;IF($U295="",", Owner","")&amp;IF($K295="",", Segment",""),3,200)))</f>
        <v/>
      </c>
      <c r="AH295" s="29" t="str">
        <f aca="true">IF($O295="","",$O295-TODAY())</f>
        <v/>
      </c>
      <c r="AI295" s="26" t="str">
        <f aca="false">IF($O295="","",$O295-WEEKDAY($O295,3))</f>
        <v/>
      </c>
      <c r="AJ295" s="30" t="str">
        <f aca="false">IF($O295="","",DATE(YEAR($O295),MONTH($O295),1))</f>
        <v/>
      </c>
      <c r="AK295" s="31" t="str">
        <f aca="false">IF(OR($O295="",$K295=""),"",COUNTIFS('Comms Calendar'!$K$5:$K$504,$K295,'Comms Calendar'!$B$5:$B$504,$B295,'Comms Calendar'!$AI$5:$AI$504,$AI295,'Comms Calendar'!$AE$5:$AE$504,"&lt;&gt;Cancelled"))</f>
        <v/>
      </c>
      <c r="AL295" s="27" t="str">
        <f aca="false">IF($AK295="","",IF($AK295&gt;'Rules &amp; Guardrails'!$C$3,"Over cap","OK"))</f>
        <v/>
      </c>
      <c r="AM295" s="27" t="str">
        <f aca="false">IF(OR($O295="",$K295=""),"",IF(COUNTIFS('Comms Calendar'!$K$5:$K$504,$K295,'Comms Calendar'!$B$5:$B$504,$B295,'Comms Calendar'!$O$5:$O$504,$O295,'Comms Calendar'!$AE$5:$AE$504,"&lt;&gt;Cancelled")&gt;1,"Clash",""))</f>
        <v/>
      </c>
      <c r="AN295" s="27" t="str">
        <f aca="false">IF($O295="","",IF(IF($B295="Global",COUNTIF('Rules &amp; Guardrails'!$F$9:$F$60,$O295),COUNTIFS('Rules &amp; Guardrails'!$F$9:$F$60,$O295,'Rules &amp; Guardrails'!$G$9:$G$60,$B295)+COUNTIFS('Rules &amp; Guardrails'!$F$9:$F$60,$O295,'Rules &amp; Guardrails'!$G$9:$G$60,"Global"))&gt;0,"Blackout",""))</f>
        <v/>
      </c>
      <c r="AO295" s="6"/>
      <c r="AP295" s="25"/>
      <c r="AQ295" s="23"/>
      <c r="AR295" s="31" t="str">
        <f aca="false">IF($D295="","",IFERROR(VLOOKUP($D295,'Rules &amp; Guardrails'!$A$9:$D$24,2,0),"Other"))</f>
        <v/>
      </c>
      <c r="AS295" s="31" t="str">
        <f aca="false">IF($O295="","",$O295&amp;"|"&amp;$B295)</f>
        <v/>
      </c>
    </row>
    <row r="296" customFormat="false" ht="15" hidden="false" customHeight="false" outlineLevel="0" collapsed="false">
      <c r="A296" s="23"/>
      <c r="B296" s="23"/>
      <c r="C296" s="23"/>
      <c r="D296" s="23"/>
      <c r="E296" s="23"/>
      <c r="F296" s="23"/>
      <c r="G296" s="6"/>
      <c r="H296" s="6"/>
      <c r="I296" s="23"/>
      <c r="J296" s="23"/>
      <c r="K296" s="23"/>
      <c r="L296" s="6"/>
      <c r="M296" s="6"/>
      <c r="N296" s="24"/>
      <c r="O296" s="25"/>
      <c r="P296" s="23"/>
      <c r="Q296" s="23"/>
      <c r="R296" s="23"/>
      <c r="S296" s="23"/>
      <c r="T296" s="26" t="str">
        <f aca="false">IF(OR($O296="",$D296=""),"",WORKDAY($O296,-IFERROR(VLOOKUP($D296,'Rules &amp; Guardrails'!$A$9:$D$24,3,0),10)))</f>
        <v/>
      </c>
      <c r="U296" s="23"/>
      <c r="V296" s="23"/>
      <c r="W296" s="23"/>
      <c r="X296" s="6"/>
      <c r="Y296" s="23"/>
      <c r="Z296" s="23"/>
      <c r="AA296" s="23"/>
      <c r="AB296" s="23"/>
      <c r="AC296" s="23"/>
      <c r="AD296" s="23"/>
      <c r="AE296" s="23"/>
      <c r="AF296" s="27" t="str">
        <f aca="true">IF($O296="","",IF(OR($AE296="Cancelled",$AE296="On hold",$AE296="Launched"),$AE296,IF(AND($Y296="Approved",OR($Z296="Yes",$Z296="N/A"),OR($AA296="Yes",$AA296="N/A"),OR($AB296="No",$AB296="N/A",AND($AB296="Yes",$AD296="Yes"))),"Ready",IF($O296&lt;TODAY(),"Overdue",IF($O296-TODAY()&lt;='Rules &amp; Guardrails'!$C$5,"At Risk","In Progress")))))</f>
        <v/>
      </c>
      <c r="AG296" s="28" t="str">
        <f aca="false">IF($O296="","",IF(OR($AE296="Launched",$AE296="Cancelled"),"",MID(IF($Y296&lt;&gt;"Approved",", Content approval","")&amp;IF(NOT(OR($Z296="Yes",$Z296="N/A")),", Assets","")&amp;IF(NOT(OR($AA296="Yes",$AA296="N/A")),", List","")&amp;IF($AB296="",", Ops decision",IF(AND($AB296="Yes",$AD296&lt;&gt;"Yes"),", Ops",""))&amp;IF($U296="",", Owner","")&amp;IF($K296="",", Segment",""),3,200)))</f>
        <v/>
      </c>
      <c r="AH296" s="29" t="str">
        <f aca="true">IF($O296="","",$O296-TODAY())</f>
        <v/>
      </c>
      <c r="AI296" s="26" t="str">
        <f aca="false">IF($O296="","",$O296-WEEKDAY($O296,3))</f>
        <v/>
      </c>
      <c r="AJ296" s="30" t="str">
        <f aca="false">IF($O296="","",DATE(YEAR($O296),MONTH($O296),1))</f>
        <v/>
      </c>
      <c r="AK296" s="31" t="str">
        <f aca="false">IF(OR($O296="",$K296=""),"",COUNTIFS('Comms Calendar'!$K$5:$K$504,$K296,'Comms Calendar'!$B$5:$B$504,$B296,'Comms Calendar'!$AI$5:$AI$504,$AI296,'Comms Calendar'!$AE$5:$AE$504,"&lt;&gt;Cancelled"))</f>
        <v/>
      </c>
      <c r="AL296" s="27" t="str">
        <f aca="false">IF($AK296="","",IF($AK296&gt;'Rules &amp; Guardrails'!$C$3,"Over cap","OK"))</f>
        <v/>
      </c>
      <c r="AM296" s="27" t="str">
        <f aca="false">IF(OR($O296="",$K296=""),"",IF(COUNTIFS('Comms Calendar'!$K$5:$K$504,$K296,'Comms Calendar'!$B$5:$B$504,$B296,'Comms Calendar'!$O$5:$O$504,$O296,'Comms Calendar'!$AE$5:$AE$504,"&lt;&gt;Cancelled")&gt;1,"Clash",""))</f>
        <v/>
      </c>
      <c r="AN296" s="27" t="str">
        <f aca="false">IF($O296="","",IF(IF($B296="Global",COUNTIF('Rules &amp; Guardrails'!$F$9:$F$60,$O296),COUNTIFS('Rules &amp; Guardrails'!$F$9:$F$60,$O296,'Rules &amp; Guardrails'!$G$9:$G$60,$B296)+COUNTIFS('Rules &amp; Guardrails'!$F$9:$F$60,$O296,'Rules &amp; Guardrails'!$G$9:$G$60,"Global"))&gt;0,"Blackout",""))</f>
        <v/>
      </c>
      <c r="AO296" s="6"/>
      <c r="AP296" s="25"/>
      <c r="AQ296" s="23"/>
      <c r="AR296" s="31" t="str">
        <f aca="false">IF($D296="","",IFERROR(VLOOKUP($D296,'Rules &amp; Guardrails'!$A$9:$D$24,2,0),"Other"))</f>
        <v/>
      </c>
      <c r="AS296" s="31" t="str">
        <f aca="false">IF($O296="","",$O296&amp;"|"&amp;$B296)</f>
        <v/>
      </c>
    </row>
    <row r="297" customFormat="false" ht="15" hidden="false" customHeight="false" outlineLevel="0" collapsed="false">
      <c r="A297" s="23"/>
      <c r="B297" s="23"/>
      <c r="C297" s="23"/>
      <c r="D297" s="23"/>
      <c r="E297" s="23"/>
      <c r="F297" s="23"/>
      <c r="G297" s="6"/>
      <c r="H297" s="6"/>
      <c r="I297" s="23"/>
      <c r="J297" s="23"/>
      <c r="K297" s="23"/>
      <c r="L297" s="6"/>
      <c r="M297" s="6"/>
      <c r="N297" s="24"/>
      <c r="O297" s="25"/>
      <c r="P297" s="23"/>
      <c r="Q297" s="23"/>
      <c r="R297" s="23"/>
      <c r="S297" s="23"/>
      <c r="T297" s="26" t="str">
        <f aca="false">IF(OR($O297="",$D297=""),"",WORKDAY($O297,-IFERROR(VLOOKUP($D297,'Rules &amp; Guardrails'!$A$9:$D$24,3,0),10)))</f>
        <v/>
      </c>
      <c r="U297" s="23"/>
      <c r="V297" s="23"/>
      <c r="W297" s="23"/>
      <c r="X297" s="6"/>
      <c r="Y297" s="23"/>
      <c r="Z297" s="23"/>
      <c r="AA297" s="23"/>
      <c r="AB297" s="23"/>
      <c r="AC297" s="23"/>
      <c r="AD297" s="23"/>
      <c r="AE297" s="23"/>
      <c r="AF297" s="27" t="str">
        <f aca="true">IF($O297="","",IF(OR($AE297="Cancelled",$AE297="On hold",$AE297="Launched"),$AE297,IF(AND($Y297="Approved",OR($Z297="Yes",$Z297="N/A"),OR($AA297="Yes",$AA297="N/A"),OR($AB297="No",$AB297="N/A",AND($AB297="Yes",$AD297="Yes"))),"Ready",IF($O297&lt;TODAY(),"Overdue",IF($O297-TODAY()&lt;='Rules &amp; Guardrails'!$C$5,"At Risk","In Progress")))))</f>
        <v/>
      </c>
      <c r="AG297" s="28" t="str">
        <f aca="false">IF($O297="","",IF(OR($AE297="Launched",$AE297="Cancelled"),"",MID(IF($Y297&lt;&gt;"Approved",", Content approval","")&amp;IF(NOT(OR($Z297="Yes",$Z297="N/A")),", Assets","")&amp;IF(NOT(OR($AA297="Yes",$AA297="N/A")),", List","")&amp;IF($AB297="",", Ops decision",IF(AND($AB297="Yes",$AD297&lt;&gt;"Yes"),", Ops",""))&amp;IF($U297="",", Owner","")&amp;IF($K297="",", Segment",""),3,200)))</f>
        <v/>
      </c>
      <c r="AH297" s="29" t="str">
        <f aca="true">IF($O297="","",$O297-TODAY())</f>
        <v/>
      </c>
      <c r="AI297" s="26" t="str">
        <f aca="false">IF($O297="","",$O297-WEEKDAY($O297,3))</f>
        <v/>
      </c>
      <c r="AJ297" s="30" t="str">
        <f aca="false">IF($O297="","",DATE(YEAR($O297),MONTH($O297),1))</f>
        <v/>
      </c>
      <c r="AK297" s="31" t="str">
        <f aca="false">IF(OR($O297="",$K297=""),"",COUNTIFS('Comms Calendar'!$K$5:$K$504,$K297,'Comms Calendar'!$B$5:$B$504,$B297,'Comms Calendar'!$AI$5:$AI$504,$AI297,'Comms Calendar'!$AE$5:$AE$504,"&lt;&gt;Cancelled"))</f>
        <v/>
      </c>
      <c r="AL297" s="27" t="str">
        <f aca="false">IF($AK297="","",IF($AK297&gt;'Rules &amp; Guardrails'!$C$3,"Over cap","OK"))</f>
        <v/>
      </c>
      <c r="AM297" s="27" t="str">
        <f aca="false">IF(OR($O297="",$K297=""),"",IF(COUNTIFS('Comms Calendar'!$K$5:$K$504,$K297,'Comms Calendar'!$B$5:$B$504,$B297,'Comms Calendar'!$O$5:$O$504,$O297,'Comms Calendar'!$AE$5:$AE$504,"&lt;&gt;Cancelled")&gt;1,"Clash",""))</f>
        <v/>
      </c>
      <c r="AN297" s="27" t="str">
        <f aca="false">IF($O297="","",IF(IF($B297="Global",COUNTIF('Rules &amp; Guardrails'!$F$9:$F$60,$O297),COUNTIFS('Rules &amp; Guardrails'!$F$9:$F$60,$O297,'Rules &amp; Guardrails'!$G$9:$G$60,$B297)+COUNTIFS('Rules &amp; Guardrails'!$F$9:$F$60,$O297,'Rules &amp; Guardrails'!$G$9:$G$60,"Global"))&gt;0,"Blackout",""))</f>
        <v/>
      </c>
      <c r="AO297" s="6"/>
      <c r="AP297" s="25"/>
      <c r="AQ297" s="23"/>
      <c r="AR297" s="31" t="str">
        <f aca="false">IF($D297="","",IFERROR(VLOOKUP($D297,'Rules &amp; Guardrails'!$A$9:$D$24,2,0),"Other"))</f>
        <v/>
      </c>
      <c r="AS297" s="31" t="str">
        <f aca="false">IF($O297="","",$O297&amp;"|"&amp;$B297)</f>
        <v/>
      </c>
    </row>
    <row r="298" customFormat="false" ht="15" hidden="false" customHeight="false" outlineLevel="0" collapsed="false">
      <c r="A298" s="23"/>
      <c r="B298" s="23"/>
      <c r="C298" s="23"/>
      <c r="D298" s="23"/>
      <c r="E298" s="23"/>
      <c r="F298" s="23"/>
      <c r="G298" s="6"/>
      <c r="H298" s="6"/>
      <c r="I298" s="23"/>
      <c r="J298" s="23"/>
      <c r="K298" s="23"/>
      <c r="L298" s="6"/>
      <c r="M298" s="6"/>
      <c r="N298" s="24"/>
      <c r="O298" s="25"/>
      <c r="P298" s="23"/>
      <c r="Q298" s="23"/>
      <c r="R298" s="23"/>
      <c r="S298" s="23"/>
      <c r="T298" s="26" t="str">
        <f aca="false">IF(OR($O298="",$D298=""),"",WORKDAY($O298,-IFERROR(VLOOKUP($D298,'Rules &amp; Guardrails'!$A$9:$D$24,3,0),10)))</f>
        <v/>
      </c>
      <c r="U298" s="23"/>
      <c r="V298" s="23"/>
      <c r="W298" s="23"/>
      <c r="X298" s="6"/>
      <c r="Y298" s="23"/>
      <c r="Z298" s="23"/>
      <c r="AA298" s="23"/>
      <c r="AB298" s="23"/>
      <c r="AC298" s="23"/>
      <c r="AD298" s="23"/>
      <c r="AE298" s="23"/>
      <c r="AF298" s="27" t="str">
        <f aca="true">IF($O298="","",IF(OR($AE298="Cancelled",$AE298="On hold",$AE298="Launched"),$AE298,IF(AND($Y298="Approved",OR($Z298="Yes",$Z298="N/A"),OR($AA298="Yes",$AA298="N/A"),OR($AB298="No",$AB298="N/A",AND($AB298="Yes",$AD298="Yes"))),"Ready",IF($O298&lt;TODAY(),"Overdue",IF($O298-TODAY()&lt;='Rules &amp; Guardrails'!$C$5,"At Risk","In Progress")))))</f>
        <v/>
      </c>
      <c r="AG298" s="28" t="str">
        <f aca="false">IF($O298="","",IF(OR($AE298="Launched",$AE298="Cancelled"),"",MID(IF($Y298&lt;&gt;"Approved",", Content approval","")&amp;IF(NOT(OR($Z298="Yes",$Z298="N/A")),", Assets","")&amp;IF(NOT(OR($AA298="Yes",$AA298="N/A")),", List","")&amp;IF($AB298="",", Ops decision",IF(AND($AB298="Yes",$AD298&lt;&gt;"Yes"),", Ops",""))&amp;IF($U298="",", Owner","")&amp;IF($K298="",", Segment",""),3,200)))</f>
        <v/>
      </c>
      <c r="AH298" s="29" t="str">
        <f aca="true">IF($O298="","",$O298-TODAY())</f>
        <v/>
      </c>
      <c r="AI298" s="26" t="str">
        <f aca="false">IF($O298="","",$O298-WEEKDAY($O298,3))</f>
        <v/>
      </c>
      <c r="AJ298" s="30" t="str">
        <f aca="false">IF($O298="","",DATE(YEAR($O298),MONTH($O298),1))</f>
        <v/>
      </c>
      <c r="AK298" s="31" t="str">
        <f aca="false">IF(OR($O298="",$K298=""),"",COUNTIFS('Comms Calendar'!$K$5:$K$504,$K298,'Comms Calendar'!$B$5:$B$504,$B298,'Comms Calendar'!$AI$5:$AI$504,$AI298,'Comms Calendar'!$AE$5:$AE$504,"&lt;&gt;Cancelled"))</f>
        <v/>
      </c>
      <c r="AL298" s="27" t="str">
        <f aca="false">IF($AK298="","",IF($AK298&gt;'Rules &amp; Guardrails'!$C$3,"Over cap","OK"))</f>
        <v/>
      </c>
      <c r="AM298" s="27" t="str">
        <f aca="false">IF(OR($O298="",$K298=""),"",IF(COUNTIFS('Comms Calendar'!$K$5:$K$504,$K298,'Comms Calendar'!$B$5:$B$504,$B298,'Comms Calendar'!$O$5:$O$504,$O298,'Comms Calendar'!$AE$5:$AE$504,"&lt;&gt;Cancelled")&gt;1,"Clash",""))</f>
        <v/>
      </c>
      <c r="AN298" s="27" t="str">
        <f aca="false">IF($O298="","",IF(IF($B298="Global",COUNTIF('Rules &amp; Guardrails'!$F$9:$F$60,$O298),COUNTIFS('Rules &amp; Guardrails'!$F$9:$F$60,$O298,'Rules &amp; Guardrails'!$G$9:$G$60,$B298)+COUNTIFS('Rules &amp; Guardrails'!$F$9:$F$60,$O298,'Rules &amp; Guardrails'!$G$9:$G$60,"Global"))&gt;0,"Blackout",""))</f>
        <v/>
      </c>
      <c r="AO298" s="6"/>
      <c r="AP298" s="25"/>
      <c r="AQ298" s="23"/>
      <c r="AR298" s="31" t="str">
        <f aca="false">IF($D298="","",IFERROR(VLOOKUP($D298,'Rules &amp; Guardrails'!$A$9:$D$24,2,0),"Other"))</f>
        <v/>
      </c>
      <c r="AS298" s="31" t="str">
        <f aca="false">IF($O298="","",$O298&amp;"|"&amp;$B298)</f>
        <v/>
      </c>
    </row>
    <row r="299" customFormat="false" ht="15" hidden="false" customHeight="false" outlineLevel="0" collapsed="false">
      <c r="A299" s="23"/>
      <c r="B299" s="23"/>
      <c r="C299" s="23"/>
      <c r="D299" s="23"/>
      <c r="E299" s="23"/>
      <c r="F299" s="23"/>
      <c r="G299" s="6"/>
      <c r="H299" s="6"/>
      <c r="I299" s="23"/>
      <c r="J299" s="23"/>
      <c r="K299" s="23"/>
      <c r="L299" s="6"/>
      <c r="M299" s="6"/>
      <c r="N299" s="24"/>
      <c r="O299" s="25"/>
      <c r="P299" s="23"/>
      <c r="Q299" s="23"/>
      <c r="R299" s="23"/>
      <c r="S299" s="23"/>
      <c r="T299" s="26" t="str">
        <f aca="false">IF(OR($O299="",$D299=""),"",WORKDAY($O299,-IFERROR(VLOOKUP($D299,'Rules &amp; Guardrails'!$A$9:$D$24,3,0),10)))</f>
        <v/>
      </c>
      <c r="U299" s="23"/>
      <c r="V299" s="23"/>
      <c r="W299" s="23"/>
      <c r="X299" s="6"/>
      <c r="Y299" s="23"/>
      <c r="Z299" s="23"/>
      <c r="AA299" s="23"/>
      <c r="AB299" s="23"/>
      <c r="AC299" s="23"/>
      <c r="AD299" s="23"/>
      <c r="AE299" s="23"/>
      <c r="AF299" s="27" t="str">
        <f aca="true">IF($O299="","",IF(OR($AE299="Cancelled",$AE299="On hold",$AE299="Launched"),$AE299,IF(AND($Y299="Approved",OR($Z299="Yes",$Z299="N/A"),OR($AA299="Yes",$AA299="N/A"),OR($AB299="No",$AB299="N/A",AND($AB299="Yes",$AD299="Yes"))),"Ready",IF($O299&lt;TODAY(),"Overdue",IF($O299-TODAY()&lt;='Rules &amp; Guardrails'!$C$5,"At Risk","In Progress")))))</f>
        <v/>
      </c>
      <c r="AG299" s="28" t="str">
        <f aca="false">IF($O299="","",IF(OR($AE299="Launched",$AE299="Cancelled"),"",MID(IF($Y299&lt;&gt;"Approved",", Content approval","")&amp;IF(NOT(OR($Z299="Yes",$Z299="N/A")),", Assets","")&amp;IF(NOT(OR($AA299="Yes",$AA299="N/A")),", List","")&amp;IF($AB299="",", Ops decision",IF(AND($AB299="Yes",$AD299&lt;&gt;"Yes"),", Ops",""))&amp;IF($U299="",", Owner","")&amp;IF($K299="",", Segment",""),3,200)))</f>
        <v/>
      </c>
      <c r="AH299" s="29" t="str">
        <f aca="true">IF($O299="","",$O299-TODAY())</f>
        <v/>
      </c>
      <c r="AI299" s="26" t="str">
        <f aca="false">IF($O299="","",$O299-WEEKDAY($O299,3))</f>
        <v/>
      </c>
      <c r="AJ299" s="30" t="str">
        <f aca="false">IF($O299="","",DATE(YEAR($O299),MONTH($O299),1))</f>
        <v/>
      </c>
      <c r="AK299" s="31" t="str">
        <f aca="false">IF(OR($O299="",$K299=""),"",COUNTIFS('Comms Calendar'!$K$5:$K$504,$K299,'Comms Calendar'!$B$5:$B$504,$B299,'Comms Calendar'!$AI$5:$AI$504,$AI299,'Comms Calendar'!$AE$5:$AE$504,"&lt;&gt;Cancelled"))</f>
        <v/>
      </c>
      <c r="AL299" s="27" t="str">
        <f aca="false">IF($AK299="","",IF($AK299&gt;'Rules &amp; Guardrails'!$C$3,"Over cap","OK"))</f>
        <v/>
      </c>
      <c r="AM299" s="27" t="str">
        <f aca="false">IF(OR($O299="",$K299=""),"",IF(COUNTIFS('Comms Calendar'!$K$5:$K$504,$K299,'Comms Calendar'!$B$5:$B$504,$B299,'Comms Calendar'!$O$5:$O$504,$O299,'Comms Calendar'!$AE$5:$AE$504,"&lt;&gt;Cancelled")&gt;1,"Clash",""))</f>
        <v/>
      </c>
      <c r="AN299" s="27" t="str">
        <f aca="false">IF($O299="","",IF(IF($B299="Global",COUNTIF('Rules &amp; Guardrails'!$F$9:$F$60,$O299),COUNTIFS('Rules &amp; Guardrails'!$F$9:$F$60,$O299,'Rules &amp; Guardrails'!$G$9:$G$60,$B299)+COUNTIFS('Rules &amp; Guardrails'!$F$9:$F$60,$O299,'Rules &amp; Guardrails'!$G$9:$G$60,"Global"))&gt;0,"Blackout",""))</f>
        <v/>
      </c>
      <c r="AO299" s="6"/>
      <c r="AP299" s="25"/>
      <c r="AQ299" s="23"/>
      <c r="AR299" s="31" t="str">
        <f aca="false">IF($D299="","",IFERROR(VLOOKUP($D299,'Rules &amp; Guardrails'!$A$9:$D$24,2,0),"Other"))</f>
        <v/>
      </c>
      <c r="AS299" s="31" t="str">
        <f aca="false">IF($O299="","",$O299&amp;"|"&amp;$B299)</f>
        <v/>
      </c>
    </row>
    <row r="300" customFormat="false" ht="15" hidden="false" customHeight="false" outlineLevel="0" collapsed="false">
      <c r="A300" s="23"/>
      <c r="B300" s="23"/>
      <c r="C300" s="23"/>
      <c r="D300" s="23"/>
      <c r="E300" s="23"/>
      <c r="F300" s="23"/>
      <c r="G300" s="6"/>
      <c r="H300" s="6"/>
      <c r="I300" s="23"/>
      <c r="J300" s="23"/>
      <c r="K300" s="23"/>
      <c r="L300" s="6"/>
      <c r="M300" s="6"/>
      <c r="N300" s="24"/>
      <c r="O300" s="25"/>
      <c r="P300" s="23"/>
      <c r="Q300" s="23"/>
      <c r="R300" s="23"/>
      <c r="S300" s="23"/>
      <c r="T300" s="26" t="str">
        <f aca="false">IF(OR($O300="",$D300=""),"",WORKDAY($O300,-IFERROR(VLOOKUP($D300,'Rules &amp; Guardrails'!$A$9:$D$24,3,0),10)))</f>
        <v/>
      </c>
      <c r="U300" s="23"/>
      <c r="V300" s="23"/>
      <c r="W300" s="23"/>
      <c r="X300" s="6"/>
      <c r="Y300" s="23"/>
      <c r="Z300" s="23"/>
      <c r="AA300" s="23"/>
      <c r="AB300" s="23"/>
      <c r="AC300" s="23"/>
      <c r="AD300" s="23"/>
      <c r="AE300" s="23"/>
      <c r="AF300" s="27" t="str">
        <f aca="true">IF($O300="","",IF(OR($AE300="Cancelled",$AE300="On hold",$AE300="Launched"),$AE300,IF(AND($Y300="Approved",OR($Z300="Yes",$Z300="N/A"),OR($AA300="Yes",$AA300="N/A"),OR($AB300="No",$AB300="N/A",AND($AB300="Yes",$AD300="Yes"))),"Ready",IF($O300&lt;TODAY(),"Overdue",IF($O300-TODAY()&lt;='Rules &amp; Guardrails'!$C$5,"At Risk","In Progress")))))</f>
        <v/>
      </c>
      <c r="AG300" s="28" t="str">
        <f aca="false">IF($O300="","",IF(OR($AE300="Launched",$AE300="Cancelled"),"",MID(IF($Y300&lt;&gt;"Approved",", Content approval","")&amp;IF(NOT(OR($Z300="Yes",$Z300="N/A")),", Assets","")&amp;IF(NOT(OR($AA300="Yes",$AA300="N/A")),", List","")&amp;IF($AB300="",", Ops decision",IF(AND($AB300="Yes",$AD300&lt;&gt;"Yes"),", Ops",""))&amp;IF($U300="",", Owner","")&amp;IF($K300="",", Segment",""),3,200)))</f>
        <v/>
      </c>
      <c r="AH300" s="29" t="str">
        <f aca="true">IF($O300="","",$O300-TODAY())</f>
        <v/>
      </c>
      <c r="AI300" s="26" t="str">
        <f aca="false">IF($O300="","",$O300-WEEKDAY($O300,3))</f>
        <v/>
      </c>
      <c r="AJ300" s="30" t="str">
        <f aca="false">IF($O300="","",DATE(YEAR($O300),MONTH($O300),1))</f>
        <v/>
      </c>
      <c r="AK300" s="31" t="str">
        <f aca="false">IF(OR($O300="",$K300=""),"",COUNTIFS('Comms Calendar'!$K$5:$K$504,$K300,'Comms Calendar'!$B$5:$B$504,$B300,'Comms Calendar'!$AI$5:$AI$504,$AI300,'Comms Calendar'!$AE$5:$AE$504,"&lt;&gt;Cancelled"))</f>
        <v/>
      </c>
      <c r="AL300" s="27" t="str">
        <f aca="false">IF($AK300="","",IF($AK300&gt;'Rules &amp; Guardrails'!$C$3,"Over cap","OK"))</f>
        <v/>
      </c>
      <c r="AM300" s="27" t="str">
        <f aca="false">IF(OR($O300="",$K300=""),"",IF(COUNTIFS('Comms Calendar'!$K$5:$K$504,$K300,'Comms Calendar'!$B$5:$B$504,$B300,'Comms Calendar'!$O$5:$O$504,$O300,'Comms Calendar'!$AE$5:$AE$504,"&lt;&gt;Cancelled")&gt;1,"Clash",""))</f>
        <v/>
      </c>
      <c r="AN300" s="27" t="str">
        <f aca="false">IF($O300="","",IF(IF($B300="Global",COUNTIF('Rules &amp; Guardrails'!$F$9:$F$60,$O300),COUNTIFS('Rules &amp; Guardrails'!$F$9:$F$60,$O300,'Rules &amp; Guardrails'!$G$9:$G$60,$B300)+COUNTIFS('Rules &amp; Guardrails'!$F$9:$F$60,$O300,'Rules &amp; Guardrails'!$G$9:$G$60,"Global"))&gt;0,"Blackout",""))</f>
        <v/>
      </c>
      <c r="AO300" s="6"/>
      <c r="AP300" s="25"/>
      <c r="AQ300" s="23"/>
      <c r="AR300" s="31" t="str">
        <f aca="false">IF($D300="","",IFERROR(VLOOKUP($D300,'Rules &amp; Guardrails'!$A$9:$D$24,2,0),"Other"))</f>
        <v/>
      </c>
      <c r="AS300" s="31" t="str">
        <f aca="false">IF($O300="","",$O300&amp;"|"&amp;$B300)</f>
        <v/>
      </c>
    </row>
    <row r="301" customFormat="false" ht="15" hidden="false" customHeight="false" outlineLevel="0" collapsed="false">
      <c r="A301" s="23"/>
      <c r="B301" s="23"/>
      <c r="C301" s="23"/>
      <c r="D301" s="23"/>
      <c r="E301" s="23"/>
      <c r="F301" s="23"/>
      <c r="G301" s="6"/>
      <c r="H301" s="6"/>
      <c r="I301" s="23"/>
      <c r="J301" s="23"/>
      <c r="K301" s="23"/>
      <c r="L301" s="6"/>
      <c r="M301" s="6"/>
      <c r="N301" s="24"/>
      <c r="O301" s="25"/>
      <c r="P301" s="23"/>
      <c r="Q301" s="23"/>
      <c r="R301" s="23"/>
      <c r="S301" s="23"/>
      <c r="T301" s="26" t="str">
        <f aca="false">IF(OR($O301="",$D301=""),"",WORKDAY($O301,-IFERROR(VLOOKUP($D301,'Rules &amp; Guardrails'!$A$9:$D$24,3,0),10)))</f>
        <v/>
      </c>
      <c r="U301" s="23"/>
      <c r="V301" s="23"/>
      <c r="W301" s="23"/>
      <c r="X301" s="6"/>
      <c r="Y301" s="23"/>
      <c r="Z301" s="23"/>
      <c r="AA301" s="23"/>
      <c r="AB301" s="23"/>
      <c r="AC301" s="23"/>
      <c r="AD301" s="23"/>
      <c r="AE301" s="23"/>
      <c r="AF301" s="27" t="str">
        <f aca="true">IF($O301="","",IF(OR($AE301="Cancelled",$AE301="On hold",$AE301="Launched"),$AE301,IF(AND($Y301="Approved",OR($Z301="Yes",$Z301="N/A"),OR($AA301="Yes",$AA301="N/A"),OR($AB301="No",$AB301="N/A",AND($AB301="Yes",$AD301="Yes"))),"Ready",IF($O301&lt;TODAY(),"Overdue",IF($O301-TODAY()&lt;='Rules &amp; Guardrails'!$C$5,"At Risk","In Progress")))))</f>
        <v/>
      </c>
      <c r="AG301" s="28" t="str">
        <f aca="false">IF($O301="","",IF(OR($AE301="Launched",$AE301="Cancelled"),"",MID(IF($Y301&lt;&gt;"Approved",", Content approval","")&amp;IF(NOT(OR($Z301="Yes",$Z301="N/A")),", Assets","")&amp;IF(NOT(OR($AA301="Yes",$AA301="N/A")),", List","")&amp;IF($AB301="",", Ops decision",IF(AND($AB301="Yes",$AD301&lt;&gt;"Yes"),", Ops",""))&amp;IF($U301="",", Owner","")&amp;IF($K301="",", Segment",""),3,200)))</f>
        <v/>
      </c>
      <c r="AH301" s="29" t="str">
        <f aca="true">IF($O301="","",$O301-TODAY())</f>
        <v/>
      </c>
      <c r="AI301" s="26" t="str">
        <f aca="false">IF($O301="","",$O301-WEEKDAY($O301,3))</f>
        <v/>
      </c>
      <c r="AJ301" s="30" t="str">
        <f aca="false">IF($O301="","",DATE(YEAR($O301),MONTH($O301),1))</f>
        <v/>
      </c>
      <c r="AK301" s="31" t="str">
        <f aca="false">IF(OR($O301="",$K301=""),"",COUNTIFS('Comms Calendar'!$K$5:$K$504,$K301,'Comms Calendar'!$B$5:$B$504,$B301,'Comms Calendar'!$AI$5:$AI$504,$AI301,'Comms Calendar'!$AE$5:$AE$504,"&lt;&gt;Cancelled"))</f>
        <v/>
      </c>
      <c r="AL301" s="27" t="str">
        <f aca="false">IF($AK301="","",IF($AK301&gt;'Rules &amp; Guardrails'!$C$3,"Over cap","OK"))</f>
        <v/>
      </c>
      <c r="AM301" s="27" t="str">
        <f aca="false">IF(OR($O301="",$K301=""),"",IF(COUNTIFS('Comms Calendar'!$K$5:$K$504,$K301,'Comms Calendar'!$B$5:$B$504,$B301,'Comms Calendar'!$O$5:$O$504,$O301,'Comms Calendar'!$AE$5:$AE$504,"&lt;&gt;Cancelled")&gt;1,"Clash",""))</f>
        <v/>
      </c>
      <c r="AN301" s="27" t="str">
        <f aca="false">IF($O301="","",IF(IF($B301="Global",COUNTIF('Rules &amp; Guardrails'!$F$9:$F$60,$O301),COUNTIFS('Rules &amp; Guardrails'!$F$9:$F$60,$O301,'Rules &amp; Guardrails'!$G$9:$G$60,$B301)+COUNTIFS('Rules &amp; Guardrails'!$F$9:$F$60,$O301,'Rules &amp; Guardrails'!$G$9:$G$60,"Global"))&gt;0,"Blackout",""))</f>
        <v/>
      </c>
      <c r="AO301" s="6"/>
      <c r="AP301" s="25"/>
      <c r="AQ301" s="23"/>
      <c r="AR301" s="31" t="str">
        <f aca="false">IF($D301="","",IFERROR(VLOOKUP($D301,'Rules &amp; Guardrails'!$A$9:$D$24,2,0),"Other"))</f>
        <v/>
      </c>
      <c r="AS301" s="31" t="str">
        <f aca="false">IF($O301="","",$O301&amp;"|"&amp;$B301)</f>
        <v/>
      </c>
    </row>
    <row r="302" customFormat="false" ht="15" hidden="false" customHeight="false" outlineLevel="0" collapsed="false">
      <c r="A302" s="23"/>
      <c r="B302" s="23"/>
      <c r="C302" s="23"/>
      <c r="D302" s="23"/>
      <c r="E302" s="23"/>
      <c r="F302" s="23"/>
      <c r="G302" s="6"/>
      <c r="H302" s="6"/>
      <c r="I302" s="23"/>
      <c r="J302" s="23"/>
      <c r="K302" s="23"/>
      <c r="L302" s="6"/>
      <c r="M302" s="6"/>
      <c r="N302" s="24"/>
      <c r="O302" s="25"/>
      <c r="P302" s="23"/>
      <c r="Q302" s="23"/>
      <c r="R302" s="23"/>
      <c r="S302" s="23"/>
      <c r="T302" s="26" t="str">
        <f aca="false">IF(OR($O302="",$D302=""),"",WORKDAY($O302,-IFERROR(VLOOKUP($D302,'Rules &amp; Guardrails'!$A$9:$D$24,3,0),10)))</f>
        <v/>
      </c>
      <c r="U302" s="23"/>
      <c r="V302" s="23"/>
      <c r="W302" s="23"/>
      <c r="X302" s="6"/>
      <c r="Y302" s="23"/>
      <c r="Z302" s="23"/>
      <c r="AA302" s="23"/>
      <c r="AB302" s="23"/>
      <c r="AC302" s="23"/>
      <c r="AD302" s="23"/>
      <c r="AE302" s="23"/>
      <c r="AF302" s="27" t="str">
        <f aca="true">IF($O302="","",IF(OR($AE302="Cancelled",$AE302="On hold",$AE302="Launched"),$AE302,IF(AND($Y302="Approved",OR($Z302="Yes",$Z302="N/A"),OR($AA302="Yes",$AA302="N/A"),OR($AB302="No",$AB302="N/A",AND($AB302="Yes",$AD302="Yes"))),"Ready",IF($O302&lt;TODAY(),"Overdue",IF($O302-TODAY()&lt;='Rules &amp; Guardrails'!$C$5,"At Risk","In Progress")))))</f>
        <v/>
      </c>
      <c r="AG302" s="28" t="str">
        <f aca="false">IF($O302="","",IF(OR($AE302="Launched",$AE302="Cancelled"),"",MID(IF($Y302&lt;&gt;"Approved",", Content approval","")&amp;IF(NOT(OR($Z302="Yes",$Z302="N/A")),", Assets","")&amp;IF(NOT(OR($AA302="Yes",$AA302="N/A")),", List","")&amp;IF($AB302="",", Ops decision",IF(AND($AB302="Yes",$AD302&lt;&gt;"Yes"),", Ops",""))&amp;IF($U302="",", Owner","")&amp;IF($K302="",", Segment",""),3,200)))</f>
        <v/>
      </c>
      <c r="AH302" s="29" t="str">
        <f aca="true">IF($O302="","",$O302-TODAY())</f>
        <v/>
      </c>
      <c r="AI302" s="26" t="str">
        <f aca="false">IF($O302="","",$O302-WEEKDAY($O302,3))</f>
        <v/>
      </c>
      <c r="AJ302" s="30" t="str">
        <f aca="false">IF($O302="","",DATE(YEAR($O302),MONTH($O302),1))</f>
        <v/>
      </c>
      <c r="AK302" s="31" t="str">
        <f aca="false">IF(OR($O302="",$K302=""),"",COUNTIFS('Comms Calendar'!$K$5:$K$504,$K302,'Comms Calendar'!$B$5:$B$504,$B302,'Comms Calendar'!$AI$5:$AI$504,$AI302,'Comms Calendar'!$AE$5:$AE$504,"&lt;&gt;Cancelled"))</f>
        <v/>
      </c>
      <c r="AL302" s="27" t="str">
        <f aca="false">IF($AK302="","",IF($AK302&gt;'Rules &amp; Guardrails'!$C$3,"Over cap","OK"))</f>
        <v/>
      </c>
      <c r="AM302" s="27" t="str">
        <f aca="false">IF(OR($O302="",$K302=""),"",IF(COUNTIFS('Comms Calendar'!$K$5:$K$504,$K302,'Comms Calendar'!$B$5:$B$504,$B302,'Comms Calendar'!$O$5:$O$504,$O302,'Comms Calendar'!$AE$5:$AE$504,"&lt;&gt;Cancelled")&gt;1,"Clash",""))</f>
        <v/>
      </c>
      <c r="AN302" s="27" t="str">
        <f aca="false">IF($O302="","",IF(IF($B302="Global",COUNTIF('Rules &amp; Guardrails'!$F$9:$F$60,$O302),COUNTIFS('Rules &amp; Guardrails'!$F$9:$F$60,$O302,'Rules &amp; Guardrails'!$G$9:$G$60,$B302)+COUNTIFS('Rules &amp; Guardrails'!$F$9:$F$60,$O302,'Rules &amp; Guardrails'!$G$9:$G$60,"Global"))&gt;0,"Blackout",""))</f>
        <v/>
      </c>
      <c r="AO302" s="6"/>
      <c r="AP302" s="25"/>
      <c r="AQ302" s="23"/>
      <c r="AR302" s="31" t="str">
        <f aca="false">IF($D302="","",IFERROR(VLOOKUP($D302,'Rules &amp; Guardrails'!$A$9:$D$24,2,0),"Other"))</f>
        <v/>
      </c>
      <c r="AS302" s="31" t="str">
        <f aca="false">IF($O302="","",$O302&amp;"|"&amp;$B302)</f>
        <v/>
      </c>
    </row>
    <row r="303" customFormat="false" ht="15" hidden="false" customHeight="false" outlineLevel="0" collapsed="false">
      <c r="A303" s="23"/>
      <c r="B303" s="23"/>
      <c r="C303" s="23"/>
      <c r="D303" s="23"/>
      <c r="E303" s="23"/>
      <c r="F303" s="23"/>
      <c r="G303" s="6"/>
      <c r="H303" s="6"/>
      <c r="I303" s="23"/>
      <c r="J303" s="23"/>
      <c r="K303" s="23"/>
      <c r="L303" s="6"/>
      <c r="M303" s="6"/>
      <c r="N303" s="24"/>
      <c r="O303" s="25"/>
      <c r="P303" s="23"/>
      <c r="Q303" s="23"/>
      <c r="R303" s="23"/>
      <c r="S303" s="23"/>
      <c r="T303" s="26" t="str">
        <f aca="false">IF(OR($O303="",$D303=""),"",WORKDAY($O303,-IFERROR(VLOOKUP($D303,'Rules &amp; Guardrails'!$A$9:$D$24,3,0),10)))</f>
        <v/>
      </c>
      <c r="U303" s="23"/>
      <c r="V303" s="23"/>
      <c r="W303" s="23"/>
      <c r="X303" s="6"/>
      <c r="Y303" s="23"/>
      <c r="Z303" s="23"/>
      <c r="AA303" s="23"/>
      <c r="AB303" s="23"/>
      <c r="AC303" s="23"/>
      <c r="AD303" s="23"/>
      <c r="AE303" s="23"/>
      <c r="AF303" s="27" t="str">
        <f aca="true">IF($O303="","",IF(OR($AE303="Cancelled",$AE303="On hold",$AE303="Launched"),$AE303,IF(AND($Y303="Approved",OR($Z303="Yes",$Z303="N/A"),OR($AA303="Yes",$AA303="N/A"),OR($AB303="No",$AB303="N/A",AND($AB303="Yes",$AD303="Yes"))),"Ready",IF($O303&lt;TODAY(),"Overdue",IF($O303-TODAY()&lt;='Rules &amp; Guardrails'!$C$5,"At Risk","In Progress")))))</f>
        <v/>
      </c>
      <c r="AG303" s="28" t="str">
        <f aca="false">IF($O303="","",IF(OR($AE303="Launched",$AE303="Cancelled"),"",MID(IF($Y303&lt;&gt;"Approved",", Content approval","")&amp;IF(NOT(OR($Z303="Yes",$Z303="N/A")),", Assets","")&amp;IF(NOT(OR($AA303="Yes",$AA303="N/A")),", List","")&amp;IF($AB303="",", Ops decision",IF(AND($AB303="Yes",$AD303&lt;&gt;"Yes"),", Ops",""))&amp;IF($U303="",", Owner","")&amp;IF($K303="",", Segment",""),3,200)))</f>
        <v/>
      </c>
      <c r="AH303" s="29" t="str">
        <f aca="true">IF($O303="","",$O303-TODAY())</f>
        <v/>
      </c>
      <c r="AI303" s="26" t="str">
        <f aca="false">IF($O303="","",$O303-WEEKDAY($O303,3))</f>
        <v/>
      </c>
      <c r="AJ303" s="30" t="str">
        <f aca="false">IF($O303="","",DATE(YEAR($O303),MONTH($O303),1))</f>
        <v/>
      </c>
      <c r="AK303" s="31" t="str">
        <f aca="false">IF(OR($O303="",$K303=""),"",COUNTIFS('Comms Calendar'!$K$5:$K$504,$K303,'Comms Calendar'!$B$5:$B$504,$B303,'Comms Calendar'!$AI$5:$AI$504,$AI303,'Comms Calendar'!$AE$5:$AE$504,"&lt;&gt;Cancelled"))</f>
        <v/>
      </c>
      <c r="AL303" s="27" t="str">
        <f aca="false">IF($AK303="","",IF($AK303&gt;'Rules &amp; Guardrails'!$C$3,"Over cap","OK"))</f>
        <v/>
      </c>
      <c r="AM303" s="27" t="str">
        <f aca="false">IF(OR($O303="",$K303=""),"",IF(COUNTIFS('Comms Calendar'!$K$5:$K$504,$K303,'Comms Calendar'!$B$5:$B$504,$B303,'Comms Calendar'!$O$5:$O$504,$O303,'Comms Calendar'!$AE$5:$AE$504,"&lt;&gt;Cancelled")&gt;1,"Clash",""))</f>
        <v/>
      </c>
      <c r="AN303" s="27" t="str">
        <f aca="false">IF($O303="","",IF(IF($B303="Global",COUNTIF('Rules &amp; Guardrails'!$F$9:$F$60,$O303),COUNTIFS('Rules &amp; Guardrails'!$F$9:$F$60,$O303,'Rules &amp; Guardrails'!$G$9:$G$60,$B303)+COUNTIFS('Rules &amp; Guardrails'!$F$9:$F$60,$O303,'Rules &amp; Guardrails'!$G$9:$G$60,"Global"))&gt;0,"Blackout",""))</f>
        <v/>
      </c>
      <c r="AO303" s="6"/>
      <c r="AP303" s="25"/>
      <c r="AQ303" s="23"/>
      <c r="AR303" s="31" t="str">
        <f aca="false">IF($D303="","",IFERROR(VLOOKUP($D303,'Rules &amp; Guardrails'!$A$9:$D$24,2,0),"Other"))</f>
        <v/>
      </c>
      <c r="AS303" s="31" t="str">
        <f aca="false">IF($O303="","",$O303&amp;"|"&amp;$B303)</f>
        <v/>
      </c>
    </row>
    <row r="304" customFormat="false" ht="15" hidden="false" customHeight="false" outlineLevel="0" collapsed="false">
      <c r="A304" s="23"/>
      <c r="B304" s="23"/>
      <c r="C304" s="23"/>
      <c r="D304" s="23"/>
      <c r="E304" s="23"/>
      <c r="F304" s="23"/>
      <c r="G304" s="6"/>
      <c r="H304" s="6"/>
      <c r="I304" s="23"/>
      <c r="J304" s="23"/>
      <c r="K304" s="23"/>
      <c r="L304" s="6"/>
      <c r="M304" s="6"/>
      <c r="N304" s="24"/>
      <c r="O304" s="25"/>
      <c r="P304" s="23"/>
      <c r="Q304" s="23"/>
      <c r="R304" s="23"/>
      <c r="S304" s="23"/>
      <c r="T304" s="26" t="str">
        <f aca="false">IF(OR($O304="",$D304=""),"",WORKDAY($O304,-IFERROR(VLOOKUP($D304,'Rules &amp; Guardrails'!$A$9:$D$24,3,0),10)))</f>
        <v/>
      </c>
      <c r="U304" s="23"/>
      <c r="V304" s="23"/>
      <c r="W304" s="23"/>
      <c r="X304" s="6"/>
      <c r="Y304" s="23"/>
      <c r="Z304" s="23"/>
      <c r="AA304" s="23"/>
      <c r="AB304" s="23"/>
      <c r="AC304" s="23"/>
      <c r="AD304" s="23"/>
      <c r="AE304" s="23"/>
      <c r="AF304" s="27" t="str">
        <f aca="true">IF($O304="","",IF(OR($AE304="Cancelled",$AE304="On hold",$AE304="Launched"),$AE304,IF(AND($Y304="Approved",OR($Z304="Yes",$Z304="N/A"),OR($AA304="Yes",$AA304="N/A"),OR($AB304="No",$AB304="N/A",AND($AB304="Yes",$AD304="Yes"))),"Ready",IF($O304&lt;TODAY(),"Overdue",IF($O304-TODAY()&lt;='Rules &amp; Guardrails'!$C$5,"At Risk","In Progress")))))</f>
        <v/>
      </c>
      <c r="AG304" s="28" t="str">
        <f aca="false">IF($O304="","",IF(OR($AE304="Launched",$AE304="Cancelled"),"",MID(IF($Y304&lt;&gt;"Approved",", Content approval","")&amp;IF(NOT(OR($Z304="Yes",$Z304="N/A")),", Assets","")&amp;IF(NOT(OR($AA304="Yes",$AA304="N/A")),", List","")&amp;IF($AB304="",", Ops decision",IF(AND($AB304="Yes",$AD304&lt;&gt;"Yes"),", Ops",""))&amp;IF($U304="",", Owner","")&amp;IF($K304="",", Segment",""),3,200)))</f>
        <v/>
      </c>
      <c r="AH304" s="29" t="str">
        <f aca="true">IF($O304="","",$O304-TODAY())</f>
        <v/>
      </c>
      <c r="AI304" s="26" t="str">
        <f aca="false">IF($O304="","",$O304-WEEKDAY($O304,3))</f>
        <v/>
      </c>
      <c r="AJ304" s="30" t="str">
        <f aca="false">IF($O304="","",DATE(YEAR($O304),MONTH($O304),1))</f>
        <v/>
      </c>
      <c r="AK304" s="31" t="str">
        <f aca="false">IF(OR($O304="",$K304=""),"",COUNTIFS('Comms Calendar'!$K$5:$K$504,$K304,'Comms Calendar'!$B$5:$B$504,$B304,'Comms Calendar'!$AI$5:$AI$504,$AI304,'Comms Calendar'!$AE$5:$AE$504,"&lt;&gt;Cancelled"))</f>
        <v/>
      </c>
      <c r="AL304" s="27" t="str">
        <f aca="false">IF($AK304="","",IF($AK304&gt;'Rules &amp; Guardrails'!$C$3,"Over cap","OK"))</f>
        <v/>
      </c>
      <c r="AM304" s="27" t="str">
        <f aca="false">IF(OR($O304="",$K304=""),"",IF(COUNTIFS('Comms Calendar'!$K$5:$K$504,$K304,'Comms Calendar'!$B$5:$B$504,$B304,'Comms Calendar'!$O$5:$O$504,$O304,'Comms Calendar'!$AE$5:$AE$504,"&lt;&gt;Cancelled")&gt;1,"Clash",""))</f>
        <v/>
      </c>
      <c r="AN304" s="27" t="str">
        <f aca="false">IF($O304="","",IF(IF($B304="Global",COUNTIF('Rules &amp; Guardrails'!$F$9:$F$60,$O304),COUNTIFS('Rules &amp; Guardrails'!$F$9:$F$60,$O304,'Rules &amp; Guardrails'!$G$9:$G$60,$B304)+COUNTIFS('Rules &amp; Guardrails'!$F$9:$F$60,$O304,'Rules &amp; Guardrails'!$G$9:$G$60,"Global"))&gt;0,"Blackout",""))</f>
        <v/>
      </c>
      <c r="AO304" s="6"/>
      <c r="AP304" s="25"/>
      <c r="AQ304" s="23"/>
      <c r="AR304" s="31" t="str">
        <f aca="false">IF($D304="","",IFERROR(VLOOKUP($D304,'Rules &amp; Guardrails'!$A$9:$D$24,2,0),"Other"))</f>
        <v/>
      </c>
      <c r="AS304" s="31" t="str">
        <f aca="false">IF($O304="","",$O304&amp;"|"&amp;$B304)</f>
        <v/>
      </c>
    </row>
    <row r="305" customFormat="false" ht="15" hidden="false" customHeight="false" outlineLevel="0" collapsed="false">
      <c r="A305" s="23"/>
      <c r="B305" s="23"/>
      <c r="C305" s="23"/>
      <c r="D305" s="23"/>
      <c r="E305" s="23"/>
      <c r="F305" s="23"/>
      <c r="G305" s="6"/>
      <c r="H305" s="6"/>
      <c r="I305" s="23"/>
      <c r="J305" s="23"/>
      <c r="K305" s="23"/>
      <c r="L305" s="6"/>
      <c r="M305" s="6"/>
      <c r="N305" s="24"/>
      <c r="O305" s="25"/>
      <c r="P305" s="23"/>
      <c r="Q305" s="23"/>
      <c r="R305" s="23"/>
      <c r="S305" s="23"/>
      <c r="T305" s="26" t="str">
        <f aca="false">IF(OR($O305="",$D305=""),"",WORKDAY($O305,-IFERROR(VLOOKUP($D305,'Rules &amp; Guardrails'!$A$9:$D$24,3,0),10)))</f>
        <v/>
      </c>
      <c r="U305" s="23"/>
      <c r="V305" s="23"/>
      <c r="W305" s="23"/>
      <c r="X305" s="6"/>
      <c r="Y305" s="23"/>
      <c r="Z305" s="23"/>
      <c r="AA305" s="23"/>
      <c r="AB305" s="23"/>
      <c r="AC305" s="23"/>
      <c r="AD305" s="23"/>
      <c r="AE305" s="23"/>
      <c r="AF305" s="27" t="str">
        <f aca="true">IF($O305="","",IF(OR($AE305="Cancelled",$AE305="On hold",$AE305="Launched"),$AE305,IF(AND($Y305="Approved",OR($Z305="Yes",$Z305="N/A"),OR($AA305="Yes",$AA305="N/A"),OR($AB305="No",$AB305="N/A",AND($AB305="Yes",$AD305="Yes"))),"Ready",IF($O305&lt;TODAY(),"Overdue",IF($O305-TODAY()&lt;='Rules &amp; Guardrails'!$C$5,"At Risk","In Progress")))))</f>
        <v/>
      </c>
      <c r="AG305" s="28" t="str">
        <f aca="false">IF($O305="","",IF(OR($AE305="Launched",$AE305="Cancelled"),"",MID(IF($Y305&lt;&gt;"Approved",", Content approval","")&amp;IF(NOT(OR($Z305="Yes",$Z305="N/A")),", Assets","")&amp;IF(NOT(OR($AA305="Yes",$AA305="N/A")),", List","")&amp;IF($AB305="",", Ops decision",IF(AND($AB305="Yes",$AD305&lt;&gt;"Yes"),", Ops",""))&amp;IF($U305="",", Owner","")&amp;IF($K305="",", Segment",""),3,200)))</f>
        <v/>
      </c>
      <c r="AH305" s="29" t="str">
        <f aca="true">IF($O305="","",$O305-TODAY())</f>
        <v/>
      </c>
      <c r="AI305" s="26" t="str">
        <f aca="false">IF($O305="","",$O305-WEEKDAY($O305,3))</f>
        <v/>
      </c>
      <c r="AJ305" s="30" t="str">
        <f aca="false">IF($O305="","",DATE(YEAR($O305),MONTH($O305),1))</f>
        <v/>
      </c>
      <c r="AK305" s="31" t="str">
        <f aca="false">IF(OR($O305="",$K305=""),"",COUNTIFS('Comms Calendar'!$K$5:$K$504,$K305,'Comms Calendar'!$B$5:$B$504,$B305,'Comms Calendar'!$AI$5:$AI$504,$AI305,'Comms Calendar'!$AE$5:$AE$504,"&lt;&gt;Cancelled"))</f>
        <v/>
      </c>
      <c r="AL305" s="27" t="str">
        <f aca="false">IF($AK305="","",IF($AK305&gt;'Rules &amp; Guardrails'!$C$3,"Over cap","OK"))</f>
        <v/>
      </c>
      <c r="AM305" s="27" t="str">
        <f aca="false">IF(OR($O305="",$K305=""),"",IF(COUNTIFS('Comms Calendar'!$K$5:$K$504,$K305,'Comms Calendar'!$B$5:$B$504,$B305,'Comms Calendar'!$O$5:$O$504,$O305,'Comms Calendar'!$AE$5:$AE$504,"&lt;&gt;Cancelled")&gt;1,"Clash",""))</f>
        <v/>
      </c>
      <c r="AN305" s="27" t="str">
        <f aca="false">IF($O305="","",IF(IF($B305="Global",COUNTIF('Rules &amp; Guardrails'!$F$9:$F$60,$O305),COUNTIFS('Rules &amp; Guardrails'!$F$9:$F$60,$O305,'Rules &amp; Guardrails'!$G$9:$G$60,$B305)+COUNTIFS('Rules &amp; Guardrails'!$F$9:$F$60,$O305,'Rules &amp; Guardrails'!$G$9:$G$60,"Global"))&gt;0,"Blackout",""))</f>
        <v/>
      </c>
      <c r="AO305" s="6"/>
      <c r="AP305" s="25"/>
      <c r="AQ305" s="23"/>
      <c r="AR305" s="31" t="str">
        <f aca="false">IF($D305="","",IFERROR(VLOOKUP($D305,'Rules &amp; Guardrails'!$A$9:$D$24,2,0),"Other"))</f>
        <v/>
      </c>
      <c r="AS305" s="31" t="str">
        <f aca="false">IF($O305="","",$O305&amp;"|"&amp;$B305)</f>
        <v/>
      </c>
    </row>
    <row r="306" customFormat="false" ht="15" hidden="false" customHeight="false" outlineLevel="0" collapsed="false">
      <c r="A306" s="23"/>
      <c r="B306" s="23"/>
      <c r="C306" s="23"/>
      <c r="D306" s="23"/>
      <c r="E306" s="23"/>
      <c r="F306" s="23"/>
      <c r="G306" s="6"/>
      <c r="H306" s="6"/>
      <c r="I306" s="23"/>
      <c r="J306" s="23"/>
      <c r="K306" s="23"/>
      <c r="L306" s="6"/>
      <c r="M306" s="6"/>
      <c r="N306" s="24"/>
      <c r="O306" s="25"/>
      <c r="P306" s="23"/>
      <c r="Q306" s="23"/>
      <c r="R306" s="23"/>
      <c r="S306" s="23"/>
      <c r="T306" s="26" t="str">
        <f aca="false">IF(OR($O306="",$D306=""),"",WORKDAY($O306,-IFERROR(VLOOKUP($D306,'Rules &amp; Guardrails'!$A$9:$D$24,3,0),10)))</f>
        <v/>
      </c>
      <c r="U306" s="23"/>
      <c r="V306" s="23"/>
      <c r="W306" s="23"/>
      <c r="X306" s="6"/>
      <c r="Y306" s="23"/>
      <c r="Z306" s="23"/>
      <c r="AA306" s="23"/>
      <c r="AB306" s="23"/>
      <c r="AC306" s="23"/>
      <c r="AD306" s="23"/>
      <c r="AE306" s="23"/>
      <c r="AF306" s="27" t="str">
        <f aca="true">IF($O306="","",IF(OR($AE306="Cancelled",$AE306="On hold",$AE306="Launched"),$AE306,IF(AND($Y306="Approved",OR($Z306="Yes",$Z306="N/A"),OR($AA306="Yes",$AA306="N/A"),OR($AB306="No",$AB306="N/A",AND($AB306="Yes",$AD306="Yes"))),"Ready",IF($O306&lt;TODAY(),"Overdue",IF($O306-TODAY()&lt;='Rules &amp; Guardrails'!$C$5,"At Risk","In Progress")))))</f>
        <v/>
      </c>
      <c r="AG306" s="28" t="str">
        <f aca="false">IF($O306="","",IF(OR($AE306="Launched",$AE306="Cancelled"),"",MID(IF($Y306&lt;&gt;"Approved",", Content approval","")&amp;IF(NOT(OR($Z306="Yes",$Z306="N/A")),", Assets","")&amp;IF(NOT(OR($AA306="Yes",$AA306="N/A")),", List","")&amp;IF($AB306="",", Ops decision",IF(AND($AB306="Yes",$AD306&lt;&gt;"Yes"),", Ops",""))&amp;IF($U306="",", Owner","")&amp;IF($K306="",", Segment",""),3,200)))</f>
        <v/>
      </c>
      <c r="AH306" s="29" t="str">
        <f aca="true">IF($O306="","",$O306-TODAY())</f>
        <v/>
      </c>
      <c r="AI306" s="26" t="str">
        <f aca="false">IF($O306="","",$O306-WEEKDAY($O306,3))</f>
        <v/>
      </c>
      <c r="AJ306" s="30" t="str">
        <f aca="false">IF($O306="","",DATE(YEAR($O306),MONTH($O306),1))</f>
        <v/>
      </c>
      <c r="AK306" s="31" t="str">
        <f aca="false">IF(OR($O306="",$K306=""),"",COUNTIFS('Comms Calendar'!$K$5:$K$504,$K306,'Comms Calendar'!$B$5:$B$504,$B306,'Comms Calendar'!$AI$5:$AI$504,$AI306,'Comms Calendar'!$AE$5:$AE$504,"&lt;&gt;Cancelled"))</f>
        <v/>
      </c>
      <c r="AL306" s="27" t="str">
        <f aca="false">IF($AK306="","",IF($AK306&gt;'Rules &amp; Guardrails'!$C$3,"Over cap","OK"))</f>
        <v/>
      </c>
      <c r="AM306" s="27" t="str">
        <f aca="false">IF(OR($O306="",$K306=""),"",IF(COUNTIFS('Comms Calendar'!$K$5:$K$504,$K306,'Comms Calendar'!$B$5:$B$504,$B306,'Comms Calendar'!$O$5:$O$504,$O306,'Comms Calendar'!$AE$5:$AE$504,"&lt;&gt;Cancelled")&gt;1,"Clash",""))</f>
        <v/>
      </c>
      <c r="AN306" s="27" t="str">
        <f aca="false">IF($O306="","",IF(IF($B306="Global",COUNTIF('Rules &amp; Guardrails'!$F$9:$F$60,$O306),COUNTIFS('Rules &amp; Guardrails'!$F$9:$F$60,$O306,'Rules &amp; Guardrails'!$G$9:$G$60,$B306)+COUNTIFS('Rules &amp; Guardrails'!$F$9:$F$60,$O306,'Rules &amp; Guardrails'!$G$9:$G$60,"Global"))&gt;0,"Blackout",""))</f>
        <v/>
      </c>
      <c r="AO306" s="6"/>
      <c r="AP306" s="25"/>
      <c r="AQ306" s="23"/>
      <c r="AR306" s="31" t="str">
        <f aca="false">IF($D306="","",IFERROR(VLOOKUP($D306,'Rules &amp; Guardrails'!$A$9:$D$24,2,0),"Other"))</f>
        <v/>
      </c>
      <c r="AS306" s="31" t="str">
        <f aca="false">IF($O306="","",$O306&amp;"|"&amp;$B306)</f>
        <v/>
      </c>
    </row>
    <row r="307" customFormat="false" ht="15" hidden="false" customHeight="false" outlineLevel="0" collapsed="false">
      <c r="A307" s="23"/>
      <c r="B307" s="23"/>
      <c r="C307" s="23"/>
      <c r="D307" s="23"/>
      <c r="E307" s="23"/>
      <c r="F307" s="23"/>
      <c r="G307" s="6"/>
      <c r="H307" s="6"/>
      <c r="I307" s="23"/>
      <c r="J307" s="23"/>
      <c r="K307" s="23"/>
      <c r="L307" s="6"/>
      <c r="M307" s="6"/>
      <c r="N307" s="24"/>
      <c r="O307" s="25"/>
      <c r="P307" s="23"/>
      <c r="Q307" s="23"/>
      <c r="R307" s="23"/>
      <c r="S307" s="23"/>
      <c r="T307" s="26" t="str">
        <f aca="false">IF(OR($O307="",$D307=""),"",WORKDAY($O307,-IFERROR(VLOOKUP($D307,'Rules &amp; Guardrails'!$A$9:$D$24,3,0),10)))</f>
        <v/>
      </c>
      <c r="U307" s="23"/>
      <c r="V307" s="23"/>
      <c r="W307" s="23"/>
      <c r="X307" s="6"/>
      <c r="Y307" s="23"/>
      <c r="Z307" s="23"/>
      <c r="AA307" s="23"/>
      <c r="AB307" s="23"/>
      <c r="AC307" s="23"/>
      <c r="AD307" s="23"/>
      <c r="AE307" s="23"/>
      <c r="AF307" s="27" t="str">
        <f aca="true">IF($O307="","",IF(OR($AE307="Cancelled",$AE307="On hold",$AE307="Launched"),$AE307,IF(AND($Y307="Approved",OR($Z307="Yes",$Z307="N/A"),OR($AA307="Yes",$AA307="N/A"),OR($AB307="No",$AB307="N/A",AND($AB307="Yes",$AD307="Yes"))),"Ready",IF($O307&lt;TODAY(),"Overdue",IF($O307-TODAY()&lt;='Rules &amp; Guardrails'!$C$5,"At Risk","In Progress")))))</f>
        <v/>
      </c>
      <c r="AG307" s="28" t="str">
        <f aca="false">IF($O307="","",IF(OR($AE307="Launched",$AE307="Cancelled"),"",MID(IF($Y307&lt;&gt;"Approved",", Content approval","")&amp;IF(NOT(OR($Z307="Yes",$Z307="N/A")),", Assets","")&amp;IF(NOT(OR($AA307="Yes",$AA307="N/A")),", List","")&amp;IF($AB307="",", Ops decision",IF(AND($AB307="Yes",$AD307&lt;&gt;"Yes"),", Ops",""))&amp;IF($U307="",", Owner","")&amp;IF($K307="",", Segment",""),3,200)))</f>
        <v/>
      </c>
      <c r="AH307" s="29" t="str">
        <f aca="true">IF($O307="","",$O307-TODAY())</f>
        <v/>
      </c>
      <c r="AI307" s="26" t="str">
        <f aca="false">IF($O307="","",$O307-WEEKDAY($O307,3))</f>
        <v/>
      </c>
      <c r="AJ307" s="30" t="str">
        <f aca="false">IF($O307="","",DATE(YEAR($O307),MONTH($O307),1))</f>
        <v/>
      </c>
      <c r="AK307" s="31" t="str">
        <f aca="false">IF(OR($O307="",$K307=""),"",COUNTIFS('Comms Calendar'!$K$5:$K$504,$K307,'Comms Calendar'!$B$5:$B$504,$B307,'Comms Calendar'!$AI$5:$AI$504,$AI307,'Comms Calendar'!$AE$5:$AE$504,"&lt;&gt;Cancelled"))</f>
        <v/>
      </c>
      <c r="AL307" s="27" t="str">
        <f aca="false">IF($AK307="","",IF($AK307&gt;'Rules &amp; Guardrails'!$C$3,"Over cap","OK"))</f>
        <v/>
      </c>
      <c r="AM307" s="27" t="str">
        <f aca="false">IF(OR($O307="",$K307=""),"",IF(COUNTIFS('Comms Calendar'!$K$5:$K$504,$K307,'Comms Calendar'!$B$5:$B$504,$B307,'Comms Calendar'!$O$5:$O$504,$O307,'Comms Calendar'!$AE$5:$AE$504,"&lt;&gt;Cancelled")&gt;1,"Clash",""))</f>
        <v/>
      </c>
      <c r="AN307" s="27" t="str">
        <f aca="false">IF($O307="","",IF(IF($B307="Global",COUNTIF('Rules &amp; Guardrails'!$F$9:$F$60,$O307),COUNTIFS('Rules &amp; Guardrails'!$F$9:$F$60,$O307,'Rules &amp; Guardrails'!$G$9:$G$60,$B307)+COUNTIFS('Rules &amp; Guardrails'!$F$9:$F$60,$O307,'Rules &amp; Guardrails'!$G$9:$G$60,"Global"))&gt;0,"Blackout",""))</f>
        <v/>
      </c>
      <c r="AO307" s="6"/>
      <c r="AP307" s="25"/>
      <c r="AQ307" s="23"/>
      <c r="AR307" s="31" t="str">
        <f aca="false">IF($D307="","",IFERROR(VLOOKUP($D307,'Rules &amp; Guardrails'!$A$9:$D$24,2,0),"Other"))</f>
        <v/>
      </c>
      <c r="AS307" s="31" t="str">
        <f aca="false">IF($O307="","",$O307&amp;"|"&amp;$B307)</f>
        <v/>
      </c>
    </row>
    <row r="308" customFormat="false" ht="15" hidden="false" customHeight="false" outlineLevel="0" collapsed="false">
      <c r="A308" s="23"/>
      <c r="B308" s="23"/>
      <c r="C308" s="23"/>
      <c r="D308" s="23"/>
      <c r="E308" s="23"/>
      <c r="F308" s="23"/>
      <c r="G308" s="6"/>
      <c r="H308" s="6"/>
      <c r="I308" s="23"/>
      <c r="J308" s="23"/>
      <c r="K308" s="23"/>
      <c r="L308" s="6"/>
      <c r="M308" s="6"/>
      <c r="N308" s="24"/>
      <c r="O308" s="25"/>
      <c r="P308" s="23"/>
      <c r="Q308" s="23"/>
      <c r="R308" s="23"/>
      <c r="S308" s="23"/>
      <c r="T308" s="26" t="str">
        <f aca="false">IF(OR($O308="",$D308=""),"",WORKDAY($O308,-IFERROR(VLOOKUP($D308,'Rules &amp; Guardrails'!$A$9:$D$24,3,0),10)))</f>
        <v/>
      </c>
      <c r="U308" s="23"/>
      <c r="V308" s="23"/>
      <c r="W308" s="23"/>
      <c r="X308" s="6"/>
      <c r="Y308" s="23"/>
      <c r="Z308" s="23"/>
      <c r="AA308" s="23"/>
      <c r="AB308" s="23"/>
      <c r="AC308" s="23"/>
      <c r="AD308" s="23"/>
      <c r="AE308" s="23"/>
      <c r="AF308" s="27" t="str">
        <f aca="true">IF($O308="","",IF(OR($AE308="Cancelled",$AE308="On hold",$AE308="Launched"),$AE308,IF(AND($Y308="Approved",OR($Z308="Yes",$Z308="N/A"),OR($AA308="Yes",$AA308="N/A"),OR($AB308="No",$AB308="N/A",AND($AB308="Yes",$AD308="Yes"))),"Ready",IF($O308&lt;TODAY(),"Overdue",IF($O308-TODAY()&lt;='Rules &amp; Guardrails'!$C$5,"At Risk","In Progress")))))</f>
        <v/>
      </c>
      <c r="AG308" s="28" t="str">
        <f aca="false">IF($O308="","",IF(OR($AE308="Launched",$AE308="Cancelled"),"",MID(IF($Y308&lt;&gt;"Approved",", Content approval","")&amp;IF(NOT(OR($Z308="Yes",$Z308="N/A")),", Assets","")&amp;IF(NOT(OR($AA308="Yes",$AA308="N/A")),", List","")&amp;IF($AB308="",", Ops decision",IF(AND($AB308="Yes",$AD308&lt;&gt;"Yes"),", Ops",""))&amp;IF($U308="",", Owner","")&amp;IF($K308="",", Segment",""),3,200)))</f>
        <v/>
      </c>
      <c r="AH308" s="29" t="str">
        <f aca="true">IF($O308="","",$O308-TODAY())</f>
        <v/>
      </c>
      <c r="AI308" s="26" t="str">
        <f aca="false">IF($O308="","",$O308-WEEKDAY($O308,3))</f>
        <v/>
      </c>
      <c r="AJ308" s="30" t="str">
        <f aca="false">IF($O308="","",DATE(YEAR($O308),MONTH($O308),1))</f>
        <v/>
      </c>
      <c r="AK308" s="31" t="str">
        <f aca="false">IF(OR($O308="",$K308=""),"",COUNTIFS('Comms Calendar'!$K$5:$K$504,$K308,'Comms Calendar'!$B$5:$B$504,$B308,'Comms Calendar'!$AI$5:$AI$504,$AI308,'Comms Calendar'!$AE$5:$AE$504,"&lt;&gt;Cancelled"))</f>
        <v/>
      </c>
      <c r="AL308" s="27" t="str">
        <f aca="false">IF($AK308="","",IF($AK308&gt;'Rules &amp; Guardrails'!$C$3,"Over cap","OK"))</f>
        <v/>
      </c>
      <c r="AM308" s="27" t="str">
        <f aca="false">IF(OR($O308="",$K308=""),"",IF(COUNTIFS('Comms Calendar'!$K$5:$K$504,$K308,'Comms Calendar'!$B$5:$B$504,$B308,'Comms Calendar'!$O$5:$O$504,$O308,'Comms Calendar'!$AE$5:$AE$504,"&lt;&gt;Cancelled")&gt;1,"Clash",""))</f>
        <v/>
      </c>
      <c r="AN308" s="27" t="str">
        <f aca="false">IF($O308="","",IF(IF($B308="Global",COUNTIF('Rules &amp; Guardrails'!$F$9:$F$60,$O308),COUNTIFS('Rules &amp; Guardrails'!$F$9:$F$60,$O308,'Rules &amp; Guardrails'!$G$9:$G$60,$B308)+COUNTIFS('Rules &amp; Guardrails'!$F$9:$F$60,$O308,'Rules &amp; Guardrails'!$G$9:$G$60,"Global"))&gt;0,"Blackout",""))</f>
        <v/>
      </c>
      <c r="AO308" s="6"/>
      <c r="AP308" s="25"/>
      <c r="AQ308" s="23"/>
      <c r="AR308" s="31" t="str">
        <f aca="false">IF($D308="","",IFERROR(VLOOKUP($D308,'Rules &amp; Guardrails'!$A$9:$D$24,2,0),"Other"))</f>
        <v/>
      </c>
      <c r="AS308" s="31" t="str">
        <f aca="false">IF($O308="","",$O308&amp;"|"&amp;$B308)</f>
        <v/>
      </c>
    </row>
    <row r="309" customFormat="false" ht="15" hidden="false" customHeight="false" outlineLevel="0" collapsed="false">
      <c r="A309" s="23"/>
      <c r="B309" s="23"/>
      <c r="C309" s="23"/>
      <c r="D309" s="23"/>
      <c r="E309" s="23"/>
      <c r="F309" s="23"/>
      <c r="G309" s="6"/>
      <c r="H309" s="6"/>
      <c r="I309" s="23"/>
      <c r="J309" s="23"/>
      <c r="K309" s="23"/>
      <c r="L309" s="6"/>
      <c r="M309" s="6"/>
      <c r="N309" s="24"/>
      <c r="O309" s="25"/>
      <c r="P309" s="23"/>
      <c r="Q309" s="23"/>
      <c r="R309" s="23"/>
      <c r="S309" s="23"/>
      <c r="T309" s="26" t="str">
        <f aca="false">IF(OR($O309="",$D309=""),"",WORKDAY($O309,-IFERROR(VLOOKUP($D309,'Rules &amp; Guardrails'!$A$9:$D$24,3,0),10)))</f>
        <v/>
      </c>
      <c r="U309" s="23"/>
      <c r="V309" s="23"/>
      <c r="W309" s="23"/>
      <c r="X309" s="6"/>
      <c r="Y309" s="23"/>
      <c r="Z309" s="23"/>
      <c r="AA309" s="23"/>
      <c r="AB309" s="23"/>
      <c r="AC309" s="23"/>
      <c r="AD309" s="23"/>
      <c r="AE309" s="23"/>
      <c r="AF309" s="27" t="str">
        <f aca="true">IF($O309="","",IF(OR($AE309="Cancelled",$AE309="On hold",$AE309="Launched"),$AE309,IF(AND($Y309="Approved",OR($Z309="Yes",$Z309="N/A"),OR($AA309="Yes",$AA309="N/A"),OR($AB309="No",$AB309="N/A",AND($AB309="Yes",$AD309="Yes"))),"Ready",IF($O309&lt;TODAY(),"Overdue",IF($O309-TODAY()&lt;='Rules &amp; Guardrails'!$C$5,"At Risk","In Progress")))))</f>
        <v/>
      </c>
      <c r="AG309" s="28" t="str">
        <f aca="false">IF($O309="","",IF(OR($AE309="Launched",$AE309="Cancelled"),"",MID(IF($Y309&lt;&gt;"Approved",", Content approval","")&amp;IF(NOT(OR($Z309="Yes",$Z309="N/A")),", Assets","")&amp;IF(NOT(OR($AA309="Yes",$AA309="N/A")),", List","")&amp;IF($AB309="",", Ops decision",IF(AND($AB309="Yes",$AD309&lt;&gt;"Yes"),", Ops",""))&amp;IF($U309="",", Owner","")&amp;IF($K309="",", Segment",""),3,200)))</f>
        <v/>
      </c>
      <c r="AH309" s="29" t="str">
        <f aca="true">IF($O309="","",$O309-TODAY())</f>
        <v/>
      </c>
      <c r="AI309" s="26" t="str">
        <f aca="false">IF($O309="","",$O309-WEEKDAY($O309,3))</f>
        <v/>
      </c>
      <c r="AJ309" s="30" t="str">
        <f aca="false">IF($O309="","",DATE(YEAR($O309),MONTH($O309),1))</f>
        <v/>
      </c>
      <c r="AK309" s="31" t="str">
        <f aca="false">IF(OR($O309="",$K309=""),"",COUNTIFS('Comms Calendar'!$K$5:$K$504,$K309,'Comms Calendar'!$B$5:$B$504,$B309,'Comms Calendar'!$AI$5:$AI$504,$AI309,'Comms Calendar'!$AE$5:$AE$504,"&lt;&gt;Cancelled"))</f>
        <v/>
      </c>
      <c r="AL309" s="27" t="str">
        <f aca="false">IF($AK309="","",IF($AK309&gt;'Rules &amp; Guardrails'!$C$3,"Over cap","OK"))</f>
        <v/>
      </c>
      <c r="AM309" s="27" t="str">
        <f aca="false">IF(OR($O309="",$K309=""),"",IF(COUNTIFS('Comms Calendar'!$K$5:$K$504,$K309,'Comms Calendar'!$B$5:$B$504,$B309,'Comms Calendar'!$O$5:$O$504,$O309,'Comms Calendar'!$AE$5:$AE$504,"&lt;&gt;Cancelled")&gt;1,"Clash",""))</f>
        <v/>
      </c>
      <c r="AN309" s="27" t="str">
        <f aca="false">IF($O309="","",IF(IF($B309="Global",COUNTIF('Rules &amp; Guardrails'!$F$9:$F$60,$O309),COUNTIFS('Rules &amp; Guardrails'!$F$9:$F$60,$O309,'Rules &amp; Guardrails'!$G$9:$G$60,$B309)+COUNTIFS('Rules &amp; Guardrails'!$F$9:$F$60,$O309,'Rules &amp; Guardrails'!$G$9:$G$60,"Global"))&gt;0,"Blackout",""))</f>
        <v/>
      </c>
      <c r="AO309" s="6"/>
      <c r="AP309" s="25"/>
      <c r="AQ309" s="23"/>
      <c r="AR309" s="31" t="str">
        <f aca="false">IF($D309="","",IFERROR(VLOOKUP($D309,'Rules &amp; Guardrails'!$A$9:$D$24,2,0),"Other"))</f>
        <v/>
      </c>
      <c r="AS309" s="31" t="str">
        <f aca="false">IF($O309="","",$O309&amp;"|"&amp;$B309)</f>
        <v/>
      </c>
    </row>
    <row r="310" customFormat="false" ht="15" hidden="false" customHeight="false" outlineLevel="0" collapsed="false">
      <c r="A310" s="23"/>
      <c r="B310" s="23"/>
      <c r="C310" s="23"/>
      <c r="D310" s="23"/>
      <c r="E310" s="23"/>
      <c r="F310" s="23"/>
      <c r="G310" s="6"/>
      <c r="H310" s="6"/>
      <c r="I310" s="23"/>
      <c r="J310" s="23"/>
      <c r="K310" s="23"/>
      <c r="L310" s="6"/>
      <c r="M310" s="6"/>
      <c r="N310" s="24"/>
      <c r="O310" s="25"/>
      <c r="P310" s="23"/>
      <c r="Q310" s="23"/>
      <c r="R310" s="23"/>
      <c r="S310" s="23"/>
      <c r="T310" s="26" t="str">
        <f aca="false">IF(OR($O310="",$D310=""),"",WORKDAY($O310,-IFERROR(VLOOKUP($D310,'Rules &amp; Guardrails'!$A$9:$D$24,3,0),10)))</f>
        <v/>
      </c>
      <c r="U310" s="23"/>
      <c r="V310" s="23"/>
      <c r="W310" s="23"/>
      <c r="X310" s="6"/>
      <c r="Y310" s="23"/>
      <c r="Z310" s="23"/>
      <c r="AA310" s="23"/>
      <c r="AB310" s="23"/>
      <c r="AC310" s="23"/>
      <c r="AD310" s="23"/>
      <c r="AE310" s="23"/>
      <c r="AF310" s="27" t="str">
        <f aca="true">IF($O310="","",IF(OR($AE310="Cancelled",$AE310="On hold",$AE310="Launched"),$AE310,IF(AND($Y310="Approved",OR($Z310="Yes",$Z310="N/A"),OR($AA310="Yes",$AA310="N/A"),OR($AB310="No",$AB310="N/A",AND($AB310="Yes",$AD310="Yes"))),"Ready",IF($O310&lt;TODAY(),"Overdue",IF($O310-TODAY()&lt;='Rules &amp; Guardrails'!$C$5,"At Risk","In Progress")))))</f>
        <v/>
      </c>
      <c r="AG310" s="28" t="str">
        <f aca="false">IF($O310="","",IF(OR($AE310="Launched",$AE310="Cancelled"),"",MID(IF($Y310&lt;&gt;"Approved",", Content approval","")&amp;IF(NOT(OR($Z310="Yes",$Z310="N/A")),", Assets","")&amp;IF(NOT(OR($AA310="Yes",$AA310="N/A")),", List","")&amp;IF($AB310="",", Ops decision",IF(AND($AB310="Yes",$AD310&lt;&gt;"Yes"),", Ops",""))&amp;IF($U310="",", Owner","")&amp;IF($K310="",", Segment",""),3,200)))</f>
        <v/>
      </c>
      <c r="AH310" s="29" t="str">
        <f aca="true">IF($O310="","",$O310-TODAY())</f>
        <v/>
      </c>
      <c r="AI310" s="26" t="str">
        <f aca="false">IF($O310="","",$O310-WEEKDAY($O310,3))</f>
        <v/>
      </c>
      <c r="AJ310" s="30" t="str">
        <f aca="false">IF($O310="","",DATE(YEAR($O310),MONTH($O310),1))</f>
        <v/>
      </c>
      <c r="AK310" s="31" t="str">
        <f aca="false">IF(OR($O310="",$K310=""),"",COUNTIFS('Comms Calendar'!$K$5:$K$504,$K310,'Comms Calendar'!$B$5:$B$504,$B310,'Comms Calendar'!$AI$5:$AI$504,$AI310,'Comms Calendar'!$AE$5:$AE$504,"&lt;&gt;Cancelled"))</f>
        <v/>
      </c>
      <c r="AL310" s="27" t="str">
        <f aca="false">IF($AK310="","",IF($AK310&gt;'Rules &amp; Guardrails'!$C$3,"Over cap","OK"))</f>
        <v/>
      </c>
      <c r="AM310" s="27" t="str">
        <f aca="false">IF(OR($O310="",$K310=""),"",IF(COUNTIFS('Comms Calendar'!$K$5:$K$504,$K310,'Comms Calendar'!$B$5:$B$504,$B310,'Comms Calendar'!$O$5:$O$504,$O310,'Comms Calendar'!$AE$5:$AE$504,"&lt;&gt;Cancelled")&gt;1,"Clash",""))</f>
        <v/>
      </c>
      <c r="AN310" s="27" t="str">
        <f aca="false">IF($O310="","",IF(IF($B310="Global",COUNTIF('Rules &amp; Guardrails'!$F$9:$F$60,$O310),COUNTIFS('Rules &amp; Guardrails'!$F$9:$F$60,$O310,'Rules &amp; Guardrails'!$G$9:$G$60,$B310)+COUNTIFS('Rules &amp; Guardrails'!$F$9:$F$60,$O310,'Rules &amp; Guardrails'!$G$9:$G$60,"Global"))&gt;0,"Blackout",""))</f>
        <v/>
      </c>
      <c r="AO310" s="6"/>
      <c r="AP310" s="25"/>
      <c r="AQ310" s="23"/>
      <c r="AR310" s="31" t="str">
        <f aca="false">IF($D310="","",IFERROR(VLOOKUP($D310,'Rules &amp; Guardrails'!$A$9:$D$24,2,0),"Other"))</f>
        <v/>
      </c>
      <c r="AS310" s="31" t="str">
        <f aca="false">IF($O310="","",$O310&amp;"|"&amp;$B310)</f>
        <v/>
      </c>
    </row>
    <row r="311" customFormat="false" ht="15" hidden="false" customHeight="false" outlineLevel="0" collapsed="false">
      <c r="A311" s="23"/>
      <c r="B311" s="23"/>
      <c r="C311" s="23"/>
      <c r="D311" s="23"/>
      <c r="E311" s="23"/>
      <c r="F311" s="23"/>
      <c r="G311" s="6"/>
      <c r="H311" s="6"/>
      <c r="I311" s="23"/>
      <c r="J311" s="23"/>
      <c r="K311" s="23"/>
      <c r="L311" s="6"/>
      <c r="M311" s="6"/>
      <c r="N311" s="24"/>
      <c r="O311" s="25"/>
      <c r="P311" s="23"/>
      <c r="Q311" s="23"/>
      <c r="R311" s="23"/>
      <c r="S311" s="23"/>
      <c r="T311" s="26" t="str">
        <f aca="false">IF(OR($O311="",$D311=""),"",WORKDAY($O311,-IFERROR(VLOOKUP($D311,'Rules &amp; Guardrails'!$A$9:$D$24,3,0),10)))</f>
        <v/>
      </c>
      <c r="U311" s="23"/>
      <c r="V311" s="23"/>
      <c r="W311" s="23"/>
      <c r="X311" s="6"/>
      <c r="Y311" s="23"/>
      <c r="Z311" s="23"/>
      <c r="AA311" s="23"/>
      <c r="AB311" s="23"/>
      <c r="AC311" s="23"/>
      <c r="AD311" s="23"/>
      <c r="AE311" s="23"/>
      <c r="AF311" s="27" t="str">
        <f aca="true">IF($O311="","",IF(OR($AE311="Cancelled",$AE311="On hold",$AE311="Launched"),$AE311,IF(AND($Y311="Approved",OR($Z311="Yes",$Z311="N/A"),OR($AA311="Yes",$AA311="N/A"),OR($AB311="No",$AB311="N/A",AND($AB311="Yes",$AD311="Yes"))),"Ready",IF($O311&lt;TODAY(),"Overdue",IF($O311-TODAY()&lt;='Rules &amp; Guardrails'!$C$5,"At Risk","In Progress")))))</f>
        <v/>
      </c>
      <c r="AG311" s="28" t="str">
        <f aca="false">IF($O311="","",IF(OR($AE311="Launched",$AE311="Cancelled"),"",MID(IF($Y311&lt;&gt;"Approved",", Content approval","")&amp;IF(NOT(OR($Z311="Yes",$Z311="N/A")),", Assets","")&amp;IF(NOT(OR($AA311="Yes",$AA311="N/A")),", List","")&amp;IF($AB311="",", Ops decision",IF(AND($AB311="Yes",$AD311&lt;&gt;"Yes"),", Ops",""))&amp;IF($U311="",", Owner","")&amp;IF($K311="",", Segment",""),3,200)))</f>
        <v/>
      </c>
      <c r="AH311" s="29" t="str">
        <f aca="true">IF($O311="","",$O311-TODAY())</f>
        <v/>
      </c>
      <c r="AI311" s="26" t="str">
        <f aca="false">IF($O311="","",$O311-WEEKDAY($O311,3))</f>
        <v/>
      </c>
      <c r="AJ311" s="30" t="str">
        <f aca="false">IF($O311="","",DATE(YEAR($O311),MONTH($O311),1))</f>
        <v/>
      </c>
      <c r="AK311" s="31" t="str">
        <f aca="false">IF(OR($O311="",$K311=""),"",COUNTIFS('Comms Calendar'!$K$5:$K$504,$K311,'Comms Calendar'!$B$5:$B$504,$B311,'Comms Calendar'!$AI$5:$AI$504,$AI311,'Comms Calendar'!$AE$5:$AE$504,"&lt;&gt;Cancelled"))</f>
        <v/>
      </c>
      <c r="AL311" s="27" t="str">
        <f aca="false">IF($AK311="","",IF($AK311&gt;'Rules &amp; Guardrails'!$C$3,"Over cap","OK"))</f>
        <v/>
      </c>
      <c r="AM311" s="27" t="str">
        <f aca="false">IF(OR($O311="",$K311=""),"",IF(COUNTIFS('Comms Calendar'!$K$5:$K$504,$K311,'Comms Calendar'!$B$5:$B$504,$B311,'Comms Calendar'!$O$5:$O$504,$O311,'Comms Calendar'!$AE$5:$AE$504,"&lt;&gt;Cancelled")&gt;1,"Clash",""))</f>
        <v/>
      </c>
      <c r="AN311" s="27" t="str">
        <f aca="false">IF($O311="","",IF(IF($B311="Global",COUNTIF('Rules &amp; Guardrails'!$F$9:$F$60,$O311),COUNTIFS('Rules &amp; Guardrails'!$F$9:$F$60,$O311,'Rules &amp; Guardrails'!$G$9:$G$60,$B311)+COUNTIFS('Rules &amp; Guardrails'!$F$9:$F$60,$O311,'Rules &amp; Guardrails'!$G$9:$G$60,"Global"))&gt;0,"Blackout",""))</f>
        <v/>
      </c>
      <c r="AO311" s="6"/>
      <c r="AP311" s="25"/>
      <c r="AQ311" s="23"/>
      <c r="AR311" s="31" t="str">
        <f aca="false">IF($D311="","",IFERROR(VLOOKUP($D311,'Rules &amp; Guardrails'!$A$9:$D$24,2,0),"Other"))</f>
        <v/>
      </c>
      <c r="AS311" s="31" t="str">
        <f aca="false">IF($O311="","",$O311&amp;"|"&amp;$B311)</f>
        <v/>
      </c>
    </row>
    <row r="312" customFormat="false" ht="15" hidden="false" customHeight="false" outlineLevel="0" collapsed="false">
      <c r="A312" s="23"/>
      <c r="B312" s="23"/>
      <c r="C312" s="23"/>
      <c r="D312" s="23"/>
      <c r="E312" s="23"/>
      <c r="F312" s="23"/>
      <c r="G312" s="6"/>
      <c r="H312" s="6"/>
      <c r="I312" s="23"/>
      <c r="J312" s="23"/>
      <c r="K312" s="23"/>
      <c r="L312" s="6"/>
      <c r="M312" s="6"/>
      <c r="N312" s="24"/>
      <c r="O312" s="25"/>
      <c r="P312" s="23"/>
      <c r="Q312" s="23"/>
      <c r="R312" s="23"/>
      <c r="S312" s="23"/>
      <c r="T312" s="26" t="str">
        <f aca="false">IF(OR($O312="",$D312=""),"",WORKDAY($O312,-IFERROR(VLOOKUP($D312,'Rules &amp; Guardrails'!$A$9:$D$24,3,0),10)))</f>
        <v/>
      </c>
      <c r="U312" s="23"/>
      <c r="V312" s="23"/>
      <c r="W312" s="23"/>
      <c r="X312" s="6"/>
      <c r="Y312" s="23"/>
      <c r="Z312" s="23"/>
      <c r="AA312" s="23"/>
      <c r="AB312" s="23"/>
      <c r="AC312" s="23"/>
      <c r="AD312" s="23"/>
      <c r="AE312" s="23"/>
      <c r="AF312" s="27" t="str">
        <f aca="true">IF($O312="","",IF(OR($AE312="Cancelled",$AE312="On hold",$AE312="Launched"),$AE312,IF(AND($Y312="Approved",OR($Z312="Yes",$Z312="N/A"),OR($AA312="Yes",$AA312="N/A"),OR($AB312="No",$AB312="N/A",AND($AB312="Yes",$AD312="Yes"))),"Ready",IF($O312&lt;TODAY(),"Overdue",IF($O312-TODAY()&lt;='Rules &amp; Guardrails'!$C$5,"At Risk","In Progress")))))</f>
        <v/>
      </c>
      <c r="AG312" s="28" t="str">
        <f aca="false">IF($O312="","",IF(OR($AE312="Launched",$AE312="Cancelled"),"",MID(IF($Y312&lt;&gt;"Approved",", Content approval","")&amp;IF(NOT(OR($Z312="Yes",$Z312="N/A")),", Assets","")&amp;IF(NOT(OR($AA312="Yes",$AA312="N/A")),", List","")&amp;IF($AB312="",", Ops decision",IF(AND($AB312="Yes",$AD312&lt;&gt;"Yes"),", Ops",""))&amp;IF($U312="",", Owner","")&amp;IF($K312="",", Segment",""),3,200)))</f>
        <v/>
      </c>
      <c r="AH312" s="29" t="str">
        <f aca="true">IF($O312="","",$O312-TODAY())</f>
        <v/>
      </c>
      <c r="AI312" s="26" t="str">
        <f aca="false">IF($O312="","",$O312-WEEKDAY($O312,3))</f>
        <v/>
      </c>
      <c r="AJ312" s="30" t="str">
        <f aca="false">IF($O312="","",DATE(YEAR($O312),MONTH($O312),1))</f>
        <v/>
      </c>
      <c r="AK312" s="31" t="str">
        <f aca="false">IF(OR($O312="",$K312=""),"",COUNTIFS('Comms Calendar'!$K$5:$K$504,$K312,'Comms Calendar'!$B$5:$B$504,$B312,'Comms Calendar'!$AI$5:$AI$504,$AI312,'Comms Calendar'!$AE$5:$AE$504,"&lt;&gt;Cancelled"))</f>
        <v/>
      </c>
      <c r="AL312" s="27" t="str">
        <f aca="false">IF($AK312="","",IF($AK312&gt;'Rules &amp; Guardrails'!$C$3,"Over cap","OK"))</f>
        <v/>
      </c>
      <c r="AM312" s="27" t="str">
        <f aca="false">IF(OR($O312="",$K312=""),"",IF(COUNTIFS('Comms Calendar'!$K$5:$K$504,$K312,'Comms Calendar'!$B$5:$B$504,$B312,'Comms Calendar'!$O$5:$O$504,$O312,'Comms Calendar'!$AE$5:$AE$504,"&lt;&gt;Cancelled")&gt;1,"Clash",""))</f>
        <v/>
      </c>
      <c r="AN312" s="27" t="str">
        <f aca="false">IF($O312="","",IF(IF($B312="Global",COUNTIF('Rules &amp; Guardrails'!$F$9:$F$60,$O312),COUNTIFS('Rules &amp; Guardrails'!$F$9:$F$60,$O312,'Rules &amp; Guardrails'!$G$9:$G$60,$B312)+COUNTIFS('Rules &amp; Guardrails'!$F$9:$F$60,$O312,'Rules &amp; Guardrails'!$G$9:$G$60,"Global"))&gt;0,"Blackout",""))</f>
        <v/>
      </c>
      <c r="AO312" s="6"/>
      <c r="AP312" s="25"/>
      <c r="AQ312" s="23"/>
      <c r="AR312" s="31" t="str">
        <f aca="false">IF($D312="","",IFERROR(VLOOKUP($D312,'Rules &amp; Guardrails'!$A$9:$D$24,2,0),"Other"))</f>
        <v/>
      </c>
      <c r="AS312" s="31" t="str">
        <f aca="false">IF($O312="","",$O312&amp;"|"&amp;$B312)</f>
        <v/>
      </c>
    </row>
    <row r="313" customFormat="false" ht="15" hidden="false" customHeight="false" outlineLevel="0" collapsed="false">
      <c r="A313" s="23"/>
      <c r="B313" s="23"/>
      <c r="C313" s="23"/>
      <c r="D313" s="23"/>
      <c r="E313" s="23"/>
      <c r="F313" s="23"/>
      <c r="G313" s="6"/>
      <c r="H313" s="6"/>
      <c r="I313" s="23"/>
      <c r="J313" s="23"/>
      <c r="K313" s="23"/>
      <c r="L313" s="6"/>
      <c r="M313" s="6"/>
      <c r="N313" s="24"/>
      <c r="O313" s="25"/>
      <c r="P313" s="23"/>
      <c r="Q313" s="23"/>
      <c r="R313" s="23"/>
      <c r="S313" s="23"/>
      <c r="T313" s="26" t="str">
        <f aca="false">IF(OR($O313="",$D313=""),"",WORKDAY($O313,-IFERROR(VLOOKUP($D313,'Rules &amp; Guardrails'!$A$9:$D$24,3,0),10)))</f>
        <v/>
      </c>
      <c r="U313" s="23"/>
      <c r="V313" s="23"/>
      <c r="W313" s="23"/>
      <c r="X313" s="6"/>
      <c r="Y313" s="23"/>
      <c r="Z313" s="23"/>
      <c r="AA313" s="23"/>
      <c r="AB313" s="23"/>
      <c r="AC313" s="23"/>
      <c r="AD313" s="23"/>
      <c r="AE313" s="23"/>
      <c r="AF313" s="27" t="str">
        <f aca="true">IF($O313="","",IF(OR($AE313="Cancelled",$AE313="On hold",$AE313="Launched"),$AE313,IF(AND($Y313="Approved",OR($Z313="Yes",$Z313="N/A"),OR($AA313="Yes",$AA313="N/A"),OR($AB313="No",$AB313="N/A",AND($AB313="Yes",$AD313="Yes"))),"Ready",IF($O313&lt;TODAY(),"Overdue",IF($O313-TODAY()&lt;='Rules &amp; Guardrails'!$C$5,"At Risk","In Progress")))))</f>
        <v/>
      </c>
      <c r="AG313" s="28" t="str">
        <f aca="false">IF($O313="","",IF(OR($AE313="Launched",$AE313="Cancelled"),"",MID(IF($Y313&lt;&gt;"Approved",", Content approval","")&amp;IF(NOT(OR($Z313="Yes",$Z313="N/A")),", Assets","")&amp;IF(NOT(OR($AA313="Yes",$AA313="N/A")),", List","")&amp;IF($AB313="",", Ops decision",IF(AND($AB313="Yes",$AD313&lt;&gt;"Yes"),", Ops",""))&amp;IF($U313="",", Owner","")&amp;IF($K313="",", Segment",""),3,200)))</f>
        <v/>
      </c>
      <c r="AH313" s="29" t="str">
        <f aca="true">IF($O313="","",$O313-TODAY())</f>
        <v/>
      </c>
      <c r="AI313" s="26" t="str">
        <f aca="false">IF($O313="","",$O313-WEEKDAY($O313,3))</f>
        <v/>
      </c>
      <c r="AJ313" s="30" t="str">
        <f aca="false">IF($O313="","",DATE(YEAR($O313),MONTH($O313),1))</f>
        <v/>
      </c>
      <c r="AK313" s="31" t="str">
        <f aca="false">IF(OR($O313="",$K313=""),"",COUNTIFS('Comms Calendar'!$K$5:$K$504,$K313,'Comms Calendar'!$B$5:$B$504,$B313,'Comms Calendar'!$AI$5:$AI$504,$AI313,'Comms Calendar'!$AE$5:$AE$504,"&lt;&gt;Cancelled"))</f>
        <v/>
      </c>
      <c r="AL313" s="27" t="str">
        <f aca="false">IF($AK313="","",IF($AK313&gt;'Rules &amp; Guardrails'!$C$3,"Over cap","OK"))</f>
        <v/>
      </c>
      <c r="AM313" s="27" t="str">
        <f aca="false">IF(OR($O313="",$K313=""),"",IF(COUNTIFS('Comms Calendar'!$K$5:$K$504,$K313,'Comms Calendar'!$B$5:$B$504,$B313,'Comms Calendar'!$O$5:$O$504,$O313,'Comms Calendar'!$AE$5:$AE$504,"&lt;&gt;Cancelled")&gt;1,"Clash",""))</f>
        <v/>
      </c>
      <c r="AN313" s="27" t="str">
        <f aca="false">IF($O313="","",IF(IF($B313="Global",COUNTIF('Rules &amp; Guardrails'!$F$9:$F$60,$O313),COUNTIFS('Rules &amp; Guardrails'!$F$9:$F$60,$O313,'Rules &amp; Guardrails'!$G$9:$G$60,$B313)+COUNTIFS('Rules &amp; Guardrails'!$F$9:$F$60,$O313,'Rules &amp; Guardrails'!$G$9:$G$60,"Global"))&gt;0,"Blackout",""))</f>
        <v/>
      </c>
      <c r="AO313" s="6"/>
      <c r="AP313" s="25"/>
      <c r="AQ313" s="23"/>
      <c r="AR313" s="31" t="str">
        <f aca="false">IF($D313="","",IFERROR(VLOOKUP($D313,'Rules &amp; Guardrails'!$A$9:$D$24,2,0),"Other"))</f>
        <v/>
      </c>
      <c r="AS313" s="31" t="str">
        <f aca="false">IF($O313="","",$O313&amp;"|"&amp;$B313)</f>
        <v/>
      </c>
    </row>
    <row r="314" customFormat="false" ht="15" hidden="false" customHeight="false" outlineLevel="0" collapsed="false">
      <c r="A314" s="23"/>
      <c r="B314" s="23"/>
      <c r="C314" s="23"/>
      <c r="D314" s="23"/>
      <c r="E314" s="23"/>
      <c r="F314" s="23"/>
      <c r="G314" s="6"/>
      <c r="H314" s="6"/>
      <c r="I314" s="23"/>
      <c r="J314" s="23"/>
      <c r="K314" s="23"/>
      <c r="L314" s="6"/>
      <c r="M314" s="6"/>
      <c r="N314" s="24"/>
      <c r="O314" s="25"/>
      <c r="P314" s="23"/>
      <c r="Q314" s="23"/>
      <c r="R314" s="23"/>
      <c r="S314" s="23"/>
      <c r="T314" s="26" t="str">
        <f aca="false">IF(OR($O314="",$D314=""),"",WORKDAY($O314,-IFERROR(VLOOKUP($D314,'Rules &amp; Guardrails'!$A$9:$D$24,3,0),10)))</f>
        <v/>
      </c>
      <c r="U314" s="23"/>
      <c r="V314" s="23"/>
      <c r="W314" s="23"/>
      <c r="X314" s="6"/>
      <c r="Y314" s="23"/>
      <c r="Z314" s="23"/>
      <c r="AA314" s="23"/>
      <c r="AB314" s="23"/>
      <c r="AC314" s="23"/>
      <c r="AD314" s="23"/>
      <c r="AE314" s="23"/>
      <c r="AF314" s="27" t="str">
        <f aca="true">IF($O314="","",IF(OR($AE314="Cancelled",$AE314="On hold",$AE314="Launched"),$AE314,IF(AND($Y314="Approved",OR($Z314="Yes",$Z314="N/A"),OR($AA314="Yes",$AA314="N/A"),OR($AB314="No",$AB314="N/A",AND($AB314="Yes",$AD314="Yes"))),"Ready",IF($O314&lt;TODAY(),"Overdue",IF($O314-TODAY()&lt;='Rules &amp; Guardrails'!$C$5,"At Risk","In Progress")))))</f>
        <v/>
      </c>
      <c r="AG314" s="28" t="str">
        <f aca="false">IF($O314="","",IF(OR($AE314="Launched",$AE314="Cancelled"),"",MID(IF($Y314&lt;&gt;"Approved",", Content approval","")&amp;IF(NOT(OR($Z314="Yes",$Z314="N/A")),", Assets","")&amp;IF(NOT(OR($AA314="Yes",$AA314="N/A")),", List","")&amp;IF($AB314="",", Ops decision",IF(AND($AB314="Yes",$AD314&lt;&gt;"Yes"),", Ops",""))&amp;IF($U314="",", Owner","")&amp;IF($K314="",", Segment",""),3,200)))</f>
        <v/>
      </c>
      <c r="AH314" s="29" t="str">
        <f aca="true">IF($O314="","",$O314-TODAY())</f>
        <v/>
      </c>
      <c r="AI314" s="26" t="str">
        <f aca="false">IF($O314="","",$O314-WEEKDAY($O314,3))</f>
        <v/>
      </c>
      <c r="AJ314" s="30" t="str">
        <f aca="false">IF($O314="","",DATE(YEAR($O314),MONTH($O314),1))</f>
        <v/>
      </c>
      <c r="AK314" s="31" t="str">
        <f aca="false">IF(OR($O314="",$K314=""),"",COUNTIFS('Comms Calendar'!$K$5:$K$504,$K314,'Comms Calendar'!$B$5:$B$504,$B314,'Comms Calendar'!$AI$5:$AI$504,$AI314,'Comms Calendar'!$AE$5:$AE$504,"&lt;&gt;Cancelled"))</f>
        <v/>
      </c>
      <c r="AL314" s="27" t="str">
        <f aca="false">IF($AK314="","",IF($AK314&gt;'Rules &amp; Guardrails'!$C$3,"Over cap","OK"))</f>
        <v/>
      </c>
      <c r="AM314" s="27" t="str">
        <f aca="false">IF(OR($O314="",$K314=""),"",IF(COUNTIFS('Comms Calendar'!$K$5:$K$504,$K314,'Comms Calendar'!$B$5:$B$504,$B314,'Comms Calendar'!$O$5:$O$504,$O314,'Comms Calendar'!$AE$5:$AE$504,"&lt;&gt;Cancelled")&gt;1,"Clash",""))</f>
        <v/>
      </c>
      <c r="AN314" s="27" t="str">
        <f aca="false">IF($O314="","",IF(IF($B314="Global",COUNTIF('Rules &amp; Guardrails'!$F$9:$F$60,$O314),COUNTIFS('Rules &amp; Guardrails'!$F$9:$F$60,$O314,'Rules &amp; Guardrails'!$G$9:$G$60,$B314)+COUNTIFS('Rules &amp; Guardrails'!$F$9:$F$60,$O314,'Rules &amp; Guardrails'!$G$9:$G$60,"Global"))&gt;0,"Blackout",""))</f>
        <v/>
      </c>
      <c r="AO314" s="6"/>
      <c r="AP314" s="25"/>
      <c r="AQ314" s="23"/>
      <c r="AR314" s="31" t="str">
        <f aca="false">IF($D314="","",IFERROR(VLOOKUP($D314,'Rules &amp; Guardrails'!$A$9:$D$24,2,0),"Other"))</f>
        <v/>
      </c>
      <c r="AS314" s="31" t="str">
        <f aca="false">IF($O314="","",$O314&amp;"|"&amp;$B314)</f>
        <v/>
      </c>
    </row>
    <row r="315" customFormat="false" ht="15" hidden="false" customHeight="false" outlineLevel="0" collapsed="false">
      <c r="A315" s="23"/>
      <c r="B315" s="23"/>
      <c r="C315" s="23"/>
      <c r="D315" s="23"/>
      <c r="E315" s="23"/>
      <c r="F315" s="23"/>
      <c r="G315" s="6"/>
      <c r="H315" s="6"/>
      <c r="I315" s="23"/>
      <c r="J315" s="23"/>
      <c r="K315" s="23"/>
      <c r="L315" s="6"/>
      <c r="M315" s="6"/>
      <c r="N315" s="24"/>
      <c r="O315" s="25"/>
      <c r="P315" s="23"/>
      <c r="Q315" s="23"/>
      <c r="R315" s="23"/>
      <c r="S315" s="23"/>
      <c r="T315" s="26" t="str">
        <f aca="false">IF(OR($O315="",$D315=""),"",WORKDAY($O315,-IFERROR(VLOOKUP($D315,'Rules &amp; Guardrails'!$A$9:$D$24,3,0),10)))</f>
        <v/>
      </c>
      <c r="U315" s="23"/>
      <c r="V315" s="23"/>
      <c r="W315" s="23"/>
      <c r="X315" s="6"/>
      <c r="Y315" s="23"/>
      <c r="Z315" s="23"/>
      <c r="AA315" s="23"/>
      <c r="AB315" s="23"/>
      <c r="AC315" s="23"/>
      <c r="AD315" s="23"/>
      <c r="AE315" s="23"/>
      <c r="AF315" s="27" t="str">
        <f aca="true">IF($O315="","",IF(OR($AE315="Cancelled",$AE315="On hold",$AE315="Launched"),$AE315,IF(AND($Y315="Approved",OR($Z315="Yes",$Z315="N/A"),OR($AA315="Yes",$AA315="N/A"),OR($AB315="No",$AB315="N/A",AND($AB315="Yes",$AD315="Yes"))),"Ready",IF($O315&lt;TODAY(),"Overdue",IF($O315-TODAY()&lt;='Rules &amp; Guardrails'!$C$5,"At Risk","In Progress")))))</f>
        <v/>
      </c>
      <c r="AG315" s="28" t="str">
        <f aca="false">IF($O315="","",IF(OR($AE315="Launched",$AE315="Cancelled"),"",MID(IF($Y315&lt;&gt;"Approved",", Content approval","")&amp;IF(NOT(OR($Z315="Yes",$Z315="N/A")),", Assets","")&amp;IF(NOT(OR($AA315="Yes",$AA315="N/A")),", List","")&amp;IF($AB315="",", Ops decision",IF(AND($AB315="Yes",$AD315&lt;&gt;"Yes"),", Ops",""))&amp;IF($U315="",", Owner","")&amp;IF($K315="",", Segment",""),3,200)))</f>
        <v/>
      </c>
      <c r="AH315" s="29" t="str">
        <f aca="true">IF($O315="","",$O315-TODAY())</f>
        <v/>
      </c>
      <c r="AI315" s="26" t="str">
        <f aca="false">IF($O315="","",$O315-WEEKDAY($O315,3))</f>
        <v/>
      </c>
      <c r="AJ315" s="30" t="str">
        <f aca="false">IF($O315="","",DATE(YEAR($O315),MONTH($O315),1))</f>
        <v/>
      </c>
      <c r="AK315" s="31" t="str">
        <f aca="false">IF(OR($O315="",$K315=""),"",COUNTIFS('Comms Calendar'!$K$5:$K$504,$K315,'Comms Calendar'!$B$5:$B$504,$B315,'Comms Calendar'!$AI$5:$AI$504,$AI315,'Comms Calendar'!$AE$5:$AE$504,"&lt;&gt;Cancelled"))</f>
        <v/>
      </c>
      <c r="AL315" s="27" t="str">
        <f aca="false">IF($AK315="","",IF($AK315&gt;'Rules &amp; Guardrails'!$C$3,"Over cap","OK"))</f>
        <v/>
      </c>
      <c r="AM315" s="27" t="str">
        <f aca="false">IF(OR($O315="",$K315=""),"",IF(COUNTIFS('Comms Calendar'!$K$5:$K$504,$K315,'Comms Calendar'!$B$5:$B$504,$B315,'Comms Calendar'!$O$5:$O$504,$O315,'Comms Calendar'!$AE$5:$AE$504,"&lt;&gt;Cancelled")&gt;1,"Clash",""))</f>
        <v/>
      </c>
      <c r="AN315" s="27" t="str">
        <f aca="false">IF($O315="","",IF(IF($B315="Global",COUNTIF('Rules &amp; Guardrails'!$F$9:$F$60,$O315),COUNTIFS('Rules &amp; Guardrails'!$F$9:$F$60,$O315,'Rules &amp; Guardrails'!$G$9:$G$60,$B315)+COUNTIFS('Rules &amp; Guardrails'!$F$9:$F$60,$O315,'Rules &amp; Guardrails'!$G$9:$G$60,"Global"))&gt;0,"Blackout",""))</f>
        <v/>
      </c>
      <c r="AO315" s="6"/>
      <c r="AP315" s="25"/>
      <c r="AQ315" s="23"/>
      <c r="AR315" s="31" t="str">
        <f aca="false">IF($D315="","",IFERROR(VLOOKUP($D315,'Rules &amp; Guardrails'!$A$9:$D$24,2,0),"Other"))</f>
        <v/>
      </c>
      <c r="AS315" s="31" t="str">
        <f aca="false">IF($O315="","",$O315&amp;"|"&amp;$B315)</f>
        <v/>
      </c>
    </row>
    <row r="316" customFormat="false" ht="15" hidden="false" customHeight="false" outlineLevel="0" collapsed="false">
      <c r="A316" s="23"/>
      <c r="B316" s="23"/>
      <c r="C316" s="23"/>
      <c r="D316" s="23"/>
      <c r="E316" s="23"/>
      <c r="F316" s="23"/>
      <c r="G316" s="6"/>
      <c r="H316" s="6"/>
      <c r="I316" s="23"/>
      <c r="J316" s="23"/>
      <c r="K316" s="23"/>
      <c r="L316" s="6"/>
      <c r="M316" s="6"/>
      <c r="N316" s="24"/>
      <c r="O316" s="25"/>
      <c r="P316" s="23"/>
      <c r="Q316" s="23"/>
      <c r="R316" s="23"/>
      <c r="S316" s="23"/>
      <c r="T316" s="26" t="str">
        <f aca="false">IF(OR($O316="",$D316=""),"",WORKDAY($O316,-IFERROR(VLOOKUP($D316,'Rules &amp; Guardrails'!$A$9:$D$24,3,0),10)))</f>
        <v/>
      </c>
      <c r="U316" s="23"/>
      <c r="V316" s="23"/>
      <c r="W316" s="23"/>
      <c r="X316" s="6"/>
      <c r="Y316" s="23"/>
      <c r="Z316" s="23"/>
      <c r="AA316" s="23"/>
      <c r="AB316" s="23"/>
      <c r="AC316" s="23"/>
      <c r="AD316" s="23"/>
      <c r="AE316" s="23"/>
      <c r="AF316" s="27" t="str">
        <f aca="true">IF($O316="","",IF(OR($AE316="Cancelled",$AE316="On hold",$AE316="Launched"),$AE316,IF(AND($Y316="Approved",OR($Z316="Yes",$Z316="N/A"),OR($AA316="Yes",$AA316="N/A"),OR($AB316="No",$AB316="N/A",AND($AB316="Yes",$AD316="Yes"))),"Ready",IF($O316&lt;TODAY(),"Overdue",IF($O316-TODAY()&lt;='Rules &amp; Guardrails'!$C$5,"At Risk","In Progress")))))</f>
        <v/>
      </c>
      <c r="AG316" s="28" t="str">
        <f aca="false">IF($O316="","",IF(OR($AE316="Launched",$AE316="Cancelled"),"",MID(IF($Y316&lt;&gt;"Approved",", Content approval","")&amp;IF(NOT(OR($Z316="Yes",$Z316="N/A")),", Assets","")&amp;IF(NOT(OR($AA316="Yes",$AA316="N/A")),", List","")&amp;IF($AB316="",", Ops decision",IF(AND($AB316="Yes",$AD316&lt;&gt;"Yes"),", Ops",""))&amp;IF($U316="",", Owner","")&amp;IF($K316="",", Segment",""),3,200)))</f>
        <v/>
      </c>
      <c r="AH316" s="29" t="str">
        <f aca="true">IF($O316="","",$O316-TODAY())</f>
        <v/>
      </c>
      <c r="AI316" s="26" t="str">
        <f aca="false">IF($O316="","",$O316-WEEKDAY($O316,3))</f>
        <v/>
      </c>
      <c r="AJ316" s="30" t="str">
        <f aca="false">IF($O316="","",DATE(YEAR($O316),MONTH($O316),1))</f>
        <v/>
      </c>
      <c r="AK316" s="31" t="str">
        <f aca="false">IF(OR($O316="",$K316=""),"",COUNTIFS('Comms Calendar'!$K$5:$K$504,$K316,'Comms Calendar'!$B$5:$B$504,$B316,'Comms Calendar'!$AI$5:$AI$504,$AI316,'Comms Calendar'!$AE$5:$AE$504,"&lt;&gt;Cancelled"))</f>
        <v/>
      </c>
      <c r="AL316" s="27" t="str">
        <f aca="false">IF($AK316="","",IF($AK316&gt;'Rules &amp; Guardrails'!$C$3,"Over cap","OK"))</f>
        <v/>
      </c>
      <c r="AM316" s="27" t="str">
        <f aca="false">IF(OR($O316="",$K316=""),"",IF(COUNTIFS('Comms Calendar'!$K$5:$K$504,$K316,'Comms Calendar'!$B$5:$B$504,$B316,'Comms Calendar'!$O$5:$O$504,$O316,'Comms Calendar'!$AE$5:$AE$504,"&lt;&gt;Cancelled")&gt;1,"Clash",""))</f>
        <v/>
      </c>
      <c r="AN316" s="27" t="str">
        <f aca="false">IF($O316="","",IF(IF($B316="Global",COUNTIF('Rules &amp; Guardrails'!$F$9:$F$60,$O316),COUNTIFS('Rules &amp; Guardrails'!$F$9:$F$60,$O316,'Rules &amp; Guardrails'!$G$9:$G$60,$B316)+COUNTIFS('Rules &amp; Guardrails'!$F$9:$F$60,$O316,'Rules &amp; Guardrails'!$G$9:$G$60,"Global"))&gt;0,"Blackout",""))</f>
        <v/>
      </c>
      <c r="AO316" s="6"/>
      <c r="AP316" s="25"/>
      <c r="AQ316" s="23"/>
      <c r="AR316" s="31" t="str">
        <f aca="false">IF($D316="","",IFERROR(VLOOKUP($D316,'Rules &amp; Guardrails'!$A$9:$D$24,2,0),"Other"))</f>
        <v/>
      </c>
      <c r="AS316" s="31" t="str">
        <f aca="false">IF($O316="","",$O316&amp;"|"&amp;$B316)</f>
        <v/>
      </c>
    </row>
    <row r="317" customFormat="false" ht="15" hidden="false" customHeight="false" outlineLevel="0" collapsed="false">
      <c r="A317" s="23"/>
      <c r="B317" s="23"/>
      <c r="C317" s="23"/>
      <c r="D317" s="23"/>
      <c r="E317" s="23"/>
      <c r="F317" s="23"/>
      <c r="G317" s="6"/>
      <c r="H317" s="6"/>
      <c r="I317" s="23"/>
      <c r="J317" s="23"/>
      <c r="K317" s="23"/>
      <c r="L317" s="6"/>
      <c r="M317" s="6"/>
      <c r="N317" s="24"/>
      <c r="O317" s="25"/>
      <c r="P317" s="23"/>
      <c r="Q317" s="23"/>
      <c r="R317" s="23"/>
      <c r="S317" s="23"/>
      <c r="T317" s="26" t="str">
        <f aca="false">IF(OR($O317="",$D317=""),"",WORKDAY($O317,-IFERROR(VLOOKUP($D317,'Rules &amp; Guardrails'!$A$9:$D$24,3,0),10)))</f>
        <v/>
      </c>
      <c r="U317" s="23"/>
      <c r="V317" s="23"/>
      <c r="W317" s="23"/>
      <c r="X317" s="6"/>
      <c r="Y317" s="23"/>
      <c r="Z317" s="23"/>
      <c r="AA317" s="23"/>
      <c r="AB317" s="23"/>
      <c r="AC317" s="23"/>
      <c r="AD317" s="23"/>
      <c r="AE317" s="23"/>
      <c r="AF317" s="27" t="str">
        <f aca="true">IF($O317="","",IF(OR($AE317="Cancelled",$AE317="On hold",$AE317="Launched"),$AE317,IF(AND($Y317="Approved",OR($Z317="Yes",$Z317="N/A"),OR($AA317="Yes",$AA317="N/A"),OR($AB317="No",$AB317="N/A",AND($AB317="Yes",$AD317="Yes"))),"Ready",IF($O317&lt;TODAY(),"Overdue",IF($O317-TODAY()&lt;='Rules &amp; Guardrails'!$C$5,"At Risk","In Progress")))))</f>
        <v/>
      </c>
      <c r="AG317" s="28" t="str">
        <f aca="false">IF($O317="","",IF(OR($AE317="Launched",$AE317="Cancelled"),"",MID(IF($Y317&lt;&gt;"Approved",", Content approval","")&amp;IF(NOT(OR($Z317="Yes",$Z317="N/A")),", Assets","")&amp;IF(NOT(OR($AA317="Yes",$AA317="N/A")),", List","")&amp;IF($AB317="",", Ops decision",IF(AND($AB317="Yes",$AD317&lt;&gt;"Yes"),", Ops",""))&amp;IF($U317="",", Owner","")&amp;IF($K317="",", Segment",""),3,200)))</f>
        <v/>
      </c>
      <c r="AH317" s="29" t="str">
        <f aca="true">IF($O317="","",$O317-TODAY())</f>
        <v/>
      </c>
      <c r="AI317" s="26" t="str">
        <f aca="false">IF($O317="","",$O317-WEEKDAY($O317,3))</f>
        <v/>
      </c>
      <c r="AJ317" s="30" t="str">
        <f aca="false">IF($O317="","",DATE(YEAR($O317),MONTH($O317),1))</f>
        <v/>
      </c>
      <c r="AK317" s="31" t="str">
        <f aca="false">IF(OR($O317="",$K317=""),"",COUNTIFS('Comms Calendar'!$K$5:$K$504,$K317,'Comms Calendar'!$B$5:$B$504,$B317,'Comms Calendar'!$AI$5:$AI$504,$AI317,'Comms Calendar'!$AE$5:$AE$504,"&lt;&gt;Cancelled"))</f>
        <v/>
      </c>
      <c r="AL317" s="27" t="str">
        <f aca="false">IF($AK317="","",IF($AK317&gt;'Rules &amp; Guardrails'!$C$3,"Over cap","OK"))</f>
        <v/>
      </c>
      <c r="AM317" s="27" t="str">
        <f aca="false">IF(OR($O317="",$K317=""),"",IF(COUNTIFS('Comms Calendar'!$K$5:$K$504,$K317,'Comms Calendar'!$B$5:$B$504,$B317,'Comms Calendar'!$O$5:$O$504,$O317,'Comms Calendar'!$AE$5:$AE$504,"&lt;&gt;Cancelled")&gt;1,"Clash",""))</f>
        <v/>
      </c>
      <c r="AN317" s="27" t="str">
        <f aca="false">IF($O317="","",IF(IF($B317="Global",COUNTIF('Rules &amp; Guardrails'!$F$9:$F$60,$O317),COUNTIFS('Rules &amp; Guardrails'!$F$9:$F$60,$O317,'Rules &amp; Guardrails'!$G$9:$G$60,$B317)+COUNTIFS('Rules &amp; Guardrails'!$F$9:$F$60,$O317,'Rules &amp; Guardrails'!$G$9:$G$60,"Global"))&gt;0,"Blackout",""))</f>
        <v/>
      </c>
      <c r="AO317" s="6"/>
      <c r="AP317" s="25"/>
      <c r="AQ317" s="23"/>
      <c r="AR317" s="31" t="str">
        <f aca="false">IF($D317="","",IFERROR(VLOOKUP($D317,'Rules &amp; Guardrails'!$A$9:$D$24,2,0),"Other"))</f>
        <v/>
      </c>
      <c r="AS317" s="31" t="str">
        <f aca="false">IF($O317="","",$O317&amp;"|"&amp;$B317)</f>
        <v/>
      </c>
    </row>
    <row r="318" customFormat="false" ht="15" hidden="false" customHeight="false" outlineLevel="0" collapsed="false">
      <c r="A318" s="23"/>
      <c r="B318" s="23"/>
      <c r="C318" s="23"/>
      <c r="D318" s="23"/>
      <c r="E318" s="23"/>
      <c r="F318" s="23"/>
      <c r="G318" s="6"/>
      <c r="H318" s="6"/>
      <c r="I318" s="23"/>
      <c r="J318" s="23"/>
      <c r="K318" s="23"/>
      <c r="L318" s="6"/>
      <c r="M318" s="6"/>
      <c r="N318" s="24"/>
      <c r="O318" s="25"/>
      <c r="P318" s="23"/>
      <c r="Q318" s="23"/>
      <c r="R318" s="23"/>
      <c r="S318" s="23"/>
      <c r="T318" s="26" t="str">
        <f aca="false">IF(OR($O318="",$D318=""),"",WORKDAY($O318,-IFERROR(VLOOKUP($D318,'Rules &amp; Guardrails'!$A$9:$D$24,3,0),10)))</f>
        <v/>
      </c>
      <c r="U318" s="23"/>
      <c r="V318" s="23"/>
      <c r="W318" s="23"/>
      <c r="X318" s="6"/>
      <c r="Y318" s="23"/>
      <c r="Z318" s="23"/>
      <c r="AA318" s="23"/>
      <c r="AB318" s="23"/>
      <c r="AC318" s="23"/>
      <c r="AD318" s="23"/>
      <c r="AE318" s="23"/>
      <c r="AF318" s="27" t="str">
        <f aca="true">IF($O318="","",IF(OR($AE318="Cancelled",$AE318="On hold",$AE318="Launched"),$AE318,IF(AND($Y318="Approved",OR($Z318="Yes",$Z318="N/A"),OR($AA318="Yes",$AA318="N/A"),OR($AB318="No",$AB318="N/A",AND($AB318="Yes",$AD318="Yes"))),"Ready",IF($O318&lt;TODAY(),"Overdue",IF($O318-TODAY()&lt;='Rules &amp; Guardrails'!$C$5,"At Risk","In Progress")))))</f>
        <v/>
      </c>
      <c r="AG318" s="28" t="str">
        <f aca="false">IF($O318="","",IF(OR($AE318="Launched",$AE318="Cancelled"),"",MID(IF($Y318&lt;&gt;"Approved",", Content approval","")&amp;IF(NOT(OR($Z318="Yes",$Z318="N/A")),", Assets","")&amp;IF(NOT(OR($AA318="Yes",$AA318="N/A")),", List","")&amp;IF($AB318="",", Ops decision",IF(AND($AB318="Yes",$AD318&lt;&gt;"Yes"),", Ops",""))&amp;IF($U318="",", Owner","")&amp;IF($K318="",", Segment",""),3,200)))</f>
        <v/>
      </c>
      <c r="AH318" s="29" t="str">
        <f aca="true">IF($O318="","",$O318-TODAY())</f>
        <v/>
      </c>
      <c r="AI318" s="26" t="str">
        <f aca="false">IF($O318="","",$O318-WEEKDAY($O318,3))</f>
        <v/>
      </c>
      <c r="AJ318" s="30" t="str">
        <f aca="false">IF($O318="","",DATE(YEAR($O318),MONTH($O318),1))</f>
        <v/>
      </c>
      <c r="AK318" s="31" t="str">
        <f aca="false">IF(OR($O318="",$K318=""),"",COUNTIFS('Comms Calendar'!$K$5:$K$504,$K318,'Comms Calendar'!$B$5:$B$504,$B318,'Comms Calendar'!$AI$5:$AI$504,$AI318,'Comms Calendar'!$AE$5:$AE$504,"&lt;&gt;Cancelled"))</f>
        <v/>
      </c>
      <c r="AL318" s="27" t="str">
        <f aca="false">IF($AK318="","",IF($AK318&gt;'Rules &amp; Guardrails'!$C$3,"Over cap","OK"))</f>
        <v/>
      </c>
      <c r="AM318" s="27" t="str">
        <f aca="false">IF(OR($O318="",$K318=""),"",IF(COUNTIFS('Comms Calendar'!$K$5:$K$504,$K318,'Comms Calendar'!$B$5:$B$504,$B318,'Comms Calendar'!$O$5:$O$504,$O318,'Comms Calendar'!$AE$5:$AE$504,"&lt;&gt;Cancelled")&gt;1,"Clash",""))</f>
        <v/>
      </c>
      <c r="AN318" s="27" t="str">
        <f aca="false">IF($O318="","",IF(IF($B318="Global",COUNTIF('Rules &amp; Guardrails'!$F$9:$F$60,$O318),COUNTIFS('Rules &amp; Guardrails'!$F$9:$F$60,$O318,'Rules &amp; Guardrails'!$G$9:$G$60,$B318)+COUNTIFS('Rules &amp; Guardrails'!$F$9:$F$60,$O318,'Rules &amp; Guardrails'!$G$9:$G$60,"Global"))&gt;0,"Blackout",""))</f>
        <v/>
      </c>
      <c r="AO318" s="6"/>
      <c r="AP318" s="25"/>
      <c r="AQ318" s="23"/>
      <c r="AR318" s="31" t="str">
        <f aca="false">IF($D318="","",IFERROR(VLOOKUP($D318,'Rules &amp; Guardrails'!$A$9:$D$24,2,0),"Other"))</f>
        <v/>
      </c>
      <c r="AS318" s="31" t="str">
        <f aca="false">IF($O318="","",$O318&amp;"|"&amp;$B318)</f>
        <v/>
      </c>
    </row>
    <row r="319" customFormat="false" ht="15" hidden="false" customHeight="false" outlineLevel="0" collapsed="false">
      <c r="A319" s="23"/>
      <c r="B319" s="23"/>
      <c r="C319" s="23"/>
      <c r="D319" s="23"/>
      <c r="E319" s="23"/>
      <c r="F319" s="23"/>
      <c r="G319" s="6"/>
      <c r="H319" s="6"/>
      <c r="I319" s="23"/>
      <c r="J319" s="23"/>
      <c r="K319" s="23"/>
      <c r="L319" s="6"/>
      <c r="M319" s="6"/>
      <c r="N319" s="24"/>
      <c r="O319" s="25"/>
      <c r="P319" s="23"/>
      <c r="Q319" s="23"/>
      <c r="R319" s="23"/>
      <c r="S319" s="23"/>
      <c r="T319" s="26" t="str">
        <f aca="false">IF(OR($O319="",$D319=""),"",WORKDAY($O319,-IFERROR(VLOOKUP($D319,'Rules &amp; Guardrails'!$A$9:$D$24,3,0),10)))</f>
        <v/>
      </c>
      <c r="U319" s="23"/>
      <c r="V319" s="23"/>
      <c r="W319" s="23"/>
      <c r="X319" s="6"/>
      <c r="Y319" s="23"/>
      <c r="Z319" s="23"/>
      <c r="AA319" s="23"/>
      <c r="AB319" s="23"/>
      <c r="AC319" s="23"/>
      <c r="AD319" s="23"/>
      <c r="AE319" s="23"/>
      <c r="AF319" s="27" t="str">
        <f aca="true">IF($O319="","",IF(OR($AE319="Cancelled",$AE319="On hold",$AE319="Launched"),$AE319,IF(AND($Y319="Approved",OR($Z319="Yes",$Z319="N/A"),OR($AA319="Yes",$AA319="N/A"),OR($AB319="No",$AB319="N/A",AND($AB319="Yes",$AD319="Yes"))),"Ready",IF($O319&lt;TODAY(),"Overdue",IF($O319-TODAY()&lt;='Rules &amp; Guardrails'!$C$5,"At Risk","In Progress")))))</f>
        <v/>
      </c>
      <c r="AG319" s="28" t="str">
        <f aca="false">IF($O319="","",IF(OR($AE319="Launched",$AE319="Cancelled"),"",MID(IF($Y319&lt;&gt;"Approved",", Content approval","")&amp;IF(NOT(OR($Z319="Yes",$Z319="N/A")),", Assets","")&amp;IF(NOT(OR($AA319="Yes",$AA319="N/A")),", List","")&amp;IF($AB319="",", Ops decision",IF(AND($AB319="Yes",$AD319&lt;&gt;"Yes"),", Ops",""))&amp;IF($U319="",", Owner","")&amp;IF($K319="",", Segment",""),3,200)))</f>
        <v/>
      </c>
      <c r="AH319" s="29" t="str">
        <f aca="true">IF($O319="","",$O319-TODAY())</f>
        <v/>
      </c>
      <c r="AI319" s="26" t="str">
        <f aca="false">IF($O319="","",$O319-WEEKDAY($O319,3))</f>
        <v/>
      </c>
      <c r="AJ319" s="30" t="str">
        <f aca="false">IF($O319="","",DATE(YEAR($O319),MONTH($O319),1))</f>
        <v/>
      </c>
      <c r="AK319" s="31" t="str">
        <f aca="false">IF(OR($O319="",$K319=""),"",COUNTIFS('Comms Calendar'!$K$5:$K$504,$K319,'Comms Calendar'!$B$5:$B$504,$B319,'Comms Calendar'!$AI$5:$AI$504,$AI319,'Comms Calendar'!$AE$5:$AE$504,"&lt;&gt;Cancelled"))</f>
        <v/>
      </c>
      <c r="AL319" s="27" t="str">
        <f aca="false">IF($AK319="","",IF($AK319&gt;'Rules &amp; Guardrails'!$C$3,"Over cap","OK"))</f>
        <v/>
      </c>
      <c r="AM319" s="27" t="str">
        <f aca="false">IF(OR($O319="",$K319=""),"",IF(COUNTIFS('Comms Calendar'!$K$5:$K$504,$K319,'Comms Calendar'!$B$5:$B$504,$B319,'Comms Calendar'!$O$5:$O$504,$O319,'Comms Calendar'!$AE$5:$AE$504,"&lt;&gt;Cancelled")&gt;1,"Clash",""))</f>
        <v/>
      </c>
      <c r="AN319" s="27" t="str">
        <f aca="false">IF($O319="","",IF(IF($B319="Global",COUNTIF('Rules &amp; Guardrails'!$F$9:$F$60,$O319),COUNTIFS('Rules &amp; Guardrails'!$F$9:$F$60,$O319,'Rules &amp; Guardrails'!$G$9:$G$60,$B319)+COUNTIFS('Rules &amp; Guardrails'!$F$9:$F$60,$O319,'Rules &amp; Guardrails'!$G$9:$G$60,"Global"))&gt;0,"Blackout",""))</f>
        <v/>
      </c>
      <c r="AO319" s="6"/>
      <c r="AP319" s="25"/>
      <c r="AQ319" s="23"/>
      <c r="AR319" s="31" t="str">
        <f aca="false">IF($D319="","",IFERROR(VLOOKUP($D319,'Rules &amp; Guardrails'!$A$9:$D$24,2,0),"Other"))</f>
        <v/>
      </c>
      <c r="AS319" s="31" t="str">
        <f aca="false">IF($O319="","",$O319&amp;"|"&amp;$B319)</f>
        <v/>
      </c>
    </row>
    <row r="320" customFormat="false" ht="15" hidden="false" customHeight="false" outlineLevel="0" collapsed="false">
      <c r="A320" s="23"/>
      <c r="B320" s="23"/>
      <c r="C320" s="23"/>
      <c r="D320" s="23"/>
      <c r="E320" s="23"/>
      <c r="F320" s="23"/>
      <c r="G320" s="6"/>
      <c r="H320" s="6"/>
      <c r="I320" s="23"/>
      <c r="J320" s="23"/>
      <c r="K320" s="23"/>
      <c r="L320" s="6"/>
      <c r="M320" s="6"/>
      <c r="N320" s="24"/>
      <c r="O320" s="25"/>
      <c r="P320" s="23"/>
      <c r="Q320" s="23"/>
      <c r="R320" s="23"/>
      <c r="S320" s="23"/>
      <c r="T320" s="26" t="str">
        <f aca="false">IF(OR($O320="",$D320=""),"",WORKDAY($O320,-IFERROR(VLOOKUP($D320,'Rules &amp; Guardrails'!$A$9:$D$24,3,0),10)))</f>
        <v/>
      </c>
      <c r="U320" s="23"/>
      <c r="V320" s="23"/>
      <c r="W320" s="23"/>
      <c r="X320" s="6"/>
      <c r="Y320" s="23"/>
      <c r="Z320" s="23"/>
      <c r="AA320" s="23"/>
      <c r="AB320" s="23"/>
      <c r="AC320" s="23"/>
      <c r="AD320" s="23"/>
      <c r="AE320" s="23"/>
      <c r="AF320" s="27" t="str">
        <f aca="true">IF($O320="","",IF(OR($AE320="Cancelled",$AE320="On hold",$AE320="Launched"),$AE320,IF(AND($Y320="Approved",OR($Z320="Yes",$Z320="N/A"),OR($AA320="Yes",$AA320="N/A"),OR($AB320="No",$AB320="N/A",AND($AB320="Yes",$AD320="Yes"))),"Ready",IF($O320&lt;TODAY(),"Overdue",IF($O320-TODAY()&lt;='Rules &amp; Guardrails'!$C$5,"At Risk","In Progress")))))</f>
        <v/>
      </c>
      <c r="AG320" s="28" t="str">
        <f aca="false">IF($O320="","",IF(OR($AE320="Launched",$AE320="Cancelled"),"",MID(IF($Y320&lt;&gt;"Approved",", Content approval","")&amp;IF(NOT(OR($Z320="Yes",$Z320="N/A")),", Assets","")&amp;IF(NOT(OR($AA320="Yes",$AA320="N/A")),", List","")&amp;IF($AB320="",", Ops decision",IF(AND($AB320="Yes",$AD320&lt;&gt;"Yes"),", Ops",""))&amp;IF($U320="",", Owner","")&amp;IF($K320="",", Segment",""),3,200)))</f>
        <v/>
      </c>
      <c r="AH320" s="29" t="str">
        <f aca="true">IF($O320="","",$O320-TODAY())</f>
        <v/>
      </c>
      <c r="AI320" s="26" t="str">
        <f aca="false">IF($O320="","",$O320-WEEKDAY($O320,3))</f>
        <v/>
      </c>
      <c r="AJ320" s="30" t="str">
        <f aca="false">IF($O320="","",DATE(YEAR($O320),MONTH($O320),1))</f>
        <v/>
      </c>
      <c r="AK320" s="31" t="str">
        <f aca="false">IF(OR($O320="",$K320=""),"",COUNTIFS('Comms Calendar'!$K$5:$K$504,$K320,'Comms Calendar'!$B$5:$B$504,$B320,'Comms Calendar'!$AI$5:$AI$504,$AI320,'Comms Calendar'!$AE$5:$AE$504,"&lt;&gt;Cancelled"))</f>
        <v/>
      </c>
      <c r="AL320" s="27" t="str">
        <f aca="false">IF($AK320="","",IF($AK320&gt;'Rules &amp; Guardrails'!$C$3,"Over cap","OK"))</f>
        <v/>
      </c>
      <c r="AM320" s="27" t="str">
        <f aca="false">IF(OR($O320="",$K320=""),"",IF(COUNTIFS('Comms Calendar'!$K$5:$K$504,$K320,'Comms Calendar'!$B$5:$B$504,$B320,'Comms Calendar'!$O$5:$O$504,$O320,'Comms Calendar'!$AE$5:$AE$504,"&lt;&gt;Cancelled")&gt;1,"Clash",""))</f>
        <v/>
      </c>
      <c r="AN320" s="27" t="str">
        <f aca="false">IF($O320="","",IF(IF($B320="Global",COUNTIF('Rules &amp; Guardrails'!$F$9:$F$60,$O320),COUNTIFS('Rules &amp; Guardrails'!$F$9:$F$60,$O320,'Rules &amp; Guardrails'!$G$9:$G$60,$B320)+COUNTIFS('Rules &amp; Guardrails'!$F$9:$F$60,$O320,'Rules &amp; Guardrails'!$G$9:$G$60,"Global"))&gt;0,"Blackout",""))</f>
        <v/>
      </c>
      <c r="AO320" s="6"/>
      <c r="AP320" s="25"/>
      <c r="AQ320" s="23"/>
      <c r="AR320" s="31" t="str">
        <f aca="false">IF($D320="","",IFERROR(VLOOKUP($D320,'Rules &amp; Guardrails'!$A$9:$D$24,2,0),"Other"))</f>
        <v/>
      </c>
      <c r="AS320" s="31" t="str">
        <f aca="false">IF($O320="","",$O320&amp;"|"&amp;$B320)</f>
        <v/>
      </c>
    </row>
    <row r="321" customFormat="false" ht="15" hidden="false" customHeight="false" outlineLevel="0" collapsed="false">
      <c r="A321" s="23"/>
      <c r="B321" s="23"/>
      <c r="C321" s="23"/>
      <c r="D321" s="23"/>
      <c r="E321" s="23"/>
      <c r="F321" s="23"/>
      <c r="G321" s="6"/>
      <c r="H321" s="6"/>
      <c r="I321" s="23"/>
      <c r="J321" s="23"/>
      <c r="K321" s="23"/>
      <c r="L321" s="6"/>
      <c r="M321" s="6"/>
      <c r="N321" s="24"/>
      <c r="O321" s="25"/>
      <c r="P321" s="23"/>
      <c r="Q321" s="23"/>
      <c r="R321" s="23"/>
      <c r="S321" s="23"/>
      <c r="T321" s="26" t="str">
        <f aca="false">IF(OR($O321="",$D321=""),"",WORKDAY($O321,-IFERROR(VLOOKUP($D321,'Rules &amp; Guardrails'!$A$9:$D$24,3,0),10)))</f>
        <v/>
      </c>
      <c r="U321" s="23"/>
      <c r="V321" s="23"/>
      <c r="W321" s="23"/>
      <c r="X321" s="6"/>
      <c r="Y321" s="23"/>
      <c r="Z321" s="23"/>
      <c r="AA321" s="23"/>
      <c r="AB321" s="23"/>
      <c r="AC321" s="23"/>
      <c r="AD321" s="23"/>
      <c r="AE321" s="23"/>
      <c r="AF321" s="27" t="str">
        <f aca="true">IF($O321="","",IF(OR($AE321="Cancelled",$AE321="On hold",$AE321="Launched"),$AE321,IF(AND($Y321="Approved",OR($Z321="Yes",$Z321="N/A"),OR($AA321="Yes",$AA321="N/A"),OR($AB321="No",$AB321="N/A",AND($AB321="Yes",$AD321="Yes"))),"Ready",IF($O321&lt;TODAY(),"Overdue",IF($O321-TODAY()&lt;='Rules &amp; Guardrails'!$C$5,"At Risk","In Progress")))))</f>
        <v/>
      </c>
      <c r="AG321" s="28" t="str">
        <f aca="false">IF($O321="","",IF(OR($AE321="Launched",$AE321="Cancelled"),"",MID(IF($Y321&lt;&gt;"Approved",", Content approval","")&amp;IF(NOT(OR($Z321="Yes",$Z321="N/A")),", Assets","")&amp;IF(NOT(OR($AA321="Yes",$AA321="N/A")),", List","")&amp;IF($AB321="",", Ops decision",IF(AND($AB321="Yes",$AD321&lt;&gt;"Yes"),", Ops",""))&amp;IF($U321="",", Owner","")&amp;IF($K321="",", Segment",""),3,200)))</f>
        <v/>
      </c>
      <c r="AH321" s="29" t="str">
        <f aca="true">IF($O321="","",$O321-TODAY())</f>
        <v/>
      </c>
      <c r="AI321" s="26" t="str">
        <f aca="false">IF($O321="","",$O321-WEEKDAY($O321,3))</f>
        <v/>
      </c>
      <c r="AJ321" s="30" t="str">
        <f aca="false">IF($O321="","",DATE(YEAR($O321),MONTH($O321),1))</f>
        <v/>
      </c>
      <c r="AK321" s="31" t="str">
        <f aca="false">IF(OR($O321="",$K321=""),"",COUNTIFS('Comms Calendar'!$K$5:$K$504,$K321,'Comms Calendar'!$B$5:$B$504,$B321,'Comms Calendar'!$AI$5:$AI$504,$AI321,'Comms Calendar'!$AE$5:$AE$504,"&lt;&gt;Cancelled"))</f>
        <v/>
      </c>
      <c r="AL321" s="27" t="str">
        <f aca="false">IF($AK321="","",IF($AK321&gt;'Rules &amp; Guardrails'!$C$3,"Over cap","OK"))</f>
        <v/>
      </c>
      <c r="AM321" s="27" t="str">
        <f aca="false">IF(OR($O321="",$K321=""),"",IF(COUNTIFS('Comms Calendar'!$K$5:$K$504,$K321,'Comms Calendar'!$B$5:$B$504,$B321,'Comms Calendar'!$O$5:$O$504,$O321,'Comms Calendar'!$AE$5:$AE$504,"&lt;&gt;Cancelled")&gt;1,"Clash",""))</f>
        <v/>
      </c>
      <c r="AN321" s="27" t="str">
        <f aca="false">IF($O321="","",IF(IF($B321="Global",COUNTIF('Rules &amp; Guardrails'!$F$9:$F$60,$O321),COUNTIFS('Rules &amp; Guardrails'!$F$9:$F$60,$O321,'Rules &amp; Guardrails'!$G$9:$G$60,$B321)+COUNTIFS('Rules &amp; Guardrails'!$F$9:$F$60,$O321,'Rules &amp; Guardrails'!$G$9:$G$60,"Global"))&gt;0,"Blackout",""))</f>
        <v/>
      </c>
      <c r="AO321" s="6"/>
      <c r="AP321" s="25"/>
      <c r="AQ321" s="23"/>
      <c r="AR321" s="31" t="str">
        <f aca="false">IF($D321="","",IFERROR(VLOOKUP($D321,'Rules &amp; Guardrails'!$A$9:$D$24,2,0),"Other"))</f>
        <v/>
      </c>
      <c r="AS321" s="31" t="str">
        <f aca="false">IF($O321="","",$O321&amp;"|"&amp;$B321)</f>
        <v/>
      </c>
    </row>
    <row r="322" customFormat="false" ht="15" hidden="false" customHeight="false" outlineLevel="0" collapsed="false">
      <c r="A322" s="23"/>
      <c r="B322" s="23"/>
      <c r="C322" s="23"/>
      <c r="D322" s="23"/>
      <c r="E322" s="23"/>
      <c r="F322" s="23"/>
      <c r="G322" s="6"/>
      <c r="H322" s="6"/>
      <c r="I322" s="23"/>
      <c r="J322" s="23"/>
      <c r="K322" s="23"/>
      <c r="L322" s="6"/>
      <c r="M322" s="6"/>
      <c r="N322" s="24"/>
      <c r="O322" s="25"/>
      <c r="P322" s="23"/>
      <c r="Q322" s="23"/>
      <c r="R322" s="23"/>
      <c r="S322" s="23"/>
      <c r="T322" s="26" t="str">
        <f aca="false">IF(OR($O322="",$D322=""),"",WORKDAY($O322,-IFERROR(VLOOKUP($D322,'Rules &amp; Guardrails'!$A$9:$D$24,3,0),10)))</f>
        <v/>
      </c>
      <c r="U322" s="23"/>
      <c r="V322" s="23"/>
      <c r="W322" s="23"/>
      <c r="X322" s="6"/>
      <c r="Y322" s="23"/>
      <c r="Z322" s="23"/>
      <c r="AA322" s="23"/>
      <c r="AB322" s="23"/>
      <c r="AC322" s="23"/>
      <c r="AD322" s="23"/>
      <c r="AE322" s="23"/>
      <c r="AF322" s="27" t="str">
        <f aca="true">IF($O322="","",IF(OR($AE322="Cancelled",$AE322="On hold",$AE322="Launched"),$AE322,IF(AND($Y322="Approved",OR($Z322="Yes",$Z322="N/A"),OR($AA322="Yes",$AA322="N/A"),OR($AB322="No",$AB322="N/A",AND($AB322="Yes",$AD322="Yes"))),"Ready",IF($O322&lt;TODAY(),"Overdue",IF($O322-TODAY()&lt;='Rules &amp; Guardrails'!$C$5,"At Risk","In Progress")))))</f>
        <v/>
      </c>
      <c r="AG322" s="28" t="str">
        <f aca="false">IF($O322="","",IF(OR($AE322="Launched",$AE322="Cancelled"),"",MID(IF($Y322&lt;&gt;"Approved",", Content approval","")&amp;IF(NOT(OR($Z322="Yes",$Z322="N/A")),", Assets","")&amp;IF(NOT(OR($AA322="Yes",$AA322="N/A")),", List","")&amp;IF($AB322="",", Ops decision",IF(AND($AB322="Yes",$AD322&lt;&gt;"Yes"),", Ops",""))&amp;IF($U322="",", Owner","")&amp;IF($K322="",", Segment",""),3,200)))</f>
        <v/>
      </c>
      <c r="AH322" s="29" t="str">
        <f aca="true">IF($O322="","",$O322-TODAY())</f>
        <v/>
      </c>
      <c r="AI322" s="26" t="str">
        <f aca="false">IF($O322="","",$O322-WEEKDAY($O322,3))</f>
        <v/>
      </c>
      <c r="AJ322" s="30" t="str">
        <f aca="false">IF($O322="","",DATE(YEAR($O322),MONTH($O322),1))</f>
        <v/>
      </c>
      <c r="AK322" s="31" t="str">
        <f aca="false">IF(OR($O322="",$K322=""),"",COUNTIFS('Comms Calendar'!$K$5:$K$504,$K322,'Comms Calendar'!$B$5:$B$504,$B322,'Comms Calendar'!$AI$5:$AI$504,$AI322,'Comms Calendar'!$AE$5:$AE$504,"&lt;&gt;Cancelled"))</f>
        <v/>
      </c>
      <c r="AL322" s="27" t="str">
        <f aca="false">IF($AK322="","",IF($AK322&gt;'Rules &amp; Guardrails'!$C$3,"Over cap","OK"))</f>
        <v/>
      </c>
      <c r="AM322" s="27" t="str">
        <f aca="false">IF(OR($O322="",$K322=""),"",IF(COUNTIFS('Comms Calendar'!$K$5:$K$504,$K322,'Comms Calendar'!$B$5:$B$504,$B322,'Comms Calendar'!$O$5:$O$504,$O322,'Comms Calendar'!$AE$5:$AE$504,"&lt;&gt;Cancelled")&gt;1,"Clash",""))</f>
        <v/>
      </c>
      <c r="AN322" s="27" t="str">
        <f aca="false">IF($O322="","",IF(IF($B322="Global",COUNTIF('Rules &amp; Guardrails'!$F$9:$F$60,$O322),COUNTIFS('Rules &amp; Guardrails'!$F$9:$F$60,$O322,'Rules &amp; Guardrails'!$G$9:$G$60,$B322)+COUNTIFS('Rules &amp; Guardrails'!$F$9:$F$60,$O322,'Rules &amp; Guardrails'!$G$9:$G$60,"Global"))&gt;0,"Blackout",""))</f>
        <v/>
      </c>
      <c r="AO322" s="6"/>
      <c r="AP322" s="25"/>
      <c r="AQ322" s="23"/>
      <c r="AR322" s="31" t="str">
        <f aca="false">IF($D322="","",IFERROR(VLOOKUP($D322,'Rules &amp; Guardrails'!$A$9:$D$24,2,0),"Other"))</f>
        <v/>
      </c>
      <c r="AS322" s="31" t="str">
        <f aca="false">IF($O322="","",$O322&amp;"|"&amp;$B322)</f>
        <v/>
      </c>
    </row>
    <row r="323" customFormat="false" ht="15" hidden="false" customHeight="false" outlineLevel="0" collapsed="false">
      <c r="A323" s="23"/>
      <c r="B323" s="23"/>
      <c r="C323" s="23"/>
      <c r="D323" s="23"/>
      <c r="E323" s="23"/>
      <c r="F323" s="23"/>
      <c r="G323" s="6"/>
      <c r="H323" s="6"/>
      <c r="I323" s="23"/>
      <c r="J323" s="23"/>
      <c r="K323" s="23"/>
      <c r="L323" s="6"/>
      <c r="M323" s="6"/>
      <c r="N323" s="24"/>
      <c r="O323" s="25"/>
      <c r="P323" s="23"/>
      <c r="Q323" s="23"/>
      <c r="R323" s="23"/>
      <c r="S323" s="23"/>
      <c r="T323" s="26" t="str">
        <f aca="false">IF(OR($O323="",$D323=""),"",WORKDAY($O323,-IFERROR(VLOOKUP($D323,'Rules &amp; Guardrails'!$A$9:$D$24,3,0),10)))</f>
        <v/>
      </c>
      <c r="U323" s="23"/>
      <c r="V323" s="23"/>
      <c r="W323" s="23"/>
      <c r="X323" s="6"/>
      <c r="Y323" s="23"/>
      <c r="Z323" s="23"/>
      <c r="AA323" s="23"/>
      <c r="AB323" s="23"/>
      <c r="AC323" s="23"/>
      <c r="AD323" s="23"/>
      <c r="AE323" s="23"/>
      <c r="AF323" s="27" t="str">
        <f aca="true">IF($O323="","",IF(OR($AE323="Cancelled",$AE323="On hold",$AE323="Launched"),$AE323,IF(AND($Y323="Approved",OR($Z323="Yes",$Z323="N/A"),OR($AA323="Yes",$AA323="N/A"),OR($AB323="No",$AB323="N/A",AND($AB323="Yes",$AD323="Yes"))),"Ready",IF($O323&lt;TODAY(),"Overdue",IF($O323-TODAY()&lt;='Rules &amp; Guardrails'!$C$5,"At Risk","In Progress")))))</f>
        <v/>
      </c>
      <c r="AG323" s="28" t="str">
        <f aca="false">IF($O323="","",IF(OR($AE323="Launched",$AE323="Cancelled"),"",MID(IF($Y323&lt;&gt;"Approved",", Content approval","")&amp;IF(NOT(OR($Z323="Yes",$Z323="N/A")),", Assets","")&amp;IF(NOT(OR($AA323="Yes",$AA323="N/A")),", List","")&amp;IF($AB323="",", Ops decision",IF(AND($AB323="Yes",$AD323&lt;&gt;"Yes"),", Ops",""))&amp;IF($U323="",", Owner","")&amp;IF($K323="",", Segment",""),3,200)))</f>
        <v/>
      </c>
      <c r="AH323" s="29" t="str">
        <f aca="true">IF($O323="","",$O323-TODAY())</f>
        <v/>
      </c>
      <c r="AI323" s="26" t="str">
        <f aca="false">IF($O323="","",$O323-WEEKDAY($O323,3))</f>
        <v/>
      </c>
      <c r="AJ323" s="30" t="str">
        <f aca="false">IF($O323="","",DATE(YEAR($O323),MONTH($O323),1))</f>
        <v/>
      </c>
      <c r="AK323" s="31" t="str">
        <f aca="false">IF(OR($O323="",$K323=""),"",COUNTIFS('Comms Calendar'!$K$5:$K$504,$K323,'Comms Calendar'!$B$5:$B$504,$B323,'Comms Calendar'!$AI$5:$AI$504,$AI323,'Comms Calendar'!$AE$5:$AE$504,"&lt;&gt;Cancelled"))</f>
        <v/>
      </c>
      <c r="AL323" s="27" t="str">
        <f aca="false">IF($AK323="","",IF($AK323&gt;'Rules &amp; Guardrails'!$C$3,"Over cap","OK"))</f>
        <v/>
      </c>
      <c r="AM323" s="27" t="str">
        <f aca="false">IF(OR($O323="",$K323=""),"",IF(COUNTIFS('Comms Calendar'!$K$5:$K$504,$K323,'Comms Calendar'!$B$5:$B$504,$B323,'Comms Calendar'!$O$5:$O$504,$O323,'Comms Calendar'!$AE$5:$AE$504,"&lt;&gt;Cancelled")&gt;1,"Clash",""))</f>
        <v/>
      </c>
      <c r="AN323" s="27" t="str">
        <f aca="false">IF($O323="","",IF(IF($B323="Global",COUNTIF('Rules &amp; Guardrails'!$F$9:$F$60,$O323),COUNTIFS('Rules &amp; Guardrails'!$F$9:$F$60,$O323,'Rules &amp; Guardrails'!$G$9:$G$60,$B323)+COUNTIFS('Rules &amp; Guardrails'!$F$9:$F$60,$O323,'Rules &amp; Guardrails'!$G$9:$G$60,"Global"))&gt;0,"Blackout",""))</f>
        <v/>
      </c>
      <c r="AO323" s="6"/>
      <c r="AP323" s="25"/>
      <c r="AQ323" s="23"/>
      <c r="AR323" s="31" t="str">
        <f aca="false">IF($D323="","",IFERROR(VLOOKUP($D323,'Rules &amp; Guardrails'!$A$9:$D$24,2,0),"Other"))</f>
        <v/>
      </c>
      <c r="AS323" s="31" t="str">
        <f aca="false">IF($O323="","",$O323&amp;"|"&amp;$B323)</f>
        <v/>
      </c>
    </row>
    <row r="324" customFormat="false" ht="15" hidden="false" customHeight="false" outlineLevel="0" collapsed="false">
      <c r="A324" s="23"/>
      <c r="B324" s="23"/>
      <c r="C324" s="23"/>
      <c r="D324" s="23"/>
      <c r="E324" s="23"/>
      <c r="F324" s="23"/>
      <c r="G324" s="6"/>
      <c r="H324" s="6"/>
      <c r="I324" s="23"/>
      <c r="J324" s="23"/>
      <c r="K324" s="23"/>
      <c r="L324" s="6"/>
      <c r="M324" s="6"/>
      <c r="N324" s="24"/>
      <c r="O324" s="25"/>
      <c r="P324" s="23"/>
      <c r="Q324" s="23"/>
      <c r="R324" s="23"/>
      <c r="S324" s="23"/>
      <c r="T324" s="26" t="str">
        <f aca="false">IF(OR($O324="",$D324=""),"",WORKDAY($O324,-IFERROR(VLOOKUP($D324,'Rules &amp; Guardrails'!$A$9:$D$24,3,0),10)))</f>
        <v/>
      </c>
      <c r="U324" s="23"/>
      <c r="V324" s="23"/>
      <c r="W324" s="23"/>
      <c r="X324" s="6"/>
      <c r="Y324" s="23"/>
      <c r="Z324" s="23"/>
      <c r="AA324" s="23"/>
      <c r="AB324" s="23"/>
      <c r="AC324" s="23"/>
      <c r="AD324" s="23"/>
      <c r="AE324" s="23"/>
      <c r="AF324" s="27" t="str">
        <f aca="true">IF($O324="","",IF(OR($AE324="Cancelled",$AE324="On hold",$AE324="Launched"),$AE324,IF(AND($Y324="Approved",OR($Z324="Yes",$Z324="N/A"),OR($AA324="Yes",$AA324="N/A"),OR($AB324="No",$AB324="N/A",AND($AB324="Yes",$AD324="Yes"))),"Ready",IF($O324&lt;TODAY(),"Overdue",IF($O324-TODAY()&lt;='Rules &amp; Guardrails'!$C$5,"At Risk","In Progress")))))</f>
        <v/>
      </c>
      <c r="AG324" s="28" t="str">
        <f aca="false">IF($O324="","",IF(OR($AE324="Launched",$AE324="Cancelled"),"",MID(IF($Y324&lt;&gt;"Approved",", Content approval","")&amp;IF(NOT(OR($Z324="Yes",$Z324="N/A")),", Assets","")&amp;IF(NOT(OR($AA324="Yes",$AA324="N/A")),", List","")&amp;IF($AB324="",", Ops decision",IF(AND($AB324="Yes",$AD324&lt;&gt;"Yes"),", Ops",""))&amp;IF($U324="",", Owner","")&amp;IF($K324="",", Segment",""),3,200)))</f>
        <v/>
      </c>
      <c r="AH324" s="29" t="str">
        <f aca="true">IF($O324="","",$O324-TODAY())</f>
        <v/>
      </c>
      <c r="AI324" s="26" t="str">
        <f aca="false">IF($O324="","",$O324-WEEKDAY($O324,3))</f>
        <v/>
      </c>
      <c r="AJ324" s="30" t="str">
        <f aca="false">IF($O324="","",DATE(YEAR($O324),MONTH($O324),1))</f>
        <v/>
      </c>
      <c r="AK324" s="31" t="str">
        <f aca="false">IF(OR($O324="",$K324=""),"",COUNTIFS('Comms Calendar'!$K$5:$K$504,$K324,'Comms Calendar'!$B$5:$B$504,$B324,'Comms Calendar'!$AI$5:$AI$504,$AI324,'Comms Calendar'!$AE$5:$AE$504,"&lt;&gt;Cancelled"))</f>
        <v/>
      </c>
      <c r="AL324" s="27" t="str">
        <f aca="false">IF($AK324="","",IF($AK324&gt;'Rules &amp; Guardrails'!$C$3,"Over cap","OK"))</f>
        <v/>
      </c>
      <c r="AM324" s="27" t="str">
        <f aca="false">IF(OR($O324="",$K324=""),"",IF(COUNTIFS('Comms Calendar'!$K$5:$K$504,$K324,'Comms Calendar'!$B$5:$B$504,$B324,'Comms Calendar'!$O$5:$O$504,$O324,'Comms Calendar'!$AE$5:$AE$504,"&lt;&gt;Cancelled")&gt;1,"Clash",""))</f>
        <v/>
      </c>
      <c r="AN324" s="27" t="str">
        <f aca="false">IF($O324="","",IF(IF($B324="Global",COUNTIF('Rules &amp; Guardrails'!$F$9:$F$60,$O324),COUNTIFS('Rules &amp; Guardrails'!$F$9:$F$60,$O324,'Rules &amp; Guardrails'!$G$9:$G$60,$B324)+COUNTIFS('Rules &amp; Guardrails'!$F$9:$F$60,$O324,'Rules &amp; Guardrails'!$G$9:$G$60,"Global"))&gt;0,"Blackout",""))</f>
        <v/>
      </c>
      <c r="AO324" s="6"/>
      <c r="AP324" s="25"/>
      <c r="AQ324" s="23"/>
      <c r="AR324" s="31" t="str">
        <f aca="false">IF($D324="","",IFERROR(VLOOKUP($D324,'Rules &amp; Guardrails'!$A$9:$D$24,2,0),"Other"))</f>
        <v/>
      </c>
      <c r="AS324" s="31" t="str">
        <f aca="false">IF($O324="","",$O324&amp;"|"&amp;$B324)</f>
        <v/>
      </c>
    </row>
    <row r="325" customFormat="false" ht="15" hidden="false" customHeight="false" outlineLevel="0" collapsed="false">
      <c r="A325" s="23"/>
      <c r="B325" s="23"/>
      <c r="C325" s="23"/>
      <c r="D325" s="23"/>
      <c r="E325" s="23"/>
      <c r="F325" s="23"/>
      <c r="G325" s="6"/>
      <c r="H325" s="6"/>
      <c r="I325" s="23"/>
      <c r="J325" s="23"/>
      <c r="K325" s="23"/>
      <c r="L325" s="6"/>
      <c r="M325" s="6"/>
      <c r="N325" s="24"/>
      <c r="O325" s="25"/>
      <c r="P325" s="23"/>
      <c r="Q325" s="23"/>
      <c r="R325" s="23"/>
      <c r="S325" s="23"/>
      <c r="T325" s="26" t="str">
        <f aca="false">IF(OR($O325="",$D325=""),"",WORKDAY($O325,-IFERROR(VLOOKUP($D325,'Rules &amp; Guardrails'!$A$9:$D$24,3,0),10)))</f>
        <v/>
      </c>
      <c r="U325" s="23"/>
      <c r="V325" s="23"/>
      <c r="W325" s="23"/>
      <c r="X325" s="6"/>
      <c r="Y325" s="23"/>
      <c r="Z325" s="23"/>
      <c r="AA325" s="23"/>
      <c r="AB325" s="23"/>
      <c r="AC325" s="23"/>
      <c r="AD325" s="23"/>
      <c r="AE325" s="23"/>
      <c r="AF325" s="27" t="str">
        <f aca="true">IF($O325="","",IF(OR($AE325="Cancelled",$AE325="On hold",$AE325="Launched"),$AE325,IF(AND($Y325="Approved",OR($Z325="Yes",$Z325="N/A"),OR($AA325="Yes",$AA325="N/A"),OR($AB325="No",$AB325="N/A",AND($AB325="Yes",$AD325="Yes"))),"Ready",IF($O325&lt;TODAY(),"Overdue",IF($O325-TODAY()&lt;='Rules &amp; Guardrails'!$C$5,"At Risk","In Progress")))))</f>
        <v/>
      </c>
      <c r="AG325" s="28" t="str">
        <f aca="false">IF($O325="","",IF(OR($AE325="Launched",$AE325="Cancelled"),"",MID(IF($Y325&lt;&gt;"Approved",", Content approval","")&amp;IF(NOT(OR($Z325="Yes",$Z325="N/A")),", Assets","")&amp;IF(NOT(OR($AA325="Yes",$AA325="N/A")),", List","")&amp;IF($AB325="",", Ops decision",IF(AND($AB325="Yes",$AD325&lt;&gt;"Yes"),", Ops",""))&amp;IF($U325="",", Owner","")&amp;IF($K325="",", Segment",""),3,200)))</f>
        <v/>
      </c>
      <c r="AH325" s="29" t="str">
        <f aca="true">IF($O325="","",$O325-TODAY())</f>
        <v/>
      </c>
      <c r="AI325" s="26" t="str">
        <f aca="false">IF($O325="","",$O325-WEEKDAY($O325,3))</f>
        <v/>
      </c>
      <c r="AJ325" s="30" t="str">
        <f aca="false">IF($O325="","",DATE(YEAR($O325),MONTH($O325),1))</f>
        <v/>
      </c>
      <c r="AK325" s="31" t="str">
        <f aca="false">IF(OR($O325="",$K325=""),"",COUNTIFS('Comms Calendar'!$K$5:$K$504,$K325,'Comms Calendar'!$B$5:$B$504,$B325,'Comms Calendar'!$AI$5:$AI$504,$AI325,'Comms Calendar'!$AE$5:$AE$504,"&lt;&gt;Cancelled"))</f>
        <v/>
      </c>
      <c r="AL325" s="27" t="str">
        <f aca="false">IF($AK325="","",IF($AK325&gt;'Rules &amp; Guardrails'!$C$3,"Over cap","OK"))</f>
        <v/>
      </c>
      <c r="AM325" s="27" t="str">
        <f aca="false">IF(OR($O325="",$K325=""),"",IF(COUNTIFS('Comms Calendar'!$K$5:$K$504,$K325,'Comms Calendar'!$B$5:$B$504,$B325,'Comms Calendar'!$O$5:$O$504,$O325,'Comms Calendar'!$AE$5:$AE$504,"&lt;&gt;Cancelled")&gt;1,"Clash",""))</f>
        <v/>
      </c>
      <c r="AN325" s="27" t="str">
        <f aca="false">IF($O325="","",IF(IF($B325="Global",COUNTIF('Rules &amp; Guardrails'!$F$9:$F$60,$O325),COUNTIFS('Rules &amp; Guardrails'!$F$9:$F$60,$O325,'Rules &amp; Guardrails'!$G$9:$G$60,$B325)+COUNTIFS('Rules &amp; Guardrails'!$F$9:$F$60,$O325,'Rules &amp; Guardrails'!$G$9:$G$60,"Global"))&gt;0,"Blackout",""))</f>
        <v/>
      </c>
      <c r="AO325" s="6"/>
      <c r="AP325" s="25"/>
      <c r="AQ325" s="23"/>
      <c r="AR325" s="31" t="str">
        <f aca="false">IF($D325="","",IFERROR(VLOOKUP($D325,'Rules &amp; Guardrails'!$A$9:$D$24,2,0),"Other"))</f>
        <v/>
      </c>
      <c r="AS325" s="31" t="str">
        <f aca="false">IF($O325="","",$O325&amp;"|"&amp;$B325)</f>
        <v/>
      </c>
    </row>
    <row r="326" customFormat="false" ht="15" hidden="false" customHeight="false" outlineLevel="0" collapsed="false">
      <c r="A326" s="23"/>
      <c r="B326" s="23"/>
      <c r="C326" s="23"/>
      <c r="D326" s="23"/>
      <c r="E326" s="23"/>
      <c r="F326" s="23"/>
      <c r="G326" s="6"/>
      <c r="H326" s="6"/>
      <c r="I326" s="23"/>
      <c r="J326" s="23"/>
      <c r="K326" s="23"/>
      <c r="L326" s="6"/>
      <c r="M326" s="6"/>
      <c r="N326" s="24"/>
      <c r="O326" s="25"/>
      <c r="P326" s="23"/>
      <c r="Q326" s="23"/>
      <c r="R326" s="23"/>
      <c r="S326" s="23"/>
      <c r="T326" s="26" t="str">
        <f aca="false">IF(OR($O326="",$D326=""),"",WORKDAY($O326,-IFERROR(VLOOKUP($D326,'Rules &amp; Guardrails'!$A$9:$D$24,3,0),10)))</f>
        <v/>
      </c>
      <c r="U326" s="23"/>
      <c r="V326" s="23"/>
      <c r="W326" s="23"/>
      <c r="X326" s="6"/>
      <c r="Y326" s="23"/>
      <c r="Z326" s="23"/>
      <c r="AA326" s="23"/>
      <c r="AB326" s="23"/>
      <c r="AC326" s="23"/>
      <c r="AD326" s="23"/>
      <c r="AE326" s="23"/>
      <c r="AF326" s="27" t="str">
        <f aca="true">IF($O326="","",IF(OR($AE326="Cancelled",$AE326="On hold",$AE326="Launched"),$AE326,IF(AND($Y326="Approved",OR($Z326="Yes",$Z326="N/A"),OR($AA326="Yes",$AA326="N/A"),OR($AB326="No",$AB326="N/A",AND($AB326="Yes",$AD326="Yes"))),"Ready",IF($O326&lt;TODAY(),"Overdue",IF($O326-TODAY()&lt;='Rules &amp; Guardrails'!$C$5,"At Risk","In Progress")))))</f>
        <v/>
      </c>
      <c r="AG326" s="28" t="str">
        <f aca="false">IF($O326="","",IF(OR($AE326="Launched",$AE326="Cancelled"),"",MID(IF($Y326&lt;&gt;"Approved",", Content approval","")&amp;IF(NOT(OR($Z326="Yes",$Z326="N/A")),", Assets","")&amp;IF(NOT(OR($AA326="Yes",$AA326="N/A")),", List","")&amp;IF($AB326="",", Ops decision",IF(AND($AB326="Yes",$AD326&lt;&gt;"Yes"),", Ops",""))&amp;IF($U326="",", Owner","")&amp;IF($K326="",", Segment",""),3,200)))</f>
        <v/>
      </c>
      <c r="AH326" s="29" t="str">
        <f aca="true">IF($O326="","",$O326-TODAY())</f>
        <v/>
      </c>
      <c r="AI326" s="26" t="str">
        <f aca="false">IF($O326="","",$O326-WEEKDAY($O326,3))</f>
        <v/>
      </c>
      <c r="AJ326" s="30" t="str">
        <f aca="false">IF($O326="","",DATE(YEAR($O326),MONTH($O326),1))</f>
        <v/>
      </c>
      <c r="AK326" s="31" t="str">
        <f aca="false">IF(OR($O326="",$K326=""),"",COUNTIFS('Comms Calendar'!$K$5:$K$504,$K326,'Comms Calendar'!$B$5:$B$504,$B326,'Comms Calendar'!$AI$5:$AI$504,$AI326,'Comms Calendar'!$AE$5:$AE$504,"&lt;&gt;Cancelled"))</f>
        <v/>
      </c>
      <c r="AL326" s="27" t="str">
        <f aca="false">IF($AK326="","",IF($AK326&gt;'Rules &amp; Guardrails'!$C$3,"Over cap","OK"))</f>
        <v/>
      </c>
      <c r="AM326" s="27" t="str">
        <f aca="false">IF(OR($O326="",$K326=""),"",IF(COUNTIFS('Comms Calendar'!$K$5:$K$504,$K326,'Comms Calendar'!$B$5:$B$504,$B326,'Comms Calendar'!$O$5:$O$504,$O326,'Comms Calendar'!$AE$5:$AE$504,"&lt;&gt;Cancelled")&gt;1,"Clash",""))</f>
        <v/>
      </c>
      <c r="AN326" s="27" t="str">
        <f aca="false">IF($O326="","",IF(IF($B326="Global",COUNTIF('Rules &amp; Guardrails'!$F$9:$F$60,$O326),COUNTIFS('Rules &amp; Guardrails'!$F$9:$F$60,$O326,'Rules &amp; Guardrails'!$G$9:$G$60,$B326)+COUNTIFS('Rules &amp; Guardrails'!$F$9:$F$60,$O326,'Rules &amp; Guardrails'!$G$9:$G$60,"Global"))&gt;0,"Blackout",""))</f>
        <v/>
      </c>
      <c r="AO326" s="6"/>
      <c r="AP326" s="25"/>
      <c r="AQ326" s="23"/>
      <c r="AR326" s="31" t="str">
        <f aca="false">IF($D326="","",IFERROR(VLOOKUP($D326,'Rules &amp; Guardrails'!$A$9:$D$24,2,0),"Other"))</f>
        <v/>
      </c>
      <c r="AS326" s="31" t="str">
        <f aca="false">IF($O326="","",$O326&amp;"|"&amp;$B326)</f>
        <v/>
      </c>
    </row>
    <row r="327" customFormat="false" ht="15" hidden="false" customHeight="false" outlineLevel="0" collapsed="false">
      <c r="A327" s="23"/>
      <c r="B327" s="23"/>
      <c r="C327" s="23"/>
      <c r="D327" s="23"/>
      <c r="E327" s="23"/>
      <c r="F327" s="23"/>
      <c r="G327" s="6"/>
      <c r="H327" s="6"/>
      <c r="I327" s="23"/>
      <c r="J327" s="23"/>
      <c r="K327" s="23"/>
      <c r="L327" s="6"/>
      <c r="M327" s="6"/>
      <c r="N327" s="24"/>
      <c r="O327" s="25"/>
      <c r="P327" s="23"/>
      <c r="Q327" s="23"/>
      <c r="R327" s="23"/>
      <c r="S327" s="23"/>
      <c r="T327" s="26" t="str">
        <f aca="false">IF(OR($O327="",$D327=""),"",WORKDAY($O327,-IFERROR(VLOOKUP($D327,'Rules &amp; Guardrails'!$A$9:$D$24,3,0),10)))</f>
        <v/>
      </c>
      <c r="U327" s="23"/>
      <c r="V327" s="23"/>
      <c r="W327" s="23"/>
      <c r="X327" s="6"/>
      <c r="Y327" s="23"/>
      <c r="Z327" s="23"/>
      <c r="AA327" s="23"/>
      <c r="AB327" s="23"/>
      <c r="AC327" s="23"/>
      <c r="AD327" s="23"/>
      <c r="AE327" s="23"/>
      <c r="AF327" s="27" t="str">
        <f aca="true">IF($O327="","",IF(OR($AE327="Cancelled",$AE327="On hold",$AE327="Launched"),$AE327,IF(AND($Y327="Approved",OR($Z327="Yes",$Z327="N/A"),OR($AA327="Yes",$AA327="N/A"),OR($AB327="No",$AB327="N/A",AND($AB327="Yes",$AD327="Yes"))),"Ready",IF($O327&lt;TODAY(),"Overdue",IF($O327-TODAY()&lt;='Rules &amp; Guardrails'!$C$5,"At Risk","In Progress")))))</f>
        <v/>
      </c>
      <c r="AG327" s="28" t="str">
        <f aca="false">IF($O327="","",IF(OR($AE327="Launched",$AE327="Cancelled"),"",MID(IF($Y327&lt;&gt;"Approved",", Content approval","")&amp;IF(NOT(OR($Z327="Yes",$Z327="N/A")),", Assets","")&amp;IF(NOT(OR($AA327="Yes",$AA327="N/A")),", List","")&amp;IF($AB327="",", Ops decision",IF(AND($AB327="Yes",$AD327&lt;&gt;"Yes"),", Ops",""))&amp;IF($U327="",", Owner","")&amp;IF($K327="",", Segment",""),3,200)))</f>
        <v/>
      </c>
      <c r="AH327" s="29" t="str">
        <f aca="true">IF($O327="","",$O327-TODAY())</f>
        <v/>
      </c>
      <c r="AI327" s="26" t="str">
        <f aca="false">IF($O327="","",$O327-WEEKDAY($O327,3))</f>
        <v/>
      </c>
      <c r="AJ327" s="30" t="str">
        <f aca="false">IF($O327="","",DATE(YEAR($O327),MONTH($O327),1))</f>
        <v/>
      </c>
      <c r="AK327" s="31" t="str">
        <f aca="false">IF(OR($O327="",$K327=""),"",COUNTIFS('Comms Calendar'!$K$5:$K$504,$K327,'Comms Calendar'!$B$5:$B$504,$B327,'Comms Calendar'!$AI$5:$AI$504,$AI327,'Comms Calendar'!$AE$5:$AE$504,"&lt;&gt;Cancelled"))</f>
        <v/>
      </c>
      <c r="AL327" s="27" t="str">
        <f aca="false">IF($AK327="","",IF($AK327&gt;'Rules &amp; Guardrails'!$C$3,"Over cap","OK"))</f>
        <v/>
      </c>
      <c r="AM327" s="27" t="str">
        <f aca="false">IF(OR($O327="",$K327=""),"",IF(COUNTIFS('Comms Calendar'!$K$5:$K$504,$K327,'Comms Calendar'!$B$5:$B$504,$B327,'Comms Calendar'!$O$5:$O$504,$O327,'Comms Calendar'!$AE$5:$AE$504,"&lt;&gt;Cancelled")&gt;1,"Clash",""))</f>
        <v/>
      </c>
      <c r="AN327" s="27" t="str">
        <f aca="false">IF($O327="","",IF(IF($B327="Global",COUNTIF('Rules &amp; Guardrails'!$F$9:$F$60,$O327),COUNTIFS('Rules &amp; Guardrails'!$F$9:$F$60,$O327,'Rules &amp; Guardrails'!$G$9:$G$60,$B327)+COUNTIFS('Rules &amp; Guardrails'!$F$9:$F$60,$O327,'Rules &amp; Guardrails'!$G$9:$G$60,"Global"))&gt;0,"Blackout",""))</f>
        <v/>
      </c>
      <c r="AO327" s="6"/>
      <c r="AP327" s="25"/>
      <c r="AQ327" s="23"/>
      <c r="AR327" s="31" t="str">
        <f aca="false">IF($D327="","",IFERROR(VLOOKUP($D327,'Rules &amp; Guardrails'!$A$9:$D$24,2,0),"Other"))</f>
        <v/>
      </c>
      <c r="AS327" s="31" t="str">
        <f aca="false">IF($O327="","",$O327&amp;"|"&amp;$B327)</f>
        <v/>
      </c>
    </row>
    <row r="328" customFormat="false" ht="15" hidden="false" customHeight="false" outlineLevel="0" collapsed="false">
      <c r="A328" s="23"/>
      <c r="B328" s="23"/>
      <c r="C328" s="23"/>
      <c r="D328" s="23"/>
      <c r="E328" s="23"/>
      <c r="F328" s="23"/>
      <c r="G328" s="6"/>
      <c r="H328" s="6"/>
      <c r="I328" s="23"/>
      <c r="J328" s="23"/>
      <c r="K328" s="23"/>
      <c r="L328" s="6"/>
      <c r="M328" s="6"/>
      <c r="N328" s="24"/>
      <c r="O328" s="25"/>
      <c r="P328" s="23"/>
      <c r="Q328" s="23"/>
      <c r="R328" s="23"/>
      <c r="S328" s="23"/>
      <c r="T328" s="26" t="str">
        <f aca="false">IF(OR($O328="",$D328=""),"",WORKDAY($O328,-IFERROR(VLOOKUP($D328,'Rules &amp; Guardrails'!$A$9:$D$24,3,0),10)))</f>
        <v/>
      </c>
      <c r="U328" s="23"/>
      <c r="V328" s="23"/>
      <c r="W328" s="23"/>
      <c r="X328" s="6"/>
      <c r="Y328" s="23"/>
      <c r="Z328" s="23"/>
      <c r="AA328" s="23"/>
      <c r="AB328" s="23"/>
      <c r="AC328" s="23"/>
      <c r="AD328" s="23"/>
      <c r="AE328" s="23"/>
      <c r="AF328" s="27" t="str">
        <f aca="true">IF($O328="","",IF(OR($AE328="Cancelled",$AE328="On hold",$AE328="Launched"),$AE328,IF(AND($Y328="Approved",OR($Z328="Yes",$Z328="N/A"),OR($AA328="Yes",$AA328="N/A"),OR($AB328="No",$AB328="N/A",AND($AB328="Yes",$AD328="Yes"))),"Ready",IF($O328&lt;TODAY(),"Overdue",IF($O328-TODAY()&lt;='Rules &amp; Guardrails'!$C$5,"At Risk","In Progress")))))</f>
        <v/>
      </c>
      <c r="AG328" s="28" t="str">
        <f aca="false">IF($O328="","",IF(OR($AE328="Launched",$AE328="Cancelled"),"",MID(IF($Y328&lt;&gt;"Approved",", Content approval","")&amp;IF(NOT(OR($Z328="Yes",$Z328="N/A")),", Assets","")&amp;IF(NOT(OR($AA328="Yes",$AA328="N/A")),", List","")&amp;IF($AB328="",", Ops decision",IF(AND($AB328="Yes",$AD328&lt;&gt;"Yes"),", Ops",""))&amp;IF($U328="",", Owner","")&amp;IF($K328="",", Segment",""),3,200)))</f>
        <v/>
      </c>
      <c r="AH328" s="29" t="str">
        <f aca="true">IF($O328="","",$O328-TODAY())</f>
        <v/>
      </c>
      <c r="AI328" s="26" t="str">
        <f aca="false">IF($O328="","",$O328-WEEKDAY($O328,3))</f>
        <v/>
      </c>
      <c r="AJ328" s="30" t="str">
        <f aca="false">IF($O328="","",DATE(YEAR($O328),MONTH($O328),1))</f>
        <v/>
      </c>
      <c r="AK328" s="31" t="str">
        <f aca="false">IF(OR($O328="",$K328=""),"",COUNTIFS('Comms Calendar'!$K$5:$K$504,$K328,'Comms Calendar'!$B$5:$B$504,$B328,'Comms Calendar'!$AI$5:$AI$504,$AI328,'Comms Calendar'!$AE$5:$AE$504,"&lt;&gt;Cancelled"))</f>
        <v/>
      </c>
      <c r="AL328" s="27" t="str">
        <f aca="false">IF($AK328="","",IF($AK328&gt;'Rules &amp; Guardrails'!$C$3,"Over cap","OK"))</f>
        <v/>
      </c>
      <c r="AM328" s="27" t="str">
        <f aca="false">IF(OR($O328="",$K328=""),"",IF(COUNTIFS('Comms Calendar'!$K$5:$K$504,$K328,'Comms Calendar'!$B$5:$B$504,$B328,'Comms Calendar'!$O$5:$O$504,$O328,'Comms Calendar'!$AE$5:$AE$504,"&lt;&gt;Cancelled")&gt;1,"Clash",""))</f>
        <v/>
      </c>
      <c r="AN328" s="27" t="str">
        <f aca="false">IF($O328="","",IF(IF($B328="Global",COUNTIF('Rules &amp; Guardrails'!$F$9:$F$60,$O328),COUNTIFS('Rules &amp; Guardrails'!$F$9:$F$60,$O328,'Rules &amp; Guardrails'!$G$9:$G$60,$B328)+COUNTIFS('Rules &amp; Guardrails'!$F$9:$F$60,$O328,'Rules &amp; Guardrails'!$G$9:$G$60,"Global"))&gt;0,"Blackout",""))</f>
        <v/>
      </c>
      <c r="AO328" s="6"/>
      <c r="AP328" s="25"/>
      <c r="AQ328" s="23"/>
      <c r="AR328" s="31" t="str">
        <f aca="false">IF($D328="","",IFERROR(VLOOKUP($D328,'Rules &amp; Guardrails'!$A$9:$D$24,2,0),"Other"))</f>
        <v/>
      </c>
      <c r="AS328" s="31" t="str">
        <f aca="false">IF($O328="","",$O328&amp;"|"&amp;$B328)</f>
        <v/>
      </c>
    </row>
    <row r="329" customFormat="false" ht="15" hidden="false" customHeight="false" outlineLevel="0" collapsed="false">
      <c r="A329" s="23"/>
      <c r="B329" s="23"/>
      <c r="C329" s="23"/>
      <c r="D329" s="23"/>
      <c r="E329" s="23"/>
      <c r="F329" s="23"/>
      <c r="G329" s="6"/>
      <c r="H329" s="6"/>
      <c r="I329" s="23"/>
      <c r="J329" s="23"/>
      <c r="K329" s="23"/>
      <c r="L329" s="6"/>
      <c r="M329" s="6"/>
      <c r="N329" s="24"/>
      <c r="O329" s="25"/>
      <c r="P329" s="23"/>
      <c r="Q329" s="23"/>
      <c r="R329" s="23"/>
      <c r="S329" s="23"/>
      <c r="T329" s="26" t="str">
        <f aca="false">IF(OR($O329="",$D329=""),"",WORKDAY($O329,-IFERROR(VLOOKUP($D329,'Rules &amp; Guardrails'!$A$9:$D$24,3,0),10)))</f>
        <v/>
      </c>
      <c r="U329" s="23"/>
      <c r="V329" s="23"/>
      <c r="W329" s="23"/>
      <c r="X329" s="6"/>
      <c r="Y329" s="23"/>
      <c r="Z329" s="23"/>
      <c r="AA329" s="23"/>
      <c r="AB329" s="23"/>
      <c r="AC329" s="23"/>
      <c r="AD329" s="23"/>
      <c r="AE329" s="23"/>
      <c r="AF329" s="27" t="str">
        <f aca="true">IF($O329="","",IF(OR($AE329="Cancelled",$AE329="On hold",$AE329="Launched"),$AE329,IF(AND($Y329="Approved",OR($Z329="Yes",$Z329="N/A"),OR($AA329="Yes",$AA329="N/A"),OR($AB329="No",$AB329="N/A",AND($AB329="Yes",$AD329="Yes"))),"Ready",IF($O329&lt;TODAY(),"Overdue",IF($O329-TODAY()&lt;='Rules &amp; Guardrails'!$C$5,"At Risk","In Progress")))))</f>
        <v/>
      </c>
      <c r="AG329" s="28" t="str">
        <f aca="false">IF($O329="","",IF(OR($AE329="Launched",$AE329="Cancelled"),"",MID(IF($Y329&lt;&gt;"Approved",", Content approval","")&amp;IF(NOT(OR($Z329="Yes",$Z329="N/A")),", Assets","")&amp;IF(NOT(OR($AA329="Yes",$AA329="N/A")),", List","")&amp;IF($AB329="",", Ops decision",IF(AND($AB329="Yes",$AD329&lt;&gt;"Yes"),", Ops",""))&amp;IF($U329="",", Owner","")&amp;IF($K329="",", Segment",""),3,200)))</f>
        <v/>
      </c>
      <c r="AH329" s="29" t="str">
        <f aca="true">IF($O329="","",$O329-TODAY())</f>
        <v/>
      </c>
      <c r="AI329" s="26" t="str">
        <f aca="false">IF($O329="","",$O329-WEEKDAY($O329,3))</f>
        <v/>
      </c>
      <c r="AJ329" s="30" t="str">
        <f aca="false">IF($O329="","",DATE(YEAR($O329),MONTH($O329),1))</f>
        <v/>
      </c>
      <c r="AK329" s="31" t="str">
        <f aca="false">IF(OR($O329="",$K329=""),"",COUNTIFS('Comms Calendar'!$K$5:$K$504,$K329,'Comms Calendar'!$B$5:$B$504,$B329,'Comms Calendar'!$AI$5:$AI$504,$AI329,'Comms Calendar'!$AE$5:$AE$504,"&lt;&gt;Cancelled"))</f>
        <v/>
      </c>
      <c r="AL329" s="27" t="str">
        <f aca="false">IF($AK329="","",IF($AK329&gt;'Rules &amp; Guardrails'!$C$3,"Over cap","OK"))</f>
        <v/>
      </c>
      <c r="AM329" s="27" t="str">
        <f aca="false">IF(OR($O329="",$K329=""),"",IF(COUNTIFS('Comms Calendar'!$K$5:$K$504,$K329,'Comms Calendar'!$B$5:$B$504,$B329,'Comms Calendar'!$O$5:$O$504,$O329,'Comms Calendar'!$AE$5:$AE$504,"&lt;&gt;Cancelled")&gt;1,"Clash",""))</f>
        <v/>
      </c>
      <c r="AN329" s="27" t="str">
        <f aca="false">IF($O329="","",IF(IF($B329="Global",COUNTIF('Rules &amp; Guardrails'!$F$9:$F$60,$O329),COUNTIFS('Rules &amp; Guardrails'!$F$9:$F$60,$O329,'Rules &amp; Guardrails'!$G$9:$G$60,$B329)+COUNTIFS('Rules &amp; Guardrails'!$F$9:$F$60,$O329,'Rules &amp; Guardrails'!$G$9:$G$60,"Global"))&gt;0,"Blackout",""))</f>
        <v/>
      </c>
      <c r="AO329" s="6"/>
      <c r="AP329" s="25"/>
      <c r="AQ329" s="23"/>
      <c r="AR329" s="31" t="str">
        <f aca="false">IF($D329="","",IFERROR(VLOOKUP($D329,'Rules &amp; Guardrails'!$A$9:$D$24,2,0),"Other"))</f>
        <v/>
      </c>
      <c r="AS329" s="31" t="str">
        <f aca="false">IF($O329="","",$O329&amp;"|"&amp;$B329)</f>
        <v/>
      </c>
    </row>
    <row r="330" customFormat="false" ht="15" hidden="false" customHeight="false" outlineLevel="0" collapsed="false">
      <c r="A330" s="23"/>
      <c r="B330" s="23"/>
      <c r="C330" s="23"/>
      <c r="D330" s="23"/>
      <c r="E330" s="23"/>
      <c r="F330" s="23"/>
      <c r="G330" s="6"/>
      <c r="H330" s="6"/>
      <c r="I330" s="23"/>
      <c r="J330" s="23"/>
      <c r="K330" s="23"/>
      <c r="L330" s="6"/>
      <c r="M330" s="6"/>
      <c r="N330" s="24"/>
      <c r="O330" s="25"/>
      <c r="P330" s="23"/>
      <c r="Q330" s="23"/>
      <c r="R330" s="23"/>
      <c r="S330" s="23"/>
      <c r="T330" s="26" t="str">
        <f aca="false">IF(OR($O330="",$D330=""),"",WORKDAY($O330,-IFERROR(VLOOKUP($D330,'Rules &amp; Guardrails'!$A$9:$D$24,3,0),10)))</f>
        <v/>
      </c>
      <c r="U330" s="23"/>
      <c r="V330" s="23"/>
      <c r="W330" s="23"/>
      <c r="X330" s="6"/>
      <c r="Y330" s="23"/>
      <c r="Z330" s="23"/>
      <c r="AA330" s="23"/>
      <c r="AB330" s="23"/>
      <c r="AC330" s="23"/>
      <c r="AD330" s="23"/>
      <c r="AE330" s="23"/>
      <c r="AF330" s="27" t="str">
        <f aca="true">IF($O330="","",IF(OR($AE330="Cancelled",$AE330="On hold",$AE330="Launched"),$AE330,IF(AND($Y330="Approved",OR($Z330="Yes",$Z330="N/A"),OR($AA330="Yes",$AA330="N/A"),OR($AB330="No",$AB330="N/A",AND($AB330="Yes",$AD330="Yes"))),"Ready",IF($O330&lt;TODAY(),"Overdue",IF($O330-TODAY()&lt;='Rules &amp; Guardrails'!$C$5,"At Risk","In Progress")))))</f>
        <v/>
      </c>
      <c r="AG330" s="28" t="str">
        <f aca="false">IF($O330="","",IF(OR($AE330="Launched",$AE330="Cancelled"),"",MID(IF($Y330&lt;&gt;"Approved",", Content approval","")&amp;IF(NOT(OR($Z330="Yes",$Z330="N/A")),", Assets","")&amp;IF(NOT(OR($AA330="Yes",$AA330="N/A")),", List","")&amp;IF($AB330="",", Ops decision",IF(AND($AB330="Yes",$AD330&lt;&gt;"Yes"),", Ops",""))&amp;IF($U330="",", Owner","")&amp;IF($K330="",", Segment",""),3,200)))</f>
        <v/>
      </c>
      <c r="AH330" s="29" t="str">
        <f aca="true">IF($O330="","",$O330-TODAY())</f>
        <v/>
      </c>
      <c r="AI330" s="26" t="str">
        <f aca="false">IF($O330="","",$O330-WEEKDAY($O330,3))</f>
        <v/>
      </c>
      <c r="AJ330" s="30" t="str">
        <f aca="false">IF($O330="","",DATE(YEAR($O330),MONTH($O330),1))</f>
        <v/>
      </c>
      <c r="AK330" s="31" t="str">
        <f aca="false">IF(OR($O330="",$K330=""),"",COUNTIFS('Comms Calendar'!$K$5:$K$504,$K330,'Comms Calendar'!$B$5:$B$504,$B330,'Comms Calendar'!$AI$5:$AI$504,$AI330,'Comms Calendar'!$AE$5:$AE$504,"&lt;&gt;Cancelled"))</f>
        <v/>
      </c>
      <c r="AL330" s="27" t="str">
        <f aca="false">IF($AK330="","",IF($AK330&gt;'Rules &amp; Guardrails'!$C$3,"Over cap","OK"))</f>
        <v/>
      </c>
      <c r="AM330" s="27" t="str">
        <f aca="false">IF(OR($O330="",$K330=""),"",IF(COUNTIFS('Comms Calendar'!$K$5:$K$504,$K330,'Comms Calendar'!$B$5:$B$504,$B330,'Comms Calendar'!$O$5:$O$504,$O330,'Comms Calendar'!$AE$5:$AE$504,"&lt;&gt;Cancelled")&gt;1,"Clash",""))</f>
        <v/>
      </c>
      <c r="AN330" s="27" t="str">
        <f aca="false">IF($O330="","",IF(IF($B330="Global",COUNTIF('Rules &amp; Guardrails'!$F$9:$F$60,$O330),COUNTIFS('Rules &amp; Guardrails'!$F$9:$F$60,$O330,'Rules &amp; Guardrails'!$G$9:$G$60,$B330)+COUNTIFS('Rules &amp; Guardrails'!$F$9:$F$60,$O330,'Rules &amp; Guardrails'!$G$9:$G$60,"Global"))&gt;0,"Blackout",""))</f>
        <v/>
      </c>
      <c r="AO330" s="6"/>
      <c r="AP330" s="25"/>
      <c r="AQ330" s="23"/>
      <c r="AR330" s="31" t="str">
        <f aca="false">IF($D330="","",IFERROR(VLOOKUP($D330,'Rules &amp; Guardrails'!$A$9:$D$24,2,0),"Other"))</f>
        <v/>
      </c>
      <c r="AS330" s="31" t="str">
        <f aca="false">IF($O330="","",$O330&amp;"|"&amp;$B330)</f>
        <v/>
      </c>
    </row>
    <row r="331" customFormat="false" ht="15" hidden="false" customHeight="false" outlineLevel="0" collapsed="false">
      <c r="A331" s="23"/>
      <c r="B331" s="23"/>
      <c r="C331" s="23"/>
      <c r="D331" s="23"/>
      <c r="E331" s="23"/>
      <c r="F331" s="23"/>
      <c r="G331" s="6"/>
      <c r="H331" s="6"/>
      <c r="I331" s="23"/>
      <c r="J331" s="23"/>
      <c r="K331" s="23"/>
      <c r="L331" s="6"/>
      <c r="M331" s="6"/>
      <c r="N331" s="24"/>
      <c r="O331" s="25"/>
      <c r="P331" s="23"/>
      <c r="Q331" s="23"/>
      <c r="R331" s="23"/>
      <c r="S331" s="23"/>
      <c r="T331" s="26" t="str">
        <f aca="false">IF(OR($O331="",$D331=""),"",WORKDAY($O331,-IFERROR(VLOOKUP($D331,'Rules &amp; Guardrails'!$A$9:$D$24,3,0),10)))</f>
        <v/>
      </c>
      <c r="U331" s="23"/>
      <c r="V331" s="23"/>
      <c r="W331" s="23"/>
      <c r="X331" s="6"/>
      <c r="Y331" s="23"/>
      <c r="Z331" s="23"/>
      <c r="AA331" s="23"/>
      <c r="AB331" s="23"/>
      <c r="AC331" s="23"/>
      <c r="AD331" s="23"/>
      <c r="AE331" s="23"/>
      <c r="AF331" s="27" t="str">
        <f aca="true">IF($O331="","",IF(OR($AE331="Cancelled",$AE331="On hold",$AE331="Launched"),$AE331,IF(AND($Y331="Approved",OR($Z331="Yes",$Z331="N/A"),OR($AA331="Yes",$AA331="N/A"),OR($AB331="No",$AB331="N/A",AND($AB331="Yes",$AD331="Yes"))),"Ready",IF($O331&lt;TODAY(),"Overdue",IF($O331-TODAY()&lt;='Rules &amp; Guardrails'!$C$5,"At Risk","In Progress")))))</f>
        <v/>
      </c>
      <c r="AG331" s="28" t="str">
        <f aca="false">IF($O331="","",IF(OR($AE331="Launched",$AE331="Cancelled"),"",MID(IF($Y331&lt;&gt;"Approved",", Content approval","")&amp;IF(NOT(OR($Z331="Yes",$Z331="N/A")),", Assets","")&amp;IF(NOT(OR($AA331="Yes",$AA331="N/A")),", List","")&amp;IF($AB331="",", Ops decision",IF(AND($AB331="Yes",$AD331&lt;&gt;"Yes"),", Ops",""))&amp;IF($U331="",", Owner","")&amp;IF($K331="",", Segment",""),3,200)))</f>
        <v/>
      </c>
      <c r="AH331" s="29" t="str">
        <f aca="true">IF($O331="","",$O331-TODAY())</f>
        <v/>
      </c>
      <c r="AI331" s="26" t="str">
        <f aca="false">IF($O331="","",$O331-WEEKDAY($O331,3))</f>
        <v/>
      </c>
      <c r="AJ331" s="30" t="str">
        <f aca="false">IF($O331="","",DATE(YEAR($O331),MONTH($O331),1))</f>
        <v/>
      </c>
      <c r="AK331" s="31" t="str">
        <f aca="false">IF(OR($O331="",$K331=""),"",COUNTIFS('Comms Calendar'!$K$5:$K$504,$K331,'Comms Calendar'!$B$5:$B$504,$B331,'Comms Calendar'!$AI$5:$AI$504,$AI331,'Comms Calendar'!$AE$5:$AE$504,"&lt;&gt;Cancelled"))</f>
        <v/>
      </c>
      <c r="AL331" s="27" t="str">
        <f aca="false">IF($AK331="","",IF($AK331&gt;'Rules &amp; Guardrails'!$C$3,"Over cap","OK"))</f>
        <v/>
      </c>
      <c r="AM331" s="27" t="str">
        <f aca="false">IF(OR($O331="",$K331=""),"",IF(COUNTIFS('Comms Calendar'!$K$5:$K$504,$K331,'Comms Calendar'!$B$5:$B$504,$B331,'Comms Calendar'!$O$5:$O$504,$O331,'Comms Calendar'!$AE$5:$AE$504,"&lt;&gt;Cancelled")&gt;1,"Clash",""))</f>
        <v/>
      </c>
      <c r="AN331" s="27" t="str">
        <f aca="false">IF($O331="","",IF(IF($B331="Global",COUNTIF('Rules &amp; Guardrails'!$F$9:$F$60,$O331),COUNTIFS('Rules &amp; Guardrails'!$F$9:$F$60,$O331,'Rules &amp; Guardrails'!$G$9:$G$60,$B331)+COUNTIFS('Rules &amp; Guardrails'!$F$9:$F$60,$O331,'Rules &amp; Guardrails'!$G$9:$G$60,"Global"))&gt;0,"Blackout",""))</f>
        <v/>
      </c>
      <c r="AO331" s="6"/>
      <c r="AP331" s="25"/>
      <c r="AQ331" s="23"/>
      <c r="AR331" s="31" t="str">
        <f aca="false">IF($D331="","",IFERROR(VLOOKUP($D331,'Rules &amp; Guardrails'!$A$9:$D$24,2,0),"Other"))</f>
        <v/>
      </c>
      <c r="AS331" s="31" t="str">
        <f aca="false">IF($O331="","",$O331&amp;"|"&amp;$B331)</f>
        <v/>
      </c>
    </row>
    <row r="332" customFormat="false" ht="15" hidden="false" customHeight="false" outlineLevel="0" collapsed="false">
      <c r="A332" s="23"/>
      <c r="B332" s="23"/>
      <c r="C332" s="23"/>
      <c r="D332" s="23"/>
      <c r="E332" s="23"/>
      <c r="F332" s="23"/>
      <c r="G332" s="6"/>
      <c r="H332" s="6"/>
      <c r="I332" s="23"/>
      <c r="J332" s="23"/>
      <c r="K332" s="23"/>
      <c r="L332" s="6"/>
      <c r="M332" s="6"/>
      <c r="N332" s="24"/>
      <c r="O332" s="25"/>
      <c r="P332" s="23"/>
      <c r="Q332" s="23"/>
      <c r="R332" s="23"/>
      <c r="S332" s="23"/>
      <c r="T332" s="26" t="str">
        <f aca="false">IF(OR($O332="",$D332=""),"",WORKDAY($O332,-IFERROR(VLOOKUP($D332,'Rules &amp; Guardrails'!$A$9:$D$24,3,0),10)))</f>
        <v/>
      </c>
      <c r="U332" s="23"/>
      <c r="V332" s="23"/>
      <c r="W332" s="23"/>
      <c r="X332" s="6"/>
      <c r="Y332" s="23"/>
      <c r="Z332" s="23"/>
      <c r="AA332" s="23"/>
      <c r="AB332" s="23"/>
      <c r="AC332" s="23"/>
      <c r="AD332" s="23"/>
      <c r="AE332" s="23"/>
      <c r="AF332" s="27" t="str">
        <f aca="true">IF($O332="","",IF(OR($AE332="Cancelled",$AE332="On hold",$AE332="Launched"),$AE332,IF(AND($Y332="Approved",OR($Z332="Yes",$Z332="N/A"),OR($AA332="Yes",$AA332="N/A"),OR($AB332="No",$AB332="N/A",AND($AB332="Yes",$AD332="Yes"))),"Ready",IF($O332&lt;TODAY(),"Overdue",IF($O332-TODAY()&lt;='Rules &amp; Guardrails'!$C$5,"At Risk","In Progress")))))</f>
        <v/>
      </c>
      <c r="AG332" s="28" t="str">
        <f aca="false">IF($O332="","",IF(OR($AE332="Launched",$AE332="Cancelled"),"",MID(IF($Y332&lt;&gt;"Approved",", Content approval","")&amp;IF(NOT(OR($Z332="Yes",$Z332="N/A")),", Assets","")&amp;IF(NOT(OR($AA332="Yes",$AA332="N/A")),", List","")&amp;IF($AB332="",", Ops decision",IF(AND($AB332="Yes",$AD332&lt;&gt;"Yes"),", Ops",""))&amp;IF($U332="",", Owner","")&amp;IF($K332="",", Segment",""),3,200)))</f>
        <v/>
      </c>
      <c r="AH332" s="29" t="str">
        <f aca="true">IF($O332="","",$O332-TODAY())</f>
        <v/>
      </c>
      <c r="AI332" s="26" t="str">
        <f aca="false">IF($O332="","",$O332-WEEKDAY($O332,3))</f>
        <v/>
      </c>
      <c r="AJ332" s="30" t="str">
        <f aca="false">IF($O332="","",DATE(YEAR($O332),MONTH($O332),1))</f>
        <v/>
      </c>
      <c r="AK332" s="31" t="str">
        <f aca="false">IF(OR($O332="",$K332=""),"",COUNTIFS('Comms Calendar'!$K$5:$K$504,$K332,'Comms Calendar'!$B$5:$B$504,$B332,'Comms Calendar'!$AI$5:$AI$504,$AI332,'Comms Calendar'!$AE$5:$AE$504,"&lt;&gt;Cancelled"))</f>
        <v/>
      </c>
      <c r="AL332" s="27" t="str">
        <f aca="false">IF($AK332="","",IF($AK332&gt;'Rules &amp; Guardrails'!$C$3,"Over cap","OK"))</f>
        <v/>
      </c>
      <c r="AM332" s="27" t="str">
        <f aca="false">IF(OR($O332="",$K332=""),"",IF(COUNTIFS('Comms Calendar'!$K$5:$K$504,$K332,'Comms Calendar'!$B$5:$B$504,$B332,'Comms Calendar'!$O$5:$O$504,$O332,'Comms Calendar'!$AE$5:$AE$504,"&lt;&gt;Cancelled")&gt;1,"Clash",""))</f>
        <v/>
      </c>
      <c r="AN332" s="27" t="str">
        <f aca="false">IF($O332="","",IF(IF($B332="Global",COUNTIF('Rules &amp; Guardrails'!$F$9:$F$60,$O332),COUNTIFS('Rules &amp; Guardrails'!$F$9:$F$60,$O332,'Rules &amp; Guardrails'!$G$9:$G$60,$B332)+COUNTIFS('Rules &amp; Guardrails'!$F$9:$F$60,$O332,'Rules &amp; Guardrails'!$G$9:$G$60,"Global"))&gt;0,"Blackout",""))</f>
        <v/>
      </c>
      <c r="AO332" s="6"/>
      <c r="AP332" s="25"/>
      <c r="AQ332" s="23"/>
      <c r="AR332" s="31" t="str">
        <f aca="false">IF($D332="","",IFERROR(VLOOKUP($D332,'Rules &amp; Guardrails'!$A$9:$D$24,2,0),"Other"))</f>
        <v/>
      </c>
      <c r="AS332" s="31" t="str">
        <f aca="false">IF($O332="","",$O332&amp;"|"&amp;$B332)</f>
        <v/>
      </c>
    </row>
    <row r="333" customFormat="false" ht="15" hidden="false" customHeight="false" outlineLevel="0" collapsed="false">
      <c r="A333" s="23"/>
      <c r="B333" s="23"/>
      <c r="C333" s="23"/>
      <c r="D333" s="23"/>
      <c r="E333" s="23"/>
      <c r="F333" s="23"/>
      <c r="G333" s="6"/>
      <c r="H333" s="6"/>
      <c r="I333" s="23"/>
      <c r="J333" s="23"/>
      <c r="K333" s="23"/>
      <c r="L333" s="6"/>
      <c r="M333" s="6"/>
      <c r="N333" s="24"/>
      <c r="O333" s="25"/>
      <c r="P333" s="23"/>
      <c r="Q333" s="23"/>
      <c r="R333" s="23"/>
      <c r="S333" s="23"/>
      <c r="T333" s="26" t="str">
        <f aca="false">IF(OR($O333="",$D333=""),"",WORKDAY($O333,-IFERROR(VLOOKUP($D333,'Rules &amp; Guardrails'!$A$9:$D$24,3,0),10)))</f>
        <v/>
      </c>
      <c r="U333" s="23"/>
      <c r="V333" s="23"/>
      <c r="W333" s="23"/>
      <c r="X333" s="6"/>
      <c r="Y333" s="23"/>
      <c r="Z333" s="23"/>
      <c r="AA333" s="23"/>
      <c r="AB333" s="23"/>
      <c r="AC333" s="23"/>
      <c r="AD333" s="23"/>
      <c r="AE333" s="23"/>
      <c r="AF333" s="27" t="str">
        <f aca="true">IF($O333="","",IF(OR($AE333="Cancelled",$AE333="On hold",$AE333="Launched"),$AE333,IF(AND($Y333="Approved",OR($Z333="Yes",$Z333="N/A"),OR($AA333="Yes",$AA333="N/A"),OR($AB333="No",$AB333="N/A",AND($AB333="Yes",$AD333="Yes"))),"Ready",IF($O333&lt;TODAY(),"Overdue",IF($O333-TODAY()&lt;='Rules &amp; Guardrails'!$C$5,"At Risk","In Progress")))))</f>
        <v/>
      </c>
      <c r="AG333" s="28" t="str">
        <f aca="false">IF($O333="","",IF(OR($AE333="Launched",$AE333="Cancelled"),"",MID(IF($Y333&lt;&gt;"Approved",", Content approval","")&amp;IF(NOT(OR($Z333="Yes",$Z333="N/A")),", Assets","")&amp;IF(NOT(OR($AA333="Yes",$AA333="N/A")),", List","")&amp;IF($AB333="",", Ops decision",IF(AND($AB333="Yes",$AD333&lt;&gt;"Yes"),", Ops",""))&amp;IF($U333="",", Owner","")&amp;IF($K333="",", Segment",""),3,200)))</f>
        <v/>
      </c>
      <c r="AH333" s="29" t="str">
        <f aca="true">IF($O333="","",$O333-TODAY())</f>
        <v/>
      </c>
      <c r="AI333" s="26" t="str">
        <f aca="false">IF($O333="","",$O333-WEEKDAY($O333,3))</f>
        <v/>
      </c>
      <c r="AJ333" s="30" t="str">
        <f aca="false">IF($O333="","",DATE(YEAR($O333),MONTH($O333),1))</f>
        <v/>
      </c>
      <c r="AK333" s="31" t="str">
        <f aca="false">IF(OR($O333="",$K333=""),"",COUNTIFS('Comms Calendar'!$K$5:$K$504,$K333,'Comms Calendar'!$B$5:$B$504,$B333,'Comms Calendar'!$AI$5:$AI$504,$AI333,'Comms Calendar'!$AE$5:$AE$504,"&lt;&gt;Cancelled"))</f>
        <v/>
      </c>
      <c r="AL333" s="27" t="str">
        <f aca="false">IF($AK333="","",IF($AK333&gt;'Rules &amp; Guardrails'!$C$3,"Over cap","OK"))</f>
        <v/>
      </c>
      <c r="AM333" s="27" t="str">
        <f aca="false">IF(OR($O333="",$K333=""),"",IF(COUNTIFS('Comms Calendar'!$K$5:$K$504,$K333,'Comms Calendar'!$B$5:$B$504,$B333,'Comms Calendar'!$O$5:$O$504,$O333,'Comms Calendar'!$AE$5:$AE$504,"&lt;&gt;Cancelled")&gt;1,"Clash",""))</f>
        <v/>
      </c>
      <c r="AN333" s="27" t="str">
        <f aca="false">IF($O333="","",IF(IF($B333="Global",COUNTIF('Rules &amp; Guardrails'!$F$9:$F$60,$O333),COUNTIFS('Rules &amp; Guardrails'!$F$9:$F$60,$O333,'Rules &amp; Guardrails'!$G$9:$G$60,$B333)+COUNTIFS('Rules &amp; Guardrails'!$F$9:$F$60,$O333,'Rules &amp; Guardrails'!$G$9:$G$60,"Global"))&gt;0,"Blackout",""))</f>
        <v/>
      </c>
      <c r="AO333" s="6"/>
      <c r="AP333" s="25"/>
      <c r="AQ333" s="23"/>
      <c r="AR333" s="31" t="str">
        <f aca="false">IF($D333="","",IFERROR(VLOOKUP($D333,'Rules &amp; Guardrails'!$A$9:$D$24,2,0),"Other"))</f>
        <v/>
      </c>
      <c r="AS333" s="31" t="str">
        <f aca="false">IF($O333="","",$O333&amp;"|"&amp;$B333)</f>
        <v/>
      </c>
    </row>
    <row r="334" customFormat="false" ht="15" hidden="false" customHeight="false" outlineLevel="0" collapsed="false">
      <c r="A334" s="23"/>
      <c r="B334" s="23"/>
      <c r="C334" s="23"/>
      <c r="D334" s="23"/>
      <c r="E334" s="23"/>
      <c r="F334" s="23"/>
      <c r="G334" s="6"/>
      <c r="H334" s="6"/>
      <c r="I334" s="23"/>
      <c r="J334" s="23"/>
      <c r="K334" s="23"/>
      <c r="L334" s="6"/>
      <c r="M334" s="6"/>
      <c r="N334" s="24"/>
      <c r="O334" s="25"/>
      <c r="P334" s="23"/>
      <c r="Q334" s="23"/>
      <c r="R334" s="23"/>
      <c r="S334" s="23"/>
      <c r="T334" s="26" t="str">
        <f aca="false">IF(OR($O334="",$D334=""),"",WORKDAY($O334,-IFERROR(VLOOKUP($D334,'Rules &amp; Guardrails'!$A$9:$D$24,3,0),10)))</f>
        <v/>
      </c>
      <c r="U334" s="23"/>
      <c r="V334" s="23"/>
      <c r="W334" s="23"/>
      <c r="X334" s="6"/>
      <c r="Y334" s="23"/>
      <c r="Z334" s="23"/>
      <c r="AA334" s="23"/>
      <c r="AB334" s="23"/>
      <c r="AC334" s="23"/>
      <c r="AD334" s="23"/>
      <c r="AE334" s="23"/>
      <c r="AF334" s="27" t="str">
        <f aca="true">IF($O334="","",IF(OR($AE334="Cancelled",$AE334="On hold",$AE334="Launched"),$AE334,IF(AND($Y334="Approved",OR($Z334="Yes",$Z334="N/A"),OR($AA334="Yes",$AA334="N/A"),OR($AB334="No",$AB334="N/A",AND($AB334="Yes",$AD334="Yes"))),"Ready",IF($O334&lt;TODAY(),"Overdue",IF($O334-TODAY()&lt;='Rules &amp; Guardrails'!$C$5,"At Risk","In Progress")))))</f>
        <v/>
      </c>
      <c r="AG334" s="28" t="str">
        <f aca="false">IF($O334="","",IF(OR($AE334="Launched",$AE334="Cancelled"),"",MID(IF($Y334&lt;&gt;"Approved",", Content approval","")&amp;IF(NOT(OR($Z334="Yes",$Z334="N/A")),", Assets","")&amp;IF(NOT(OR($AA334="Yes",$AA334="N/A")),", List","")&amp;IF($AB334="",", Ops decision",IF(AND($AB334="Yes",$AD334&lt;&gt;"Yes"),", Ops",""))&amp;IF($U334="",", Owner","")&amp;IF($K334="",", Segment",""),3,200)))</f>
        <v/>
      </c>
      <c r="AH334" s="29" t="str">
        <f aca="true">IF($O334="","",$O334-TODAY())</f>
        <v/>
      </c>
      <c r="AI334" s="26" t="str">
        <f aca="false">IF($O334="","",$O334-WEEKDAY($O334,3))</f>
        <v/>
      </c>
      <c r="AJ334" s="30" t="str">
        <f aca="false">IF($O334="","",DATE(YEAR($O334),MONTH($O334),1))</f>
        <v/>
      </c>
      <c r="AK334" s="31" t="str">
        <f aca="false">IF(OR($O334="",$K334=""),"",COUNTIFS('Comms Calendar'!$K$5:$K$504,$K334,'Comms Calendar'!$B$5:$B$504,$B334,'Comms Calendar'!$AI$5:$AI$504,$AI334,'Comms Calendar'!$AE$5:$AE$504,"&lt;&gt;Cancelled"))</f>
        <v/>
      </c>
      <c r="AL334" s="27" t="str">
        <f aca="false">IF($AK334="","",IF($AK334&gt;'Rules &amp; Guardrails'!$C$3,"Over cap","OK"))</f>
        <v/>
      </c>
      <c r="AM334" s="27" t="str">
        <f aca="false">IF(OR($O334="",$K334=""),"",IF(COUNTIFS('Comms Calendar'!$K$5:$K$504,$K334,'Comms Calendar'!$B$5:$B$504,$B334,'Comms Calendar'!$O$5:$O$504,$O334,'Comms Calendar'!$AE$5:$AE$504,"&lt;&gt;Cancelled")&gt;1,"Clash",""))</f>
        <v/>
      </c>
      <c r="AN334" s="27" t="str">
        <f aca="false">IF($O334="","",IF(IF($B334="Global",COUNTIF('Rules &amp; Guardrails'!$F$9:$F$60,$O334),COUNTIFS('Rules &amp; Guardrails'!$F$9:$F$60,$O334,'Rules &amp; Guardrails'!$G$9:$G$60,$B334)+COUNTIFS('Rules &amp; Guardrails'!$F$9:$F$60,$O334,'Rules &amp; Guardrails'!$G$9:$G$60,"Global"))&gt;0,"Blackout",""))</f>
        <v/>
      </c>
      <c r="AO334" s="6"/>
      <c r="AP334" s="25"/>
      <c r="AQ334" s="23"/>
      <c r="AR334" s="31" t="str">
        <f aca="false">IF($D334="","",IFERROR(VLOOKUP($D334,'Rules &amp; Guardrails'!$A$9:$D$24,2,0),"Other"))</f>
        <v/>
      </c>
      <c r="AS334" s="31" t="str">
        <f aca="false">IF($O334="","",$O334&amp;"|"&amp;$B334)</f>
        <v/>
      </c>
    </row>
    <row r="335" customFormat="false" ht="15" hidden="false" customHeight="false" outlineLevel="0" collapsed="false">
      <c r="A335" s="23"/>
      <c r="B335" s="23"/>
      <c r="C335" s="23"/>
      <c r="D335" s="23"/>
      <c r="E335" s="23"/>
      <c r="F335" s="23"/>
      <c r="G335" s="6"/>
      <c r="H335" s="6"/>
      <c r="I335" s="23"/>
      <c r="J335" s="23"/>
      <c r="K335" s="23"/>
      <c r="L335" s="6"/>
      <c r="M335" s="6"/>
      <c r="N335" s="24"/>
      <c r="O335" s="25"/>
      <c r="P335" s="23"/>
      <c r="Q335" s="23"/>
      <c r="R335" s="23"/>
      <c r="S335" s="23"/>
      <c r="T335" s="26" t="str">
        <f aca="false">IF(OR($O335="",$D335=""),"",WORKDAY($O335,-IFERROR(VLOOKUP($D335,'Rules &amp; Guardrails'!$A$9:$D$24,3,0),10)))</f>
        <v/>
      </c>
      <c r="U335" s="23"/>
      <c r="V335" s="23"/>
      <c r="W335" s="23"/>
      <c r="X335" s="6"/>
      <c r="Y335" s="23"/>
      <c r="Z335" s="23"/>
      <c r="AA335" s="23"/>
      <c r="AB335" s="23"/>
      <c r="AC335" s="23"/>
      <c r="AD335" s="23"/>
      <c r="AE335" s="23"/>
      <c r="AF335" s="27" t="str">
        <f aca="true">IF($O335="","",IF(OR($AE335="Cancelled",$AE335="On hold",$AE335="Launched"),$AE335,IF(AND($Y335="Approved",OR($Z335="Yes",$Z335="N/A"),OR($AA335="Yes",$AA335="N/A"),OR($AB335="No",$AB335="N/A",AND($AB335="Yes",$AD335="Yes"))),"Ready",IF($O335&lt;TODAY(),"Overdue",IF($O335-TODAY()&lt;='Rules &amp; Guardrails'!$C$5,"At Risk","In Progress")))))</f>
        <v/>
      </c>
      <c r="AG335" s="28" t="str">
        <f aca="false">IF($O335="","",IF(OR($AE335="Launched",$AE335="Cancelled"),"",MID(IF($Y335&lt;&gt;"Approved",", Content approval","")&amp;IF(NOT(OR($Z335="Yes",$Z335="N/A")),", Assets","")&amp;IF(NOT(OR($AA335="Yes",$AA335="N/A")),", List","")&amp;IF($AB335="",", Ops decision",IF(AND($AB335="Yes",$AD335&lt;&gt;"Yes"),", Ops",""))&amp;IF($U335="",", Owner","")&amp;IF($K335="",", Segment",""),3,200)))</f>
        <v/>
      </c>
      <c r="AH335" s="29" t="str">
        <f aca="true">IF($O335="","",$O335-TODAY())</f>
        <v/>
      </c>
      <c r="AI335" s="26" t="str">
        <f aca="false">IF($O335="","",$O335-WEEKDAY($O335,3))</f>
        <v/>
      </c>
      <c r="AJ335" s="30" t="str">
        <f aca="false">IF($O335="","",DATE(YEAR($O335),MONTH($O335),1))</f>
        <v/>
      </c>
      <c r="AK335" s="31" t="str">
        <f aca="false">IF(OR($O335="",$K335=""),"",COUNTIFS('Comms Calendar'!$K$5:$K$504,$K335,'Comms Calendar'!$B$5:$B$504,$B335,'Comms Calendar'!$AI$5:$AI$504,$AI335,'Comms Calendar'!$AE$5:$AE$504,"&lt;&gt;Cancelled"))</f>
        <v/>
      </c>
      <c r="AL335" s="27" t="str">
        <f aca="false">IF($AK335="","",IF($AK335&gt;'Rules &amp; Guardrails'!$C$3,"Over cap","OK"))</f>
        <v/>
      </c>
      <c r="AM335" s="27" t="str">
        <f aca="false">IF(OR($O335="",$K335=""),"",IF(COUNTIFS('Comms Calendar'!$K$5:$K$504,$K335,'Comms Calendar'!$B$5:$B$504,$B335,'Comms Calendar'!$O$5:$O$504,$O335,'Comms Calendar'!$AE$5:$AE$504,"&lt;&gt;Cancelled")&gt;1,"Clash",""))</f>
        <v/>
      </c>
      <c r="AN335" s="27" t="str">
        <f aca="false">IF($O335="","",IF(IF($B335="Global",COUNTIF('Rules &amp; Guardrails'!$F$9:$F$60,$O335),COUNTIFS('Rules &amp; Guardrails'!$F$9:$F$60,$O335,'Rules &amp; Guardrails'!$G$9:$G$60,$B335)+COUNTIFS('Rules &amp; Guardrails'!$F$9:$F$60,$O335,'Rules &amp; Guardrails'!$G$9:$G$60,"Global"))&gt;0,"Blackout",""))</f>
        <v/>
      </c>
      <c r="AO335" s="6"/>
      <c r="AP335" s="25"/>
      <c r="AQ335" s="23"/>
      <c r="AR335" s="31" t="str">
        <f aca="false">IF($D335="","",IFERROR(VLOOKUP($D335,'Rules &amp; Guardrails'!$A$9:$D$24,2,0),"Other"))</f>
        <v/>
      </c>
      <c r="AS335" s="31" t="str">
        <f aca="false">IF($O335="","",$O335&amp;"|"&amp;$B335)</f>
        <v/>
      </c>
    </row>
    <row r="336" customFormat="false" ht="15" hidden="false" customHeight="false" outlineLevel="0" collapsed="false">
      <c r="A336" s="23"/>
      <c r="B336" s="23"/>
      <c r="C336" s="23"/>
      <c r="D336" s="23"/>
      <c r="E336" s="23"/>
      <c r="F336" s="23"/>
      <c r="G336" s="6"/>
      <c r="H336" s="6"/>
      <c r="I336" s="23"/>
      <c r="J336" s="23"/>
      <c r="K336" s="23"/>
      <c r="L336" s="6"/>
      <c r="M336" s="6"/>
      <c r="N336" s="24"/>
      <c r="O336" s="25"/>
      <c r="P336" s="23"/>
      <c r="Q336" s="23"/>
      <c r="R336" s="23"/>
      <c r="S336" s="23"/>
      <c r="T336" s="26" t="str">
        <f aca="false">IF(OR($O336="",$D336=""),"",WORKDAY($O336,-IFERROR(VLOOKUP($D336,'Rules &amp; Guardrails'!$A$9:$D$24,3,0),10)))</f>
        <v/>
      </c>
      <c r="U336" s="23"/>
      <c r="V336" s="23"/>
      <c r="W336" s="23"/>
      <c r="X336" s="6"/>
      <c r="Y336" s="23"/>
      <c r="Z336" s="23"/>
      <c r="AA336" s="23"/>
      <c r="AB336" s="23"/>
      <c r="AC336" s="23"/>
      <c r="AD336" s="23"/>
      <c r="AE336" s="23"/>
      <c r="AF336" s="27" t="str">
        <f aca="true">IF($O336="","",IF(OR($AE336="Cancelled",$AE336="On hold",$AE336="Launched"),$AE336,IF(AND($Y336="Approved",OR($Z336="Yes",$Z336="N/A"),OR($AA336="Yes",$AA336="N/A"),OR($AB336="No",$AB336="N/A",AND($AB336="Yes",$AD336="Yes"))),"Ready",IF($O336&lt;TODAY(),"Overdue",IF($O336-TODAY()&lt;='Rules &amp; Guardrails'!$C$5,"At Risk","In Progress")))))</f>
        <v/>
      </c>
      <c r="AG336" s="28" t="str">
        <f aca="false">IF($O336="","",IF(OR($AE336="Launched",$AE336="Cancelled"),"",MID(IF($Y336&lt;&gt;"Approved",", Content approval","")&amp;IF(NOT(OR($Z336="Yes",$Z336="N/A")),", Assets","")&amp;IF(NOT(OR($AA336="Yes",$AA336="N/A")),", List","")&amp;IF($AB336="",", Ops decision",IF(AND($AB336="Yes",$AD336&lt;&gt;"Yes"),", Ops",""))&amp;IF($U336="",", Owner","")&amp;IF($K336="",", Segment",""),3,200)))</f>
        <v/>
      </c>
      <c r="AH336" s="29" t="str">
        <f aca="true">IF($O336="","",$O336-TODAY())</f>
        <v/>
      </c>
      <c r="AI336" s="26" t="str">
        <f aca="false">IF($O336="","",$O336-WEEKDAY($O336,3))</f>
        <v/>
      </c>
      <c r="AJ336" s="30" t="str">
        <f aca="false">IF($O336="","",DATE(YEAR($O336),MONTH($O336),1))</f>
        <v/>
      </c>
      <c r="AK336" s="31" t="str">
        <f aca="false">IF(OR($O336="",$K336=""),"",COUNTIFS('Comms Calendar'!$K$5:$K$504,$K336,'Comms Calendar'!$B$5:$B$504,$B336,'Comms Calendar'!$AI$5:$AI$504,$AI336,'Comms Calendar'!$AE$5:$AE$504,"&lt;&gt;Cancelled"))</f>
        <v/>
      </c>
      <c r="AL336" s="27" t="str">
        <f aca="false">IF($AK336="","",IF($AK336&gt;'Rules &amp; Guardrails'!$C$3,"Over cap","OK"))</f>
        <v/>
      </c>
      <c r="AM336" s="27" t="str">
        <f aca="false">IF(OR($O336="",$K336=""),"",IF(COUNTIFS('Comms Calendar'!$K$5:$K$504,$K336,'Comms Calendar'!$B$5:$B$504,$B336,'Comms Calendar'!$O$5:$O$504,$O336,'Comms Calendar'!$AE$5:$AE$504,"&lt;&gt;Cancelled")&gt;1,"Clash",""))</f>
        <v/>
      </c>
      <c r="AN336" s="27" t="str">
        <f aca="false">IF($O336="","",IF(IF($B336="Global",COUNTIF('Rules &amp; Guardrails'!$F$9:$F$60,$O336),COUNTIFS('Rules &amp; Guardrails'!$F$9:$F$60,$O336,'Rules &amp; Guardrails'!$G$9:$G$60,$B336)+COUNTIFS('Rules &amp; Guardrails'!$F$9:$F$60,$O336,'Rules &amp; Guardrails'!$G$9:$G$60,"Global"))&gt;0,"Blackout",""))</f>
        <v/>
      </c>
      <c r="AO336" s="6"/>
      <c r="AP336" s="25"/>
      <c r="AQ336" s="23"/>
      <c r="AR336" s="31" t="str">
        <f aca="false">IF($D336="","",IFERROR(VLOOKUP($D336,'Rules &amp; Guardrails'!$A$9:$D$24,2,0),"Other"))</f>
        <v/>
      </c>
      <c r="AS336" s="31" t="str">
        <f aca="false">IF($O336="","",$O336&amp;"|"&amp;$B336)</f>
        <v/>
      </c>
    </row>
    <row r="337" customFormat="false" ht="15" hidden="false" customHeight="false" outlineLevel="0" collapsed="false">
      <c r="A337" s="23"/>
      <c r="B337" s="23"/>
      <c r="C337" s="23"/>
      <c r="D337" s="23"/>
      <c r="E337" s="23"/>
      <c r="F337" s="23"/>
      <c r="G337" s="6"/>
      <c r="H337" s="6"/>
      <c r="I337" s="23"/>
      <c r="J337" s="23"/>
      <c r="K337" s="23"/>
      <c r="L337" s="6"/>
      <c r="M337" s="6"/>
      <c r="N337" s="24"/>
      <c r="O337" s="25"/>
      <c r="P337" s="23"/>
      <c r="Q337" s="23"/>
      <c r="R337" s="23"/>
      <c r="S337" s="23"/>
      <c r="T337" s="26" t="str">
        <f aca="false">IF(OR($O337="",$D337=""),"",WORKDAY($O337,-IFERROR(VLOOKUP($D337,'Rules &amp; Guardrails'!$A$9:$D$24,3,0),10)))</f>
        <v/>
      </c>
      <c r="U337" s="23"/>
      <c r="V337" s="23"/>
      <c r="W337" s="23"/>
      <c r="X337" s="6"/>
      <c r="Y337" s="23"/>
      <c r="Z337" s="23"/>
      <c r="AA337" s="23"/>
      <c r="AB337" s="23"/>
      <c r="AC337" s="23"/>
      <c r="AD337" s="23"/>
      <c r="AE337" s="23"/>
      <c r="AF337" s="27" t="str">
        <f aca="true">IF($O337="","",IF(OR($AE337="Cancelled",$AE337="On hold",$AE337="Launched"),$AE337,IF(AND($Y337="Approved",OR($Z337="Yes",$Z337="N/A"),OR($AA337="Yes",$AA337="N/A"),OR($AB337="No",$AB337="N/A",AND($AB337="Yes",$AD337="Yes"))),"Ready",IF($O337&lt;TODAY(),"Overdue",IF($O337-TODAY()&lt;='Rules &amp; Guardrails'!$C$5,"At Risk","In Progress")))))</f>
        <v/>
      </c>
      <c r="AG337" s="28" t="str">
        <f aca="false">IF($O337="","",IF(OR($AE337="Launched",$AE337="Cancelled"),"",MID(IF($Y337&lt;&gt;"Approved",", Content approval","")&amp;IF(NOT(OR($Z337="Yes",$Z337="N/A")),", Assets","")&amp;IF(NOT(OR($AA337="Yes",$AA337="N/A")),", List","")&amp;IF($AB337="",", Ops decision",IF(AND($AB337="Yes",$AD337&lt;&gt;"Yes"),", Ops",""))&amp;IF($U337="",", Owner","")&amp;IF($K337="",", Segment",""),3,200)))</f>
        <v/>
      </c>
      <c r="AH337" s="29" t="str">
        <f aca="true">IF($O337="","",$O337-TODAY())</f>
        <v/>
      </c>
      <c r="AI337" s="26" t="str">
        <f aca="false">IF($O337="","",$O337-WEEKDAY($O337,3))</f>
        <v/>
      </c>
      <c r="AJ337" s="30" t="str">
        <f aca="false">IF($O337="","",DATE(YEAR($O337),MONTH($O337),1))</f>
        <v/>
      </c>
      <c r="AK337" s="31" t="str">
        <f aca="false">IF(OR($O337="",$K337=""),"",COUNTIFS('Comms Calendar'!$K$5:$K$504,$K337,'Comms Calendar'!$B$5:$B$504,$B337,'Comms Calendar'!$AI$5:$AI$504,$AI337,'Comms Calendar'!$AE$5:$AE$504,"&lt;&gt;Cancelled"))</f>
        <v/>
      </c>
      <c r="AL337" s="27" t="str">
        <f aca="false">IF($AK337="","",IF($AK337&gt;'Rules &amp; Guardrails'!$C$3,"Over cap","OK"))</f>
        <v/>
      </c>
      <c r="AM337" s="27" t="str">
        <f aca="false">IF(OR($O337="",$K337=""),"",IF(COUNTIFS('Comms Calendar'!$K$5:$K$504,$K337,'Comms Calendar'!$B$5:$B$504,$B337,'Comms Calendar'!$O$5:$O$504,$O337,'Comms Calendar'!$AE$5:$AE$504,"&lt;&gt;Cancelled")&gt;1,"Clash",""))</f>
        <v/>
      </c>
      <c r="AN337" s="27" t="str">
        <f aca="false">IF($O337="","",IF(IF($B337="Global",COUNTIF('Rules &amp; Guardrails'!$F$9:$F$60,$O337),COUNTIFS('Rules &amp; Guardrails'!$F$9:$F$60,$O337,'Rules &amp; Guardrails'!$G$9:$G$60,$B337)+COUNTIFS('Rules &amp; Guardrails'!$F$9:$F$60,$O337,'Rules &amp; Guardrails'!$G$9:$G$60,"Global"))&gt;0,"Blackout",""))</f>
        <v/>
      </c>
      <c r="AO337" s="6"/>
      <c r="AP337" s="25"/>
      <c r="AQ337" s="23"/>
      <c r="AR337" s="31" t="str">
        <f aca="false">IF($D337="","",IFERROR(VLOOKUP($D337,'Rules &amp; Guardrails'!$A$9:$D$24,2,0),"Other"))</f>
        <v/>
      </c>
      <c r="AS337" s="31" t="str">
        <f aca="false">IF($O337="","",$O337&amp;"|"&amp;$B337)</f>
        <v/>
      </c>
    </row>
    <row r="338" customFormat="false" ht="15" hidden="false" customHeight="false" outlineLevel="0" collapsed="false">
      <c r="A338" s="23"/>
      <c r="B338" s="23"/>
      <c r="C338" s="23"/>
      <c r="D338" s="23"/>
      <c r="E338" s="23"/>
      <c r="F338" s="23"/>
      <c r="G338" s="6"/>
      <c r="H338" s="6"/>
      <c r="I338" s="23"/>
      <c r="J338" s="23"/>
      <c r="K338" s="23"/>
      <c r="L338" s="6"/>
      <c r="M338" s="6"/>
      <c r="N338" s="24"/>
      <c r="O338" s="25"/>
      <c r="P338" s="23"/>
      <c r="Q338" s="23"/>
      <c r="R338" s="23"/>
      <c r="S338" s="23"/>
      <c r="T338" s="26" t="str">
        <f aca="false">IF(OR($O338="",$D338=""),"",WORKDAY($O338,-IFERROR(VLOOKUP($D338,'Rules &amp; Guardrails'!$A$9:$D$24,3,0),10)))</f>
        <v/>
      </c>
      <c r="U338" s="23"/>
      <c r="V338" s="23"/>
      <c r="W338" s="23"/>
      <c r="X338" s="6"/>
      <c r="Y338" s="23"/>
      <c r="Z338" s="23"/>
      <c r="AA338" s="23"/>
      <c r="AB338" s="23"/>
      <c r="AC338" s="23"/>
      <c r="AD338" s="23"/>
      <c r="AE338" s="23"/>
      <c r="AF338" s="27" t="str">
        <f aca="true">IF($O338="","",IF(OR($AE338="Cancelled",$AE338="On hold",$AE338="Launched"),$AE338,IF(AND($Y338="Approved",OR($Z338="Yes",$Z338="N/A"),OR($AA338="Yes",$AA338="N/A"),OR($AB338="No",$AB338="N/A",AND($AB338="Yes",$AD338="Yes"))),"Ready",IF($O338&lt;TODAY(),"Overdue",IF($O338-TODAY()&lt;='Rules &amp; Guardrails'!$C$5,"At Risk","In Progress")))))</f>
        <v/>
      </c>
      <c r="AG338" s="28" t="str">
        <f aca="false">IF($O338="","",IF(OR($AE338="Launched",$AE338="Cancelled"),"",MID(IF($Y338&lt;&gt;"Approved",", Content approval","")&amp;IF(NOT(OR($Z338="Yes",$Z338="N/A")),", Assets","")&amp;IF(NOT(OR($AA338="Yes",$AA338="N/A")),", List","")&amp;IF($AB338="",", Ops decision",IF(AND($AB338="Yes",$AD338&lt;&gt;"Yes"),", Ops",""))&amp;IF($U338="",", Owner","")&amp;IF($K338="",", Segment",""),3,200)))</f>
        <v/>
      </c>
      <c r="AH338" s="29" t="str">
        <f aca="true">IF($O338="","",$O338-TODAY())</f>
        <v/>
      </c>
      <c r="AI338" s="26" t="str">
        <f aca="false">IF($O338="","",$O338-WEEKDAY($O338,3))</f>
        <v/>
      </c>
      <c r="AJ338" s="30" t="str">
        <f aca="false">IF($O338="","",DATE(YEAR($O338),MONTH($O338),1))</f>
        <v/>
      </c>
      <c r="AK338" s="31" t="str">
        <f aca="false">IF(OR($O338="",$K338=""),"",COUNTIFS('Comms Calendar'!$K$5:$K$504,$K338,'Comms Calendar'!$B$5:$B$504,$B338,'Comms Calendar'!$AI$5:$AI$504,$AI338,'Comms Calendar'!$AE$5:$AE$504,"&lt;&gt;Cancelled"))</f>
        <v/>
      </c>
      <c r="AL338" s="27" t="str">
        <f aca="false">IF($AK338="","",IF($AK338&gt;'Rules &amp; Guardrails'!$C$3,"Over cap","OK"))</f>
        <v/>
      </c>
      <c r="AM338" s="27" t="str">
        <f aca="false">IF(OR($O338="",$K338=""),"",IF(COUNTIFS('Comms Calendar'!$K$5:$K$504,$K338,'Comms Calendar'!$B$5:$B$504,$B338,'Comms Calendar'!$O$5:$O$504,$O338,'Comms Calendar'!$AE$5:$AE$504,"&lt;&gt;Cancelled")&gt;1,"Clash",""))</f>
        <v/>
      </c>
      <c r="AN338" s="27" t="str">
        <f aca="false">IF($O338="","",IF(IF($B338="Global",COUNTIF('Rules &amp; Guardrails'!$F$9:$F$60,$O338),COUNTIFS('Rules &amp; Guardrails'!$F$9:$F$60,$O338,'Rules &amp; Guardrails'!$G$9:$G$60,$B338)+COUNTIFS('Rules &amp; Guardrails'!$F$9:$F$60,$O338,'Rules &amp; Guardrails'!$G$9:$G$60,"Global"))&gt;0,"Blackout",""))</f>
        <v/>
      </c>
      <c r="AO338" s="6"/>
      <c r="AP338" s="25"/>
      <c r="AQ338" s="23"/>
      <c r="AR338" s="31" t="str">
        <f aca="false">IF($D338="","",IFERROR(VLOOKUP($D338,'Rules &amp; Guardrails'!$A$9:$D$24,2,0),"Other"))</f>
        <v/>
      </c>
      <c r="AS338" s="31" t="str">
        <f aca="false">IF($O338="","",$O338&amp;"|"&amp;$B338)</f>
        <v/>
      </c>
    </row>
    <row r="339" customFormat="false" ht="15" hidden="false" customHeight="false" outlineLevel="0" collapsed="false">
      <c r="A339" s="23"/>
      <c r="B339" s="23"/>
      <c r="C339" s="23"/>
      <c r="D339" s="23"/>
      <c r="E339" s="23"/>
      <c r="F339" s="23"/>
      <c r="G339" s="6"/>
      <c r="H339" s="6"/>
      <c r="I339" s="23"/>
      <c r="J339" s="23"/>
      <c r="K339" s="23"/>
      <c r="L339" s="6"/>
      <c r="M339" s="6"/>
      <c r="N339" s="24"/>
      <c r="O339" s="25"/>
      <c r="P339" s="23"/>
      <c r="Q339" s="23"/>
      <c r="R339" s="23"/>
      <c r="S339" s="23"/>
      <c r="T339" s="26" t="str">
        <f aca="false">IF(OR($O339="",$D339=""),"",WORKDAY($O339,-IFERROR(VLOOKUP($D339,'Rules &amp; Guardrails'!$A$9:$D$24,3,0),10)))</f>
        <v/>
      </c>
      <c r="U339" s="23"/>
      <c r="V339" s="23"/>
      <c r="W339" s="23"/>
      <c r="X339" s="6"/>
      <c r="Y339" s="23"/>
      <c r="Z339" s="23"/>
      <c r="AA339" s="23"/>
      <c r="AB339" s="23"/>
      <c r="AC339" s="23"/>
      <c r="AD339" s="23"/>
      <c r="AE339" s="23"/>
      <c r="AF339" s="27" t="str">
        <f aca="true">IF($O339="","",IF(OR($AE339="Cancelled",$AE339="On hold",$AE339="Launched"),$AE339,IF(AND($Y339="Approved",OR($Z339="Yes",$Z339="N/A"),OR($AA339="Yes",$AA339="N/A"),OR($AB339="No",$AB339="N/A",AND($AB339="Yes",$AD339="Yes"))),"Ready",IF($O339&lt;TODAY(),"Overdue",IF($O339-TODAY()&lt;='Rules &amp; Guardrails'!$C$5,"At Risk","In Progress")))))</f>
        <v/>
      </c>
      <c r="AG339" s="28" t="str">
        <f aca="false">IF($O339="","",IF(OR($AE339="Launched",$AE339="Cancelled"),"",MID(IF($Y339&lt;&gt;"Approved",", Content approval","")&amp;IF(NOT(OR($Z339="Yes",$Z339="N/A")),", Assets","")&amp;IF(NOT(OR($AA339="Yes",$AA339="N/A")),", List","")&amp;IF($AB339="",", Ops decision",IF(AND($AB339="Yes",$AD339&lt;&gt;"Yes"),", Ops",""))&amp;IF($U339="",", Owner","")&amp;IF($K339="",", Segment",""),3,200)))</f>
        <v/>
      </c>
      <c r="AH339" s="29" t="str">
        <f aca="true">IF($O339="","",$O339-TODAY())</f>
        <v/>
      </c>
      <c r="AI339" s="26" t="str">
        <f aca="false">IF($O339="","",$O339-WEEKDAY($O339,3))</f>
        <v/>
      </c>
      <c r="AJ339" s="30" t="str">
        <f aca="false">IF($O339="","",DATE(YEAR($O339),MONTH($O339),1))</f>
        <v/>
      </c>
      <c r="AK339" s="31" t="str">
        <f aca="false">IF(OR($O339="",$K339=""),"",COUNTIFS('Comms Calendar'!$K$5:$K$504,$K339,'Comms Calendar'!$B$5:$B$504,$B339,'Comms Calendar'!$AI$5:$AI$504,$AI339,'Comms Calendar'!$AE$5:$AE$504,"&lt;&gt;Cancelled"))</f>
        <v/>
      </c>
      <c r="AL339" s="27" t="str">
        <f aca="false">IF($AK339="","",IF($AK339&gt;'Rules &amp; Guardrails'!$C$3,"Over cap","OK"))</f>
        <v/>
      </c>
      <c r="AM339" s="27" t="str">
        <f aca="false">IF(OR($O339="",$K339=""),"",IF(COUNTIFS('Comms Calendar'!$K$5:$K$504,$K339,'Comms Calendar'!$B$5:$B$504,$B339,'Comms Calendar'!$O$5:$O$504,$O339,'Comms Calendar'!$AE$5:$AE$504,"&lt;&gt;Cancelled")&gt;1,"Clash",""))</f>
        <v/>
      </c>
      <c r="AN339" s="27" t="str">
        <f aca="false">IF($O339="","",IF(IF($B339="Global",COUNTIF('Rules &amp; Guardrails'!$F$9:$F$60,$O339),COUNTIFS('Rules &amp; Guardrails'!$F$9:$F$60,$O339,'Rules &amp; Guardrails'!$G$9:$G$60,$B339)+COUNTIFS('Rules &amp; Guardrails'!$F$9:$F$60,$O339,'Rules &amp; Guardrails'!$G$9:$G$60,"Global"))&gt;0,"Blackout",""))</f>
        <v/>
      </c>
      <c r="AO339" s="6"/>
      <c r="AP339" s="25"/>
      <c r="AQ339" s="23"/>
      <c r="AR339" s="31" t="str">
        <f aca="false">IF($D339="","",IFERROR(VLOOKUP($D339,'Rules &amp; Guardrails'!$A$9:$D$24,2,0),"Other"))</f>
        <v/>
      </c>
      <c r="AS339" s="31" t="str">
        <f aca="false">IF($O339="","",$O339&amp;"|"&amp;$B339)</f>
        <v/>
      </c>
    </row>
    <row r="340" customFormat="false" ht="15" hidden="false" customHeight="false" outlineLevel="0" collapsed="false">
      <c r="A340" s="23"/>
      <c r="B340" s="23"/>
      <c r="C340" s="23"/>
      <c r="D340" s="23"/>
      <c r="E340" s="23"/>
      <c r="F340" s="23"/>
      <c r="G340" s="6"/>
      <c r="H340" s="6"/>
      <c r="I340" s="23"/>
      <c r="J340" s="23"/>
      <c r="K340" s="23"/>
      <c r="L340" s="6"/>
      <c r="M340" s="6"/>
      <c r="N340" s="24"/>
      <c r="O340" s="25"/>
      <c r="P340" s="23"/>
      <c r="Q340" s="23"/>
      <c r="R340" s="23"/>
      <c r="S340" s="23"/>
      <c r="T340" s="26" t="str">
        <f aca="false">IF(OR($O340="",$D340=""),"",WORKDAY($O340,-IFERROR(VLOOKUP($D340,'Rules &amp; Guardrails'!$A$9:$D$24,3,0),10)))</f>
        <v/>
      </c>
      <c r="U340" s="23"/>
      <c r="V340" s="23"/>
      <c r="W340" s="23"/>
      <c r="X340" s="6"/>
      <c r="Y340" s="23"/>
      <c r="Z340" s="23"/>
      <c r="AA340" s="23"/>
      <c r="AB340" s="23"/>
      <c r="AC340" s="23"/>
      <c r="AD340" s="23"/>
      <c r="AE340" s="23"/>
      <c r="AF340" s="27" t="str">
        <f aca="true">IF($O340="","",IF(OR($AE340="Cancelled",$AE340="On hold",$AE340="Launched"),$AE340,IF(AND($Y340="Approved",OR($Z340="Yes",$Z340="N/A"),OR($AA340="Yes",$AA340="N/A"),OR($AB340="No",$AB340="N/A",AND($AB340="Yes",$AD340="Yes"))),"Ready",IF($O340&lt;TODAY(),"Overdue",IF($O340-TODAY()&lt;='Rules &amp; Guardrails'!$C$5,"At Risk","In Progress")))))</f>
        <v/>
      </c>
      <c r="AG340" s="28" t="str">
        <f aca="false">IF($O340="","",IF(OR($AE340="Launched",$AE340="Cancelled"),"",MID(IF($Y340&lt;&gt;"Approved",", Content approval","")&amp;IF(NOT(OR($Z340="Yes",$Z340="N/A")),", Assets","")&amp;IF(NOT(OR($AA340="Yes",$AA340="N/A")),", List","")&amp;IF($AB340="",", Ops decision",IF(AND($AB340="Yes",$AD340&lt;&gt;"Yes"),", Ops",""))&amp;IF($U340="",", Owner","")&amp;IF($K340="",", Segment",""),3,200)))</f>
        <v/>
      </c>
      <c r="AH340" s="29" t="str">
        <f aca="true">IF($O340="","",$O340-TODAY())</f>
        <v/>
      </c>
      <c r="AI340" s="26" t="str">
        <f aca="false">IF($O340="","",$O340-WEEKDAY($O340,3))</f>
        <v/>
      </c>
      <c r="AJ340" s="30" t="str">
        <f aca="false">IF($O340="","",DATE(YEAR($O340),MONTH($O340),1))</f>
        <v/>
      </c>
      <c r="AK340" s="31" t="str">
        <f aca="false">IF(OR($O340="",$K340=""),"",COUNTIFS('Comms Calendar'!$K$5:$K$504,$K340,'Comms Calendar'!$B$5:$B$504,$B340,'Comms Calendar'!$AI$5:$AI$504,$AI340,'Comms Calendar'!$AE$5:$AE$504,"&lt;&gt;Cancelled"))</f>
        <v/>
      </c>
      <c r="AL340" s="27" t="str">
        <f aca="false">IF($AK340="","",IF($AK340&gt;'Rules &amp; Guardrails'!$C$3,"Over cap","OK"))</f>
        <v/>
      </c>
      <c r="AM340" s="27" t="str">
        <f aca="false">IF(OR($O340="",$K340=""),"",IF(COUNTIFS('Comms Calendar'!$K$5:$K$504,$K340,'Comms Calendar'!$B$5:$B$504,$B340,'Comms Calendar'!$O$5:$O$504,$O340,'Comms Calendar'!$AE$5:$AE$504,"&lt;&gt;Cancelled")&gt;1,"Clash",""))</f>
        <v/>
      </c>
      <c r="AN340" s="27" t="str">
        <f aca="false">IF($O340="","",IF(IF($B340="Global",COUNTIF('Rules &amp; Guardrails'!$F$9:$F$60,$O340),COUNTIFS('Rules &amp; Guardrails'!$F$9:$F$60,$O340,'Rules &amp; Guardrails'!$G$9:$G$60,$B340)+COUNTIFS('Rules &amp; Guardrails'!$F$9:$F$60,$O340,'Rules &amp; Guardrails'!$G$9:$G$60,"Global"))&gt;0,"Blackout",""))</f>
        <v/>
      </c>
      <c r="AO340" s="6"/>
      <c r="AP340" s="25"/>
      <c r="AQ340" s="23"/>
      <c r="AR340" s="31" t="str">
        <f aca="false">IF($D340="","",IFERROR(VLOOKUP($D340,'Rules &amp; Guardrails'!$A$9:$D$24,2,0),"Other"))</f>
        <v/>
      </c>
      <c r="AS340" s="31" t="str">
        <f aca="false">IF($O340="","",$O340&amp;"|"&amp;$B340)</f>
        <v/>
      </c>
    </row>
    <row r="341" customFormat="false" ht="15" hidden="false" customHeight="false" outlineLevel="0" collapsed="false">
      <c r="A341" s="23"/>
      <c r="B341" s="23"/>
      <c r="C341" s="23"/>
      <c r="D341" s="23"/>
      <c r="E341" s="23"/>
      <c r="F341" s="23"/>
      <c r="G341" s="6"/>
      <c r="H341" s="6"/>
      <c r="I341" s="23"/>
      <c r="J341" s="23"/>
      <c r="K341" s="23"/>
      <c r="L341" s="6"/>
      <c r="M341" s="6"/>
      <c r="N341" s="24"/>
      <c r="O341" s="25"/>
      <c r="P341" s="23"/>
      <c r="Q341" s="23"/>
      <c r="R341" s="23"/>
      <c r="S341" s="23"/>
      <c r="T341" s="26" t="str">
        <f aca="false">IF(OR($O341="",$D341=""),"",WORKDAY($O341,-IFERROR(VLOOKUP($D341,'Rules &amp; Guardrails'!$A$9:$D$24,3,0),10)))</f>
        <v/>
      </c>
      <c r="U341" s="23"/>
      <c r="V341" s="23"/>
      <c r="W341" s="23"/>
      <c r="X341" s="6"/>
      <c r="Y341" s="23"/>
      <c r="Z341" s="23"/>
      <c r="AA341" s="23"/>
      <c r="AB341" s="23"/>
      <c r="AC341" s="23"/>
      <c r="AD341" s="23"/>
      <c r="AE341" s="23"/>
      <c r="AF341" s="27" t="str">
        <f aca="true">IF($O341="","",IF(OR($AE341="Cancelled",$AE341="On hold",$AE341="Launched"),$AE341,IF(AND($Y341="Approved",OR($Z341="Yes",$Z341="N/A"),OR($AA341="Yes",$AA341="N/A"),OR($AB341="No",$AB341="N/A",AND($AB341="Yes",$AD341="Yes"))),"Ready",IF($O341&lt;TODAY(),"Overdue",IF($O341-TODAY()&lt;='Rules &amp; Guardrails'!$C$5,"At Risk","In Progress")))))</f>
        <v/>
      </c>
      <c r="AG341" s="28" t="str">
        <f aca="false">IF($O341="","",IF(OR($AE341="Launched",$AE341="Cancelled"),"",MID(IF($Y341&lt;&gt;"Approved",", Content approval","")&amp;IF(NOT(OR($Z341="Yes",$Z341="N/A")),", Assets","")&amp;IF(NOT(OR($AA341="Yes",$AA341="N/A")),", List","")&amp;IF($AB341="",", Ops decision",IF(AND($AB341="Yes",$AD341&lt;&gt;"Yes"),", Ops",""))&amp;IF($U341="",", Owner","")&amp;IF($K341="",", Segment",""),3,200)))</f>
        <v/>
      </c>
      <c r="AH341" s="29" t="str">
        <f aca="true">IF($O341="","",$O341-TODAY())</f>
        <v/>
      </c>
      <c r="AI341" s="26" t="str">
        <f aca="false">IF($O341="","",$O341-WEEKDAY($O341,3))</f>
        <v/>
      </c>
      <c r="AJ341" s="30" t="str">
        <f aca="false">IF($O341="","",DATE(YEAR($O341),MONTH($O341),1))</f>
        <v/>
      </c>
      <c r="AK341" s="31" t="str">
        <f aca="false">IF(OR($O341="",$K341=""),"",COUNTIFS('Comms Calendar'!$K$5:$K$504,$K341,'Comms Calendar'!$B$5:$B$504,$B341,'Comms Calendar'!$AI$5:$AI$504,$AI341,'Comms Calendar'!$AE$5:$AE$504,"&lt;&gt;Cancelled"))</f>
        <v/>
      </c>
      <c r="AL341" s="27" t="str">
        <f aca="false">IF($AK341="","",IF($AK341&gt;'Rules &amp; Guardrails'!$C$3,"Over cap","OK"))</f>
        <v/>
      </c>
      <c r="AM341" s="27" t="str">
        <f aca="false">IF(OR($O341="",$K341=""),"",IF(COUNTIFS('Comms Calendar'!$K$5:$K$504,$K341,'Comms Calendar'!$B$5:$B$504,$B341,'Comms Calendar'!$O$5:$O$504,$O341,'Comms Calendar'!$AE$5:$AE$504,"&lt;&gt;Cancelled")&gt;1,"Clash",""))</f>
        <v/>
      </c>
      <c r="AN341" s="27" t="str">
        <f aca="false">IF($O341="","",IF(IF($B341="Global",COUNTIF('Rules &amp; Guardrails'!$F$9:$F$60,$O341),COUNTIFS('Rules &amp; Guardrails'!$F$9:$F$60,$O341,'Rules &amp; Guardrails'!$G$9:$G$60,$B341)+COUNTIFS('Rules &amp; Guardrails'!$F$9:$F$60,$O341,'Rules &amp; Guardrails'!$G$9:$G$60,"Global"))&gt;0,"Blackout",""))</f>
        <v/>
      </c>
      <c r="AO341" s="6"/>
      <c r="AP341" s="25"/>
      <c r="AQ341" s="23"/>
      <c r="AR341" s="31" t="str">
        <f aca="false">IF($D341="","",IFERROR(VLOOKUP($D341,'Rules &amp; Guardrails'!$A$9:$D$24,2,0),"Other"))</f>
        <v/>
      </c>
      <c r="AS341" s="31" t="str">
        <f aca="false">IF($O341="","",$O341&amp;"|"&amp;$B341)</f>
        <v/>
      </c>
    </row>
    <row r="342" customFormat="false" ht="15" hidden="false" customHeight="false" outlineLevel="0" collapsed="false">
      <c r="A342" s="23"/>
      <c r="B342" s="23"/>
      <c r="C342" s="23"/>
      <c r="D342" s="23"/>
      <c r="E342" s="23"/>
      <c r="F342" s="23"/>
      <c r="G342" s="6"/>
      <c r="H342" s="6"/>
      <c r="I342" s="23"/>
      <c r="J342" s="23"/>
      <c r="K342" s="23"/>
      <c r="L342" s="6"/>
      <c r="M342" s="6"/>
      <c r="N342" s="24"/>
      <c r="O342" s="25"/>
      <c r="P342" s="23"/>
      <c r="Q342" s="23"/>
      <c r="R342" s="23"/>
      <c r="S342" s="23"/>
      <c r="T342" s="26" t="str">
        <f aca="false">IF(OR($O342="",$D342=""),"",WORKDAY($O342,-IFERROR(VLOOKUP($D342,'Rules &amp; Guardrails'!$A$9:$D$24,3,0),10)))</f>
        <v/>
      </c>
      <c r="U342" s="23"/>
      <c r="V342" s="23"/>
      <c r="W342" s="23"/>
      <c r="X342" s="6"/>
      <c r="Y342" s="23"/>
      <c r="Z342" s="23"/>
      <c r="AA342" s="23"/>
      <c r="AB342" s="23"/>
      <c r="AC342" s="23"/>
      <c r="AD342" s="23"/>
      <c r="AE342" s="23"/>
      <c r="AF342" s="27" t="str">
        <f aca="true">IF($O342="","",IF(OR($AE342="Cancelled",$AE342="On hold",$AE342="Launched"),$AE342,IF(AND($Y342="Approved",OR($Z342="Yes",$Z342="N/A"),OR($AA342="Yes",$AA342="N/A"),OR($AB342="No",$AB342="N/A",AND($AB342="Yes",$AD342="Yes"))),"Ready",IF($O342&lt;TODAY(),"Overdue",IF($O342-TODAY()&lt;='Rules &amp; Guardrails'!$C$5,"At Risk","In Progress")))))</f>
        <v/>
      </c>
      <c r="AG342" s="28" t="str">
        <f aca="false">IF($O342="","",IF(OR($AE342="Launched",$AE342="Cancelled"),"",MID(IF($Y342&lt;&gt;"Approved",", Content approval","")&amp;IF(NOT(OR($Z342="Yes",$Z342="N/A")),", Assets","")&amp;IF(NOT(OR($AA342="Yes",$AA342="N/A")),", List","")&amp;IF($AB342="",", Ops decision",IF(AND($AB342="Yes",$AD342&lt;&gt;"Yes"),", Ops",""))&amp;IF($U342="",", Owner","")&amp;IF($K342="",", Segment",""),3,200)))</f>
        <v/>
      </c>
      <c r="AH342" s="29" t="str">
        <f aca="true">IF($O342="","",$O342-TODAY())</f>
        <v/>
      </c>
      <c r="AI342" s="26" t="str">
        <f aca="false">IF($O342="","",$O342-WEEKDAY($O342,3))</f>
        <v/>
      </c>
      <c r="AJ342" s="30" t="str">
        <f aca="false">IF($O342="","",DATE(YEAR($O342),MONTH($O342),1))</f>
        <v/>
      </c>
      <c r="AK342" s="31" t="str">
        <f aca="false">IF(OR($O342="",$K342=""),"",COUNTIFS('Comms Calendar'!$K$5:$K$504,$K342,'Comms Calendar'!$B$5:$B$504,$B342,'Comms Calendar'!$AI$5:$AI$504,$AI342,'Comms Calendar'!$AE$5:$AE$504,"&lt;&gt;Cancelled"))</f>
        <v/>
      </c>
      <c r="AL342" s="27" t="str">
        <f aca="false">IF($AK342="","",IF($AK342&gt;'Rules &amp; Guardrails'!$C$3,"Over cap","OK"))</f>
        <v/>
      </c>
      <c r="AM342" s="27" t="str">
        <f aca="false">IF(OR($O342="",$K342=""),"",IF(COUNTIFS('Comms Calendar'!$K$5:$K$504,$K342,'Comms Calendar'!$B$5:$B$504,$B342,'Comms Calendar'!$O$5:$O$504,$O342,'Comms Calendar'!$AE$5:$AE$504,"&lt;&gt;Cancelled")&gt;1,"Clash",""))</f>
        <v/>
      </c>
      <c r="AN342" s="27" t="str">
        <f aca="false">IF($O342="","",IF(IF($B342="Global",COUNTIF('Rules &amp; Guardrails'!$F$9:$F$60,$O342),COUNTIFS('Rules &amp; Guardrails'!$F$9:$F$60,$O342,'Rules &amp; Guardrails'!$G$9:$G$60,$B342)+COUNTIFS('Rules &amp; Guardrails'!$F$9:$F$60,$O342,'Rules &amp; Guardrails'!$G$9:$G$60,"Global"))&gt;0,"Blackout",""))</f>
        <v/>
      </c>
      <c r="AO342" s="6"/>
      <c r="AP342" s="25"/>
      <c r="AQ342" s="23"/>
      <c r="AR342" s="31" t="str">
        <f aca="false">IF($D342="","",IFERROR(VLOOKUP($D342,'Rules &amp; Guardrails'!$A$9:$D$24,2,0),"Other"))</f>
        <v/>
      </c>
      <c r="AS342" s="31" t="str">
        <f aca="false">IF($O342="","",$O342&amp;"|"&amp;$B342)</f>
        <v/>
      </c>
    </row>
    <row r="343" customFormat="false" ht="15" hidden="false" customHeight="false" outlineLevel="0" collapsed="false">
      <c r="A343" s="23"/>
      <c r="B343" s="23"/>
      <c r="C343" s="23"/>
      <c r="D343" s="23"/>
      <c r="E343" s="23"/>
      <c r="F343" s="23"/>
      <c r="G343" s="6"/>
      <c r="H343" s="6"/>
      <c r="I343" s="23"/>
      <c r="J343" s="23"/>
      <c r="K343" s="23"/>
      <c r="L343" s="6"/>
      <c r="M343" s="6"/>
      <c r="N343" s="24"/>
      <c r="O343" s="25"/>
      <c r="P343" s="23"/>
      <c r="Q343" s="23"/>
      <c r="R343" s="23"/>
      <c r="S343" s="23"/>
      <c r="T343" s="26" t="str">
        <f aca="false">IF(OR($O343="",$D343=""),"",WORKDAY($O343,-IFERROR(VLOOKUP($D343,'Rules &amp; Guardrails'!$A$9:$D$24,3,0),10)))</f>
        <v/>
      </c>
      <c r="U343" s="23"/>
      <c r="V343" s="23"/>
      <c r="W343" s="23"/>
      <c r="X343" s="6"/>
      <c r="Y343" s="23"/>
      <c r="Z343" s="23"/>
      <c r="AA343" s="23"/>
      <c r="AB343" s="23"/>
      <c r="AC343" s="23"/>
      <c r="AD343" s="23"/>
      <c r="AE343" s="23"/>
      <c r="AF343" s="27" t="str">
        <f aca="true">IF($O343="","",IF(OR($AE343="Cancelled",$AE343="On hold",$AE343="Launched"),$AE343,IF(AND($Y343="Approved",OR($Z343="Yes",$Z343="N/A"),OR($AA343="Yes",$AA343="N/A"),OR($AB343="No",$AB343="N/A",AND($AB343="Yes",$AD343="Yes"))),"Ready",IF($O343&lt;TODAY(),"Overdue",IF($O343-TODAY()&lt;='Rules &amp; Guardrails'!$C$5,"At Risk","In Progress")))))</f>
        <v/>
      </c>
      <c r="AG343" s="28" t="str">
        <f aca="false">IF($O343="","",IF(OR($AE343="Launched",$AE343="Cancelled"),"",MID(IF($Y343&lt;&gt;"Approved",", Content approval","")&amp;IF(NOT(OR($Z343="Yes",$Z343="N/A")),", Assets","")&amp;IF(NOT(OR($AA343="Yes",$AA343="N/A")),", List","")&amp;IF($AB343="",", Ops decision",IF(AND($AB343="Yes",$AD343&lt;&gt;"Yes"),", Ops",""))&amp;IF($U343="",", Owner","")&amp;IF($K343="",", Segment",""),3,200)))</f>
        <v/>
      </c>
      <c r="AH343" s="29" t="str">
        <f aca="true">IF($O343="","",$O343-TODAY())</f>
        <v/>
      </c>
      <c r="AI343" s="26" t="str">
        <f aca="false">IF($O343="","",$O343-WEEKDAY($O343,3))</f>
        <v/>
      </c>
      <c r="AJ343" s="30" t="str">
        <f aca="false">IF($O343="","",DATE(YEAR($O343),MONTH($O343),1))</f>
        <v/>
      </c>
      <c r="AK343" s="31" t="str">
        <f aca="false">IF(OR($O343="",$K343=""),"",COUNTIFS('Comms Calendar'!$K$5:$K$504,$K343,'Comms Calendar'!$B$5:$B$504,$B343,'Comms Calendar'!$AI$5:$AI$504,$AI343,'Comms Calendar'!$AE$5:$AE$504,"&lt;&gt;Cancelled"))</f>
        <v/>
      </c>
      <c r="AL343" s="27" t="str">
        <f aca="false">IF($AK343="","",IF($AK343&gt;'Rules &amp; Guardrails'!$C$3,"Over cap","OK"))</f>
        <v/>
      </c>
      <c r="AM343" s="27" t="str">
        <f aca="false">IF(OR($O343="",$K343=""),"",IF(COUNTIFS('Comms Calendar'!$K$5:$K$504,$K343,'Comms Calendar'!$B$5:$B$504,$B343,'Comms Calendar'!$O$5:$O$504,$O343,'Comms Calendar'!$AE$5:$AE$504,"&lt;&gt;Cancelled")&gt;1,"Clash",""))</f>
        <v/>
      </c>
      <c r="AN343" s="27" t="str">
        <f aca="false">IF($O343="","",IF(IF($B343="Global",COUNTIF('Rules &amp; Guardrails'!$F$9:$F$60,$O343),COUNTIFS('Rules &amp; Guardrails'!$F$9:$F$60,$O343,'Rules &amp; Guardrails'!$G$9:$G$60,$B343)+COUNTIFS('Rules &amp; Guardrails'!$F$9:$F$60,$O343,'Rules &amp; Guardrails'!$G$9:$G$60,"Global"))&gt;0,"Blackout",""))</f>
        <v/>
      </c>
      <c r="AO343" s="6"/>
      <c r="AP343" s="25"/>
      <c r="AQ343" s="23"/>
      <c r="AR343" s="31" t="str">
        <f aca="false">IF($D343="","",IFERROR(VLOOKUP($D343,'Rules &amp; Guardrails'!$A$9:$D$24,2,0),"Other"))</f>
        <v/>
      </c>
      <c r="AS343" s="31" t="str">
        <f aca="false">IF($O343="","",$O343&amp;"|"&amp;$B343)</f>
        <v/>
      </c>
    </row>
    <row r="344" customFormat="false" ht="15" hidden="false" customHeight="false" outlineLevel="0" collapsed="false">
      <c r="A344" s="23"/>
      <c r="B344" s="23"/>
      <c r="C344" s="23"/>
      <c r="D344" s="23"/>
      <c r="E344" s="23"/>
      <c r="F344" s="23"/>
      <c r="G344" s="6"/>
      <c r="H344" s="6"/>
      <c r="I344" s="23"/>
      <c r="J344" s="23"/>
      <c r="K344" s="23"/>
      <c r="L344" s="6"/>
      <c r="M344" s="6"/>
      <c r="N344" s="24"/>
      <c r="O344" s="25"/>
      <c r="P344" s="23"/>
      <c r="Q344" s="23"/>
      <c r="R344" s="23"/>
      <c r="S344" s="23"/>
      <c r="T344" s="26" t="str">
        <f aca="false">IF(OR($O344="",$D344=""),"",WORKDAY($O344,-IFERROR(VLOOKUP($D344,'Rules &amp; Guardrails'!$A$9:$D$24,3,0),10)))</f>
        <v/>
      </c>
      <c r="U344" s="23"/>
      <c r="V344" s="23"/>
      <c r="W344" s="23"/>
      <c r="X344" s="6"/>
      <c r="Y344" s="23"/>
      <c r="Z344" s="23"/>
      <c r="AA344" s="23"/>
      <c r="AB344" s="23"/>
      <c r="AC344" s="23"/>
      <c r="AD344" s="23"/>
      <c r="AE344" s="23"/>
      <c r="AF344" s="27" t="str">
        <f aca="true">IF($O344="","",IF(OR($AE344="Cancelled",$AE344="On hold",$AE344="Launched"),$AE344,IF(AND($Y344="Approved",OR($Z344="Yes",$Z344="N/A"),OR($AA344="Yes",$AA344="N/A"),OR($AB344="No",$AB344="N/A",AND($AB344="Yes",$AD344="Yes"))),"Ready",IF($O344&lt;TODAY(),"Overdue",IF($O344-TODAY()&lt;='Rules &amp; Guardrails'!$C$5,"At Risk","In Progress")))))</f>
        <v/>
      </c>
      <c r="AG344" s="28" t="str">
        <f aca="false">IF($O344="","",IF(OR($AE344="Launched",$AE344="Cancelled"),"",MID(IF($Y344&lt;&gt;"Approved",", Content approval","")&amp;IF(NOT(OR($Z344="Yes",$Z344="N/A")),", Assets","")&amp;IF(NOT(OR($AA344="Yes",$AA344="N/A")),", List","")&amp;IF($AB344="",", Ops decision",IF(AND($AB344="Yes",$AD344&lt;&gt;"Yes"),", Ops",""))&amp;IF($U344="",", Owner","")&amp;IF($K344="",", Segment",""),3,200)))</f>
        <v/>
      </c>
      <c r="AH344" s="29" t="str">
        <f aca="true">IF($O344="","",$O344-TODAY())</f>
        <v/>
      </c>
      <c r="AI344" s="26" t="str">
        <f aca="false">IF($O344="","",$O344-WEEKDAY($O344,3))</f>
        <v/>
      </c>
      <c r="AJ344" s="30" t="str">
        <f aca="false">IF($O344="","",DATE(YEAR($O344),MONTH($O344),1))</f>
        <v/>
      </c>
      <c r="AK344" s="31" t="str">
        <f aca="false">IF(OR($O344="",$K344=""),"",COUNTIFS('Comms Calendar'!$K$5:$K$504,$K344,'Comms Calendar'!$B$5:$B$504,$B344,'Comms Calendar'!$AI$5:$AI$504,$AI344,'Comms Calendar'!$AE$5:$AE$504,"&lt;&gt;Cancelled"))</f>
        <v/>
      </c>
      <c r="AL344" s="27" t="str">
        <f aca="false">IF($AK344="","",IF($AK344&gt;'Rules &amp; Guardrails'!$C$3,"Over cap","OK"))</f>
        <v/>
      </c>
      <c r="AM344" s="27" t="str">
        <f aca="false">IF(OR($O344="",$K344=""),"",IF(COUNTIFS('Comms Calendar'!$K$5:$K$504,$K344,'Comms Calendar'!$B$5:$B$504,$B344,'Comms Calendar'!$O$5:$O$504,$O344,'Comms Calendar'!$AE$5:$AE$504,"&lt;&gt;Cancelled")&gt;1,"Clash",""))</f>
        <v/>
      </c>
      <c r="AN344" s="27" t="str">
        <f aca="false">IF($O344="","",IF(IF($B344="Global",COUNTIF('Rules &amp; Guardrails'!$F$9:$F$60,$O344),COUNTIFS('Rules &amp; Guardrails'!$F$9:$F$60,$O344,'Rules &amp; Guardrails'!$G$9:$G$60,$B344)+COUNTIFS('Rules &amp; Guardrails'!$F$9:$F$60,$O344,'Rules &amp; Guardrails'!$G$9:$G$60,"Global"))&gt;0,"Blackout",""))</f>
        <v/>
      </c>
      <c r="AO344" s="6"/>
      <c r="AP344" s="25"/>
      <c r="AQ344" s="23"/>
      <c r="AR344" s="31" t="str">
        <f aca="false">IF($D344="","",IFERROR(VLOOKUP($D344,'Rules &amp; Guardrails'!$A$9:$D$24,2,0),"Other"))</f>
        <v/>
      </c>
      <c r="AS344" s="31" t="str">
        <f aca="false">IF($O344="","",$O344&amp;"|"&amp;$B344)</f>
        <v/>
      </c>
    </row>
    <row r="345" customFormat="false" ht="15" hidden="false" customHeight="false" outlineLevel="0" collapsed="false">
      <c r="A345" s="23"/>
      <c r="B345" s="23"/>
      <c r="C345" s="23"/>
      <c r="D345" s="23"/>
      <c r="E345" s="23"/>
      <c r="F345" s="23"/>
      <c r="G345" s="6"/>
      <c r="H345" s="6"/>
      <c r="I345" s="23"/>
      <c r="J345" s="23"/>
      <c r="K345" s="23"/>
      <c r="L345" s="6"/>
      <c r="M345" s="6"/>
      <c r="N345" s="24"/>
      <c r="O345" s="25"/>
      <c r="P345" s="23"/>
      <c r="Q345" s="23"/>
      <c r="R345" s="23"/>
      <c r="S345" s="23"/>
      <c r="T345" s="26" t="str">
        <f aca="false">IF(OR($O345="",$D345=""),"",WORKDAY($O345,-IFERROR(VLOOKUP($D345,'Rules &amp; Guardrails'!$A$9:$D$24,3,0),10)))</f>
        <v/>
      </c>
      <c r="U345" s="23"/>
      <c r="V345" s="23"/>
      <c r="W345" s="23"/>
      <c r="X345" s="6"/>
      <c r="Y345" s="23"/>
      <c r="Z345" s="23"/>
      <c r="AA345" s="23"/>
      <c r="AB345" s="23"/>
      <c r="AC345" s="23"/>
      <c r="AD345" s="23"/>
      <c r="AE345" s="23"/>
      <c r="AF345" s="27" t="str">
        <f aca="true">IF($O345="","",IF(OR($AE345="Cancelled",$AE345="On hold",$AE345="Launched"),$AE345,IF(AND($Y345="Approved",OR($Z345="Yes",$Z345="N/A"),OR($AA345="Yes",$AA345="N/A"),OR($AB345="No",$AB345="N/A",AND($AB345="Yes",$AD345="Yes"))),"Ready",IF($O345&lt;TODAY(),"Overdue",IF($O345-TODAY()&lt;='Rules &amp; Guardrails'!$C$5,"At Risk","In Progress")))))</f>
        <v/>
      </c>
      <c r="AG345" s="28" t="str">
        <f aca="false">IF($O345="","",IF(OR($AE345="Launched",$AE345="Cancelled"),"",MID(IF($Y345&lt;&gt;"Approved",", Content approval","")&amp;IF(NOT(OR($Z345="Yes",$Z345="N/A")),", Assets","")&amp;IF(NOT(OR($AA345="Yes",$AA345="N/A")),", List","")&amp;IF($AB345="",", Ops decision",IF(AND($AB345="Yes",$AD345&lt;&gt;"Yes"),", Ops",""))&amp;IF($U345="",", Owner","")&amp;IF($K345="",", Segment",""),3,200)))</f>
        <v/>
      </c>
      <c r="AH345" s="29" t="str">
        <f aca="true">IF($O345="","",$O345-TODAY())</f>
        <v/>
      </c>
      <c r="AI345" s="26" t="str">
        <f aca="false">IF($O345="","",$O345-WEEKDAY($O345,3))</f>
        <v/>
      </c>
      <c r="AJ345" s="30" t="str">
        <f aca="false">IF($O345="","",DATE(YEAR($O345),MONTH($O345),1))</f>
        <v/>
      </c>
      <c r="AK345" s="31" t="str">
        <f aca="false">IF(OR($O345="",$K345=""),"",COUNTIFS('Comms Calendar'!$K$5:$K$504,$K345,'Comms Calendar'!$B$5:$B$504,$B345,'Comms Calendar'!$AI$5:$AI$504,$AI345,'Comms Calendar'!$AE$5:$AE$504,"&lt;&gt;Cancelled"))</f>
        <v/>
      </c>
      <c r="AL345" s="27" t="str">
        <f aca="false">IF($AK345="","",IF($AK345&gt;'Rules &amp; Guardrails'!$C$3,"Over cap","OK"))</f>
        <v/>
      </c>
      <c r="AM345" s="27" t="str">
        <f aca="false">IF(OR($O345="",$K345=""),"",IF(COUNTIFS('Comms Calendar'!$K$5:$K$504,$K345,'Comms Calendar'!$B$5:$B$504,$B345,'Comms Calendar'!$O$5:$O$504,$O345,'Comms Calendar'!$AE$5:$AE$504,"&lt;&gt;Cancelled")&gt;1,"Clash",""))</f>
        <v/>
      </c>
      <c r="AN345" s="27" t="str">
        <f aca="false">IF($O345="","",IF(IF($B345="Global",COUNTIF('Rules &amp; Guardrails'!$F$9:$F$60,$O345),COUNTIFS('Rules &amp; Guardrails'!$F$9:$F$60,$O345,'Rules &amp; Guardrails'!$G$9:$G$60,$B345)+COUNTIFS('Rules &amp; Guardrails'!$F$9:$F$60,$O345,'Rules &amp; Guardrails'!$G$9:$G$60,"Global"))&gt;0,"Blackout",""))</f>
        <v/>
      </c>
      <c r="AO345" s="6"/>
      <c r="AP345" s="25"/>
      <c r="AQ345" s="23"/>
      <c r="AR345" s="31" t="str">
        <f aca="false">IF($D345="","",IFERROR(VLOOKUP($D345,'Rules &amp; Guardrails'!$A$9:$D$24,2,0),"Other"))</f>
        <v/>
      </c>
      <c r="AS345" s="31" t="str">
        <f aca="false">IF($O345="","",$O345&amp;"|"&amp;$B345)</f>
        <v/>
      </c>
    </row>
    <row r="346" customFormat="false" ht="15" hidden="false" customHeight="false" outlineLevel="0" collapsed="false">
      <c r="A346" s="23"/>
      <c r="B346" s="23"/>
      <c r="C346" s="23"/>
      <c r="D346" s="23"/>
      <c r="E346" s="23"/>
      <c r="F346" s="23"/>
      <c r="G346" s="6"/>
      <c r="H346" s="6"/>
      <c r="I346" s="23"/>
      <c r="J346" s="23"/>
      <c r="K346" s="23"/>
      <c r="L346" s="6"/>
      <c r="M346" s="6"/>
      <c r="N346" s="24"/>
      <c r="O346" s="25"/>
      <c r="P346" s="23"/>
      <c r="Q346" s="23"/>
      <c r="R346" s="23"/>
      <c r="S346" s="23"/>
      <c r="T346" s="26" t="str">
        <f aca="false">IF(OR($O346="",$D346=""),"",WORKDAY($O346,-IFERROR(VLOOKUP($D346,'Rules &amp; Guardrails'!$A$9:$D$24,3,0),10)))</f>
        <v/>
      </c>
      <c r="U346" s="23"/>
      <c r="V346" s="23"/>
      <c r="W346" s="23"/>
      <c r="X346" s="6"/>
      <c r="Y346" s="23"/>
      <c r="Z346" s="23"/>
      <c r="AA346" s="23"/>
      <c r="AB346" s="23"/>
      <c r="AC346" s="23"/>
      <c r="AD346" s="23"/>
      <c r="AE346" s="23"/>
      <c r="AF346" s="27" t="str">
        <f aca="true">IF($O346="","",IF(OR($AE346="Cancelled",$AE346="On hold",$AE346="Launched"),$AE346,IF(AND($Y346="Approved",OR($Z346="Yes",$Z346="N/A"),OR($AA346="Yes",$AA346="N/A"),OR($AB346="No",$AB346="N/A",AND($AB346="Yes",$AD346="Yes"))),"Ready",IF($O346&lt;TODAY(),"Overdue",IF($O346-TODAY()&lt;='Rules &amp; Guardrails'!$C$5,"At Risk","In Progress")))))</f>
        <v/>
      </c>
      <c r="AG346" s="28" t="str">
        <f aca="false">IF($O346="","",IF(OR($AE346="Launched",$AE346="Cancelled"),"",MID(IF($Y346&lt;&gt;"Approved",", Content approval","")&amp;IF(NOT(OR($Z346="Yes",$Z346="N/A")),", Assets","")&amp;IF(NOT(OR($AA346="Yes",$AA346="N/A")),", List","")&amp;IF($AB346="",", Ops decision",IF(AND($AB346="Yes",$AD346&lt;&gt;"Yes"),", Ops",""))&amp;IF($U346="",", Owner","")&amp;IF($K346="",", Segment",""),3,200)))</f>
        <v/>
      </c>
      <c r="AH346" s="29" t="str">
        <f aca="true">IF($O346="","",$O346-TODAY())</f>
        <v/>
      </c>
      <c r="AI346" s="26" t="str">
        <f aca="false">IF($O346="","",$O346-WEEKDAY($O346,3))</f>
        <v/>
      </c>
      <c r="AJ346" s="30" t="str">
        <f aca="false">IF($O346="","",DATE(YEAR($O346),MONTH($O346),1))</f>
        <v/>
      </c>
      <c r="AK346" s="31" t="str">
        <f aca="false">IF(OR($O346="",$K346=""),"",COUNTIFS('Comms Calendar'!$K$5:$K$504,$K346,'Comms Calendar'!$B$5:$B$504,$B346,'Comms Calendar'!$AI$5:$AI$504,$AI346,'Comms Calendar'!$AE$5:$AE$504,"&lt;&gt;Cancelled"))</f>
        <v/>
      </c>
      <c r="AL346" s="27" t="str">
        <f aca="false">IF($AK346="","",IF($AK346&gt;'Rules &amp; Guardrails'!$C$3,"Over cap","OK"))</f>
        <v/>
      </c>
      <c r="AM346" s="27" t="str">
        <f aca="false">IF(OR($O346="",$K346=""),"",IF(COUNTIFS('Comms Calendar'!$K$5:$K$504,$K346,'Comms Calendar'!$B$5:$B$504,$B346,'Comms Calendar'!$O$5:$O$504,$O346,'Comms Calendar'!$AE$5:$AE$504,"&lt;&gt;Cancelled")&gt;1,"Clash",""))</f>
        <v/>
      </c>
      <c r="AN346" s="27" t="str">
        <f aca="false">IF($O346="","",IF(IF($B346="Global",COUNTIF('Rules &amp; Guardrails'!$F$9:$F$60,$O346),COUNTIFS('Rules &amp; Guardrails'!$F$9:$F$60,$O346,'Rules &amp; Guardrails'!$G$9:$G$60,$B346)+COUNTIFS('Rules &amp; Guardrails'!$F$9:$F$60,$O346,'Rules &amp; Guardrails'!$G$9:$G$60,"Global"))&gt;0,"Blackout",""))</f>
        <v/>
      </c>
      <c r="AO346" s="6"/>
      <c r="AP346" s="25"/>
      <c r="AQ346" s="23"/>
      <c r="AR346" s="31" t="str">
        <f aca="false">IF($D346="","",IFERROR(VLOOKUP($D346,'Rules &amp; Guardrails'!$A$9:$D$24,2,0),"Other"))</f>
        <v/>
      </c>
      <c r="AS346" s="31" t="str">
        <f aca="false">IF($O346="","",$O346&amp;"|"&amp;$B346)</f>
        <v/>
      </c>
    </row>
    <row r="347" customFormat="false" ht="15" hidden="false" customHeight="false" outlineLevel="0" collapsed="false">
      <c r="A347" s="23"/>
      <c r="B347" s="23"/>
      <c r="C347" s="23"/>
      <c r="D347" s="23"/>
      <c r="E347" s="23"/>
      <c r="F347" s="23"/>
      <c r="G347" s="6"/>
      <c r="H347" s="6"/>
      <c r="I347" s="23"/>
      <c r="J347" s="23"/>
      <c r="K347" s="23"/>
      <c r="L347" s="6"/>
      <c r="M347" s="6"/>
      <c r="N347" s="24"/>
      <c r="O347" s="25"/>
      <c r="P347" s="23"/>
      <c r="Q347" s="23"/>
      <c r="R347" s="23"/>
      <c r="S347" s="23"/>
      <c r="T347" s="26" t="str">
        <f aca="false">IF(OR($O347="",$D347=""),"",WORKDAY($O347,-IFERROR(VLOOKUP($D347,'Rules &amp; Guardrails'!$A$9:$D$24,3,0),10)))</f>
        <v/>
      </c>
      <c r="U347" s="23"/>
      <c r="V347" s="23"/>
      <c r="W347" s="23"/>
      <c r="X347" s="6"/>
      <c r="Y347" s="23"/>
      <c r="Z347" s="23"/>
      <c r="AA347" s="23"/>
      <c r="AB347" s="23"/>
      <c r="AC347" s="23"/>
      <c r="AD347" s="23"/>
      <c r="AE347" s="23"/>
      <c r="AF347" s="27" t="str">
        <f aca="true">IF($O347="","",IF(OR($AE347="Cancelled",$AE347="On hold",$AE347="Launched"),$AE347,IF(AND($Y347="Approved",OR($Z347="Yes",$Z347="N/A"),OR($AA347="Yes",$AA347="N/A"),OR($AB347="No",$AB347="N/A",AND($AB347="Yes",$AD347="Yes"))),"Ready",IF($O347&lt;TODAY(),"Overdue",IF($O347-TODAY()&lt;='Rules &amp; Guardrails'!$C$5,"At Risk","In Progress")))))</f>
        <v/>
      </c>
      <c r="AG347" s="28" t="str">
        <f aca="false">IF($O347="","",IF(OR($AE347="Launched",$AE347="Cancelled"),"",MID(IF($Y347&lt;&gt;"Approved",", Content approval","")&amp;IF(NOT(OR($Z347="Yes",$Z347="N/A")),", Assets","")&amp;IF(NOT(OR($AA347="Yes",$AA347="N/A")),", List","")&amp;IF($AB347="",", Ops decision",IF(AND($AB347="Yes",$AD347&lt;&gt;"Yes"),", Ops",""))&amp;IF($U347="",", Owner","")&amp;IF($K347="",", Segment",""),3,200)))</f>
        <v/>
      </c>
      <c r="AH347" s="29" t="str">
        <f aca="true">IF($O347="","",$O347-TODAY())</f>
        <v/>
      </c>
      <c r="AI347" s="26" t="str">
        <f aca="false">IF($O347="","",$O347-WEEKDAY($O347,3))</f>
        <v/>
      </c>
      <c r="AJ347" s="30" t="str">
        <f aca="false">IF($O347="","",DATE(YEAR($O347),MONTH($O347),1))</f>
        <v/>
      </c>
      <c r="AK347" s="31" t="str">
        <f aca="false">IF(OR($O347="",$K347=""),"",COUNTIFS('Comms Calendar'!$K$5:$K$504,$K347,'Comms Calendar'!$B$5:$B$504,$B347,'Comms Calendar'!$AI$5:$AI$504,$AI347,'Comms Calendar'!$AE$5:$AE$504,"&lt;&gt;Cancelled"))</f>
        <v/>
      </c>
      <c r="AL347" s="27" t="str">
        <f aca="false">IF($AK347="","",IF($AK347&gt;'Rules &amp; Guardrails'!$C$3,"Over cap","OK"))</f>
        <v/>
      </c>
      <c r="AM347" s="27" t="str">
        <f aca="false">IF(OR($O347="",$K347=""),"",IF(COUNTIFS('Comms Calendar'!$K$5:$K$504,$K347,'Comms Calendar'!$B$5:$B$504,$B347,'Comms Calendar'!$O$5:$O$504,$O347,'Comms Calendar'!$AE$5:$AE$504,"&lt;&gt;Cancelled")&gt;1,"Clash",""))</f>
        <v/>
      </c>
      <c r="AN347" s="27" t="str">
        <f aca="false">IF($O347="","",IF(IF($B347="Global",COUNTIF('Rules &amp; Guardrails'!$F$9:$F$60,$O347),COUNTIFS('Rules &amp; Guardrails'!$F$9:$F$60,$O347,'Rules &amp; Guardrails'!$G$9:$G$60,$B347)+COUNTIFS('Rules &amp; Guardrails'!$F$9:$F$60,$O347,'Rules &amp; Guardrails'!$G$9:$G$60,"Global"))&gt;0,"Blackout",""))</f>
        <v/>
      </c>
      <c r="AO347" s="6"/>
      <c r="AP347" s="25"/>
      <c r="AQ347" s="23"/>
      <c r="AR347" s="31" t="str">
        <f aca="false">IF($D347="","",IFERROR(VLOOKUP($D347,'Rules &amp; Guardrails'!$A$9:$D$24,2,0),"Other"))</f>
        <v/>
      </c>
      <c r="AS347" s="31" t="str">
        <f aca="false">IF($O347="","",$O347&amp;"|"&amp;$B347)</f>
        <v/>
      </c>
    </row>
    <row r="348" customFormat="false" ht="15" hidden="false" customHeight="false" outlineLevel="0" collapsed="false">
      <c r="A348" s="23"/>
      <c r="B348" s="23"/>
      <c r="C348" s="23"/>
      <c r="D348" s="23"/>
      <c r="E348" s="23"/>
      <c r="F348" s="23"/>
      <c r="G348" s="6"/>
      <c r="H348" s="6"/>
      <c r="I348" s="23"/>
      <c r="J348" s="23"/>
      <c r="K348" s="23"/>
      <c r="L348" s="6"/>
      <c r="M348" s="6"/>
      <c r="N348" s="24"/>
      <c r="O348" s="25"/>
      <c r="P348" s="23"/>
      <c r="Q348" s="23"/>
      <c r="R348" s="23"/>
      <c r="S348" s="23"/>
      <c r="T348" s="26" t="str">
        <f aca="false">IF(OR($O348="",$D348=""),"",WORKDAY($O348,-IFERROR(VLOOKUP($D348,'Rules &amp; Guardrails'!$A$9:$D$24,3,0),10)))</f>
        <v/>
      </c>
      <c r="U348" s="23"/>
      <c r="V348" s="23"/>
      <c r="W348" s="23"/>
      <c r="X348" s="6"/>
      <c r="Y348" s="23"/>
      <c r="Z348" s="23"/>
      <c r="AA348" s="23"/>
      <c r="AB348" s="23"/>
      <c r="AC348" s="23"/>
      <c r="AD348" s="23"/>
      <c r="AE348" s="23"/>
      <c r="AF348" s="27" t="str">
        <f aca="true">IF($O348="","",IF(OR($AE348="Cancelled",$AE348="On hold",$AE348="Launched"),$AE348,IF(AND($Y348="Approved",OR($Z348="Yes",$Z348="N/A"),OR($AA348="Yes",$AA348="N/A"),OR($AB348="No",$AB348="N/A",AND($AB348="Yes",$AD348="Yes"))),"Ready",IF($O348&lt;TODAY(),"Overdue",IF($O348-TODAY()&lt;='Rules &amp; Guardrails'!$C$5,"At Risk","In Progress")))))</f>
        <v/>
      </c>
      <c r="AG348" s="28" t="str">
        <f aca="false">IF($O348="","",IF(OR($AE348="Launched",$AE348="Cancelled"),"",MID(IF($Y348&lt;&gt;"Approved",", Content approval","")&amp;IF(NOT(OR($Z348="Yes",$Z348="N/A")),", Assets","")&amp;IF(NOT(OR($AA348="Yes",$AA348="N/A")),", List","")&amp;IF($AB348="",", Ops decision",IF(AND($AB348="Yes",$AD348&lt;&gt;"Yes"),", Ops",""))&amp;IF($U348="",", Owner","")&amp;IF($K348="",", Segment",""),3,200)))</f>
        <v/>
      </c>
      <c r="AH348" s="29" t="str">
        <f aca="true">IF($O348="","",$O348-TODAY())</f>
        <v/>
      </c>
      <c r="AI348" s="26" t="str">
        <f aca="false">IF($O348="","",$O348-WEEKDAY($O348,3))</f>
        <v/>
      </c>
      <c r="AJ348" s="30" t="str">
        <f aca="false">IF($O348="","",DATE(YEAR($O348),MONTH($O348),1))</f>
        <v/>
      </c>
      <c r="AK348" s="31" t="str">
        <f aca="false">IF(OR($O348="",$K348=""),"",COUNTIFS('Comms Calendar'!$K$5:$K$504,$K348,'Comms Calendar'!$B$5:$B$504,$B348,'Comms Calendar'!$AI$5:$AI$504,$AI348,'Comms Calendar'!$AE$5:$AE$504,"&lt;&gt;Cancelled"))</f>
        <v/>
      </c>
      <c r="AL348" s="27" t="str">
        <f aca="false">IF($AK348="","",IF($AK348&gt;'Rules &amp; Guardrails'!$C$3,"Over cap","OK"))</f>
        <v/>
      </c>
      <c r="AM348" s="27" t="str">
        <f aca="false">IF(OR($O348="",$K348=""),"",IF(COUNTIFS('Comms Calendar'!$K$5:$K$504,$K348,'Comms Calendar'!$B$5:$B$504,$B348,'Comms Calendar'!$O$5:$O$504,$O348,'Comms Calendar'!$AE$5:$AE$504,"&lt;&gt;Cancelled")&gt;1,"Clash",""))</f>
        <v/>
      </c>
      <c r="AN348" s="27" t="str">
        <f aca="false">IF($O348="","",IF(IF($B348="Global",COUNTIF('Rules &amp; Guardrails'!$F$9:$F$60,$O348),COUNTIFS('Rules &amp; Guardrails'!$F$9:$F$60,$O348,'Rules &amp; Guardrails'!$G$9:$G$60,$B348)+COUNTIFS('Rules &amp; Guardrails'!$F$9:$F$60,$O348,'Rules &amp; Guardrails'!$G$9:$G$60,"Global"))&gt;0,"Blackout",""))</f>
        <v/>
      </c>
      <c r="AO348" s="6"/>
      <c r="AP348" s="25"/>
      <c r="AQ348" s="23"/>
      <c r="AR348" s="31" t="str">
        <f aca="false">IF($D348="","",IFERROR(VLOOKUP($D348,'Rules &amp; Guardrails'!$A$9:$D$24,2,0),"Other"))</f>
        <v/>
      </c>
      <c r="AS348" s="31" t="str">
        <f aca="false">IF($O348="","",$O348&amp;"|"&amp;$B348)</f>
        <v/>
      </c>
    </row>
    <row r="349" customFormat="false" ht="15" hidden="false" customHeight="false" outlineLevel="0" collapsed="false">
      <c r="A349" s="23"/>
      <c r="B349" s="23"/>
      <c r="C349" s="23"/>
      <c r="D349" s="23"/>
      <c r="E349" s="23"/>
      <c r="F349" s="23"/>
      <c r="G349" s="6"/>
      <c r="H349" s="6"/>
      <c r="I349" s="23"/>
      <c r="J349" s="23"/>
      <c r="K349" s="23"/>
      <c r="L349" s="6"/>
      <c r="M349" s="6"/>
      <c r="N349" s="24"/>
      <c r="O349" s="25"/>
      <c r="P349" s="23"/>
      <c r="Q349" s="23"/>
      <c r="R349" s="23"/>
      <c r="S349" s="23"/>
      <c r="T349" s="26" t="str">
        <f aca="false">IF(OR($O349="",$D349=""),"",WORKDAY($O349,-IFERROR(VLOOKUP($D349,'Rules &amp; Guardrails'!$A$9:$D$24,3,0),10)))</f>
        <v/>
      </c>
      <c r="U349" s="23"/>
      <c r="V349" s="23"/>
      <c r="W349" s="23"/>
      <c r="X349" s="6"/>
      <c r="Y349" s="23"/>
      <c r="Z349" s="23"/>
      <c r="AA349" s="23"/>
      <c r="AB349" s="23"/>
      <c r="AC349" s="23"/>
      <c r="AD349" s="23"/>
      <c r="AE349" s="23"/>
      <c r="AF349" s="27" t="str">
        <f aca="true">IF($O349="","",IF(OR($AE349="Cancelled",$AE349="On hold",$AE349="Launched"),$AE349,IF(AND($Y349="Approved",OR($Z349="Yes",$Z349="N/A"),OR($AA349="Yes",$AA349="N/A"),OR($AB349="No",$AB349="N/A",AND($AB349="Yes",$AD349="Yes"))),"Ready",IF($O349&lt;TODAY(),"Overdue",IF($O349-TODAY()&lt;='Rules &amp; Guardrails'!$C$5,"At Risk","In Progress")))))</f>
        <v/>
      </c>
      <c r="AG349" s="28" t="str">
        <f aca="false">IF($O349="","",IF(OR($AE349="Launched",$AE349="Cancelled"),"",MID(IF($Y349&lt;&gt;"Approved",", Content approval","")&amp;IF(NOT(OR($Z349="Yes",$Z349="N/A")),", Assets","")&amp;IF(NOT(OR($AA349="Yes",$AA349="N/A")),", List","")&amp;IF($AB349="",", Ops decision",IF(AND($AB349="Yes",$AD349&lt;&gt;"Yes"),", Ops",""))&amp;IF($U349="",", Owner","")&amp;IF($K349="",", Segment",""),3,200)))</f>
        <v/>
      </c>
      <c r="AH349" s="29" t="str">
        <f aca="true">IF($O349="","",$O349-TODAY())</f>
        <v/>
      </c>
      <c r="AI349" s="26" t="str">
        <f aca="false">IF($O349="","",$O349-WEEKDAY($O349,3))</f>
        <v/>
      </c>
      <c r="AJ349" s="30" t="str">
        <f aca="false">IF($O349="","",DATE(YEAR($O349),MONTH($O349),1))</f>
        <v/>
      </c>
      <c r="AK349" s="31" t="str">
        <f aca="false">IF(OR($O349="",$K349=""),"",COUNTIFS('Comms Calendar'!$K$5:$K$504,$K349,'Comms Calendar'!$B$5:$B$504,$B349,'Comms Calendar'!$AI$5:$AI$504,$AI349,'Comms Calendar'!$AE$5:$AE$504,"&lt;&gt;Cancelled"))</f>
        <v/>
      </c>
      <c r="AL349" s="27" t="str">
        <f aca="false">IF($AK349="","",IF($AK349&gt;'Rules &amp; Guardrails'!$C$3,"Over cap","OK"))</f>
        <v/>
      </c>
      <c r="AM349" s="27" t="str">
        <f aca="false">IF(OR($O349="",$K349=""),"",IF(COUNTIFS('Comms Calendar'!$K$5:$K$504,$K349,'Comms Calendar'!$B$5:$B$504,$B349,'Comms Calendar'!$O$5:$O$504,$O349,'Comms Calendar'!$AE$5:$AE$504,"&lt;&gt;Cancelled")&gt;1,"Clash",""))</f>
        <v/>
      </c>
      <c r="AN349" s="27" t="str">
        <f aca="false">IF($O349="","",IF(IF($B349="Global",COUNTIF('Rules &amp; Guardrails'!$F$9:$F$60,$O349),COUNTIFS('Rules &amp; Guardrails'!$F$9:$F$60,$O349,'Rules &amp; Guardrails'!$G$9:$G$60,$B349)+COUNTIFS('Rules &amp; Guardrails'!$F$9:$F$60,$O349,'Rules &amp; Guardrails'!$G$9:$G$60,"Global"))&gt;0,"Blackout",""))</f>
        <v/>
      </c>
      <c r="AO349" s="6"/>
      <c r="AP349" s="25"/>
      <c r="AQ349" s="23"/>
      <c r="AR349" s="31" t="str">
        <f aca="false">IF($D349="","",IFERROR(VLOOKUP($D349,'Rules &amp; Guardrails'!$A$9:$D$24,2,0),"Other"))</f>
        <v/>
      </c>
      <c r="AS349" s="31" t="str">
        <f aca="false">IF($O349="","",$O349&amp;"|"&amp;$B349)</f>
        <v/>
      </c>
    </row>
    <row r="350" customFormat="false" ht="15" hidden="false" customHeight="false" outlineLevel="0" collapsed="false">
      <c r="A350" s="23"/>
      <c r="B350" s="23"/>
      <c r="C350" s="23"/>
      <c r="D350" s="23"/>
      <c r="E350" s="23"/>
      <c r="F350" s="23"/>
      <c r="G350" s="6"/>
      <c r="H350" s="6"/>
      <c r="I350" s="23"/>
      <c r="J350" s="23"/>
      <c r="K350" s="23"/>
      <c r="L350" s="6"/>
      <c r="M350" s="6"/>
      <c r="N350" s="24"/>
      <c r="O350" s="25"/>
      <c r="P350" s="23"/>
      <c r="Q350" s="23"/>
      <c r="R350" s="23"/>
      <c r="S350" s="23"/>
      <c r="T350" s="26" t="str">
        <f aca="false">IF(OR($O350="",$D350=""),"",WORKDAY($O350,-IFERROR(VLOOKUP($D350,'Rules &amp; Guardrails'!$A$9:$D$24,3,0),10)))</f>
        <v/>
      </c>
      <c r="U350" s="23"/>
      <c r="V350" s="23"/>
      <c r="W350" s="23"/>
      <c r="X350" s="6"/>
      <c r="Y350" s="23"/>
      <c r="Z350" s="23"/>
      <c r="AA350" s="23"/>
      <c r="AB350" s="23"/>
      <c r="AC350" s="23"/>
      <c r="AD350" s="23"/>
      <c r="AE350" s="23"/>
      <c r="AF350" s="27" t="str">
        <f aca="true">IF($O350="","",IF(OR($AE350="Cancelled",$AE350="On hold",$AE350="Launched"),$AE350,IF(AND($Y350="Approved",OR($Z350="Yes",$Z350="N/A"),OR($AA350="Yes",$AA350="N/A"),OR($AB350="No",$AB350="N/A",AND($AB350="Yes",$AD350="Yes"))),"Ready",IF($O350&lt;TODAY(),"Overdue",IF($O350-TODAY()&lt;='Rules &amp; Guardrails'!$C$5,"At Risk","In Progress")))))</f>
        <v/>
      </c>
      <c r="AG350" s="28" t="str">
        <f aca="false">IF($O350="","",IF(OR($AE350="Launched",$AE350="Cancelled"),"",MID(IF($Y350&lt;&gt;"Approved",", Content approval","")&amp;IF(NOT(OR($Z350="Yes",$Z350="N/A")),", Assets","")&amp;IF(NOT(OR($AA350="Yes",$AA350="N/A")),", List","")&amp;IF($AB350="",", Ops decision",IF(AND($AB350="Yes",$AD350&lt;&gt;"Yes"),", Ops",""))&amp;IF($U350="",", Owner","")&amp;IF($K350="",", Segment",""),3,200)))</f>
        <v/>
      </c>
      <c r="AH350" s="29" t="str">
        <f aca="true">IF($O350="","",$O350-TODAY())</f>
        <v/>
      </c>
      <c r="AI350" s="26" t="str">
        <f aca="false">IF($O350="","",$O350-WEEKDAY($O350,3))</f>
        <v/>
      </c>
      <c r="AJ350" s="30" t="str">
        <f aca="false">IF($O350="","",DATE(YEAR($O350),MONTH($O350),1))</f>
        <v/>
      </c>
      <c r="AK350" s="31" t="str">
        <f aca="false">IF(OR($O350="",$K350=""),"",COUNTIFS('Comms Calendar'!$K$5:$K$504,$K350,'Comms Calendar'!$B$5:$B$504,$B350,'Comms Calendar'!$AI$5:$AI$504,$AI350,'Comms Calendar'!$AE$5:$AE$504,"&lt;&gt;Cancelled"))</f>
        <v/>
      </c>
      <c r="AL350" s="27" t="str">
        <f aca="false">IF($AK350="","",IF($AK350&gt;'Rules &amp; Guardrails'!$C$3,"Over cap","OK"))</f>
        <v/>
      </c>
      <c r="AM350" s="27" t="str">
        <f aca="false">IF(OR($O350="",$K350=""),"",IF(COUNTIFS('Comms Calendar'!$K$5:$K$504,$K350,'Comms Calendar'!$B$5:$B$504,$B350,'Comms Calendar'!$O$5:$O$504,$O350,'Comms Calendar'!$AE$5:$AE$504,"&lt;&gt;Cancelled")&gt;1,"Clash",""))</f>
        <v/>
      </c>
      <c r="AN350" s="27" t="str">
        <f aca="false">IF($O350="","",IF(IF($B350="Global",COUNTIF('Rules &amp; Guardrails'!$F$9:$F$60,$O350),COUNTIFS('Rules &amp; Guardrails'!$F$9:$F$60,$O350,'Rules &amp; Guardrails'!$G$9:$G$60,$B350)+COUNTIFS('Rules &amp; Guardrails'!$F$9:$F$60,$O350,'Rules &amp; Guardrails'!$G$9:$G$60,"Global"))&gt;0,"Blackout",""))</f>
        <v/>
      </c>
      <c r="AO350" s="6"/>
      <c r="AP350" s="25"/>
      <c r="AQ350" s="23"/>
      <c r="AR350" s="31" t="str">
        <f aca="false">IF($D350="","",IFERROR(VLOOKUP($D350,'Rules &amp; Guardrails'!$A$9:$D$24,2,0),"Other"))</f>
        <v/>
      </c>
      <c r="AS350" s="31" t="str">
        <f aca="false">IF($O350="","",$O350&amp;"|"&amp;$B350)</f>
        <v/>
      </c>
    </row>
    <row r="351" customFormat="false" ht="15" hidden="false" customHeight="false" outlineLevel="0" collapsed="false">
      <c r="A351" s="23"/>
      <c r="B351" s="23"/>
      <c r="C351" s="23"/>
      <c r="D351" s="23"/>
      <c r="E351" s="23"/>
      <c r="F351" s="23"/>
      <c r="G351" s="6"/>
      <c r="H351" s="6"/>
      <c r="I351" s="23"/>
      <c r="J351" s="23"/>
      <c r="K351" s="23"/>
      <c r="L351" s="6"/>
      <c r="M351" s="6"/>
      <c r="N351" s="24"/>
      <c r="O351" s="25"/>
      <c r="P351" s="23"/>
      <c r="Q351" s="23"/>
      <c r="R351" s="23"/>
      <c r="S351" s="23"/>
      <c r="T351" s="26" t="str">
        <f aca="false">IF(OR($O351="",$D351=""),"",WORKDAY($O351,-IFERROR(VLOOKUP($D351,'Rules &amp; Guardrails'!$A$9:$D$24,3,0),10)))</f>
        <v/>
      </c>
      <c r="U351" s="23"/>
      <c r="V351" s="23"/>
      <c r="W351" s="23"/>
      <c r="X351" s="6"/>
      <c r="Y351" s="23"/>
      <c r="Z351" s="23"/>
      <c r="AA351" s="23"/>
      <c r="AB351" s="23"/>
      <c r="AC351" s="23"/>
      <c r="AD351" s="23"/>
      <c r="AE351" s="23"/>
      <c r="AF351" s="27" t="str">
        <f aca="true">IF($O351="","",IF(OR($AE351="Cancelled",$AE351="On hold",$AE351="Launched"),$AE351,IF(AND($Y351="Approved",OR($Z351="Yes",$Z351="N/A"),OR($AA351="Yes",$AA351="N/A"),OR($AB351="No",$AB351="N/A",AND($AB351="Yes",$AD351="Yes"))),"Ready",IF($O351&lt;TODAY(),"Overdue",IF($O351-TODAY()&lt;='Rules &amp; Guardrails'!$C$5,"At Risk","In Progress")))))</f>
        <v/>
      </c>
      <c r="AG351" s="28" t="str">
        <f aca="false">IF($O351="","",IF(OR($AE351="Launched",$AE351="Cancelled"),"",MID(IF($Y351&lt;&gt;"Approved",", Content approval","")&amp;IF(NOT(OR($Z351="Yes",$Z351="N/A")),", Assets","")&amp;IF(NOT(OR($AA351="Yes",$AA351="N/A")),", List","")&amp;IF($AB351="",", Ops decision",IF(AND($AB351="Yes",$AD351&lt;&gt;"Yes"),", Ops",""))&amp;IF($U351="",", Owner","")&amp;IF($K351="",", Segment",""),3,200)))</f>
        <v/>
      </c>
      <c r="AH351" s="29" t="str">
        <f aca="true">IF($O351="","",$O351-TODAY())</f>
        <v/>
      </c>
      <c r="AI351" s="26" t="str">
        <f aca="false">IF($O351="","",$O351-WEEKDAY($O351,3))</f>
        <v/>
      </c>
      <c r="AJ351" s="30" t="str">
        <f aca="false">IF($O351="","",DATE(YEAR($O351),MONTH($O351),1))</f>
        <v/>
      </c>
      <c r="AK351" s="31" t="str">
        <f aca="false">IF(OR($O351="",$K351=""),"",COUNTIFS('Comms Calendar'!$K$5:$K$504,$K351,'Comms Calendar'!$B$5:$B$504,$B351,'Comms Calendar'!$AI$5:$AI$504,$AI351,'Comms Calendar'!$AE$5:$AE$504,"&lt;&gt;Cancelled"))</f>
        <v/>
      </c>
      <c r="AL351" s="27" t="str">
        <f aca="false">IF($AK351="","",IF($AK351&gt;'Rules &amp; Guardrails'!$C$3,"Over cap","OK"))</f>
        <v/>
      </c>
      <c r="AM351" s="27" t="str">
        <f aca="false">IF(OR($O351="",$K351=""),"",IF(COUNTIFS('Comms Calendar'!$K$5:$K$504,$K351,'Comms Calendar'!$B$5:$B$504,$B351,'Comms Calendar'!$O$5:$O$504,$O351,'Comms Calendar'!$AE$5:$AE$504,"&lt;&gt;Cancelled")&gt;1,"Clash",""))</f>
        <v/>
      </c>
      <c r="AN351" s="27" t="str">
        <f aca="false">IF($O351="","",IF(IF($B351="Global",COUNTIF('Rules &amp; Guardrails'!$F$9:$F$60,$O351),COUNTIFS('Rules &amp; Guardrails'!$F$9:$F$60,$O351,'Rules &amp; Guardrails'!$G$9:$G$60,$B351)+COUNTIFS('Rules &amp; Guardrails'!$F$9:$F$60,$O351,'Rules &amp; Guardrails'!$G$9:$G$60,"Global"))&gt;0,"Blackout",""))</f>
        <v/>
      </c>
      <c r="AO351" s="6"/>
      <c r="AP351" s="25"/>
      <c r="AQ351" s="23"/>
      <c r="AR351" s="31" t="str">
        <f aca="false">IF($D351="","",IFERROR(VLOOKUP($D351,'Rules &amp; Guardrails'!$A$9:$D$24,2,0),"Other"))</f>
        <v/>
      </c>
      <c r="AS351" s="31" t="str">
        <f aca="false">IF($O351="","",$O351&amp;"|"&amp;$B351)</f>
        <v/>
      </c>
    </row>
    <row r="352" customFormat="false" ht="15" hidden="false" customHeight="false" outlineLevel="0" collapsed="false">
      <c r="A352" s="23"/>
      <c r="B352" s="23"/>
      <c r="C352" s="23"/>
      <c r="D352" s="23"/>
      <c r="E352" s="23"/>
      <c r="F352" s="23"/>
      <c r="G352" s="6"/>
      <c r="H352" s="6"/>
      <c r="I352" s="23"/>
      <c r="J352" s="23"/>
      <c r="K352" s="23"/>
      <c r="L352" s="6"/>
      <c r="M352" s="6"/>
      <c r="N352" s="24"/>
      <c r="O352" s="25"/>
      <c r="P352" s="23"/>
      <c r="Q352" s="23"/>
      <c r="R352" s="23"/>
      <c r="S352" s="23"/>
      <c r="T352" s="26" t="str">
        <f aca="false">IF(OR($O352="",$D352=""),"",WORKDAY($O352,-IFERROR(VLOOKUP($D352,'Rules &amp; Guardrails'!$A$9:$D$24,3,0),10)))</f>
        <v/>
      </c>
      <c r="U352" s="23"/>
      <c r="V352" s="23"/>
      <c r="W352" s="23"/>
      <c r="X352" s="6"/>
      <c r="Y352" s="23"/>
      <c r="Z352" s="23"/>
      <c r="AA352" s="23"/>
      <c r="AB352" s="23"/>
      <c r="AC352" s="23"/>
      <c r="AD352" s="23"/>
      <c r="AE352" s="23"/>
      <c r="AF352" s="27" t="str">
        <f aca="true">IF($O352="","",IF(OR($AE352="Cancelled",$AE352="On hold",$AE352="Launched"),$AE352,IF(AND($Y352="Approved",OR($Z352="Yes",$Z352="N/A"),OR($AA352="Yes",$AA352="N/A"),OR($AB352="No",$AB352="N/A",AND($AB352="Yes",$AD352="Yes"))),"Ready",IF($O352&lt;TODAY(),"Overdue",IF($O352-TODAY()&lt;='Rules &amp; Guardrails'!$C$5,"At Risk","In Progress")))))</f>
        <v/>
      </c>
      <c r="AG352" s="28" t="str">
        <f aca="false">IF($O352="","",IF(OR($AE352="Launched",$AE352="Cancelled"),"",MID(IF($Y352&lt;&gt;"Approved",", Content approval","")&amp;IF(NOT(OR($Z352="Yes",$Z352="N/A")),", Assets","")&amp;IF(NOT(OR($AA352="Yes",$AA352="N/A")),", List","")&amp;IF($AB352="",", Ops decision",IF(AND($AB352="Yes",$AD352&lt;&gt;"Yes"),", Ops",""))&amp;IF($U352="",", Owner","")&amp;IF($K352="",", Segment",""),3,200)))</f>
        <v/>
      </c>
      <c r="AH352" s="29" t="str">
        <f aca="true">IF($O352="","",$O352-TODAY())</f>
        <v/>
      </c>
      <c r="AI352" s="26" t="str">
        <f aca="false">IF($O352="","",$O352-WEEKDAY($O352,3))</f>
        <v/>
      </c>
      <c r="AJ352" s="30" t="str">
        <f aca="false">IF($O352="","",DATE(YEAR($O352),MONTH($O352),1))</f>
        <v/>
      </c>
      <c r="AK352" s="31" t="str">
        <f aca="false">IF(OR($O352="",$K352=""),"",COUNTIFS('Comms Calendar'!$K$5:$K$504,$K352,'Comms Calendar'!$B$5:$B$504,$B352,'Comms Calendar'!$AI$5:$AI$504,$AI352,'Comms Calendar'!$AE$5:$AE$504,"&lt;&gt;Cancelled"))</f>
        <v/>
      </c>
      <c r="AL352" s="27" t="str">
        <f aca="false">IF($AK352="","",IF($AK352&gt;'Rules &amp; Guardrails'!$C$3,"Over cap","OK"))</f>
        <v/>
      </c>
      <c r="AM352" s="27" t="str">
        <f aca="false">IF(OR($O352="",$K352=""),"",IF(COUNTIFS('Comms Calendar'!$K$5:$K$504,$K352,'Comms Calendar'!$B$5:$B$504,$B352,'Comms Calendar'!$O$5:$O$504,$O352,'Comms Calendar'!$AE$5:$AE$504,"&lt;&gt;Cancelled")&gt;1,"Clash",""))</f>
        <v/>
      </c>
      <c r="AN352" s="27" t="str">
        <f aca="false">IF($O352="","",IF(IF($B352="Global",COUNTIF('Rules &amp; Guardrails'!$F$9:$F$60,$O352),COUNTIFS('Rules &amp; Guardrails'!$F$9:$F$60,$O352,'Rules &amp; Guardrails'!$G$9:$G$60,$B352)+COUNTIFS('Rules &amp; Guardrails'!$F$9:$F$60,$O352,'Rules &amp; Guardrails'!$G$9:$G$60,"Global"))&gt;0,"Blackout",""))</f>
        <v/>
      </c>
      <c r="AO352" s="6"/>
      <c r="AP352" s="25"/>
      <c r="AQ352" s="23"/>
      <c r="AR352" s="31" t="str">
        <f aca="false">IF($D352="","",IFERROR(VLOOKUP($D352,'Rules &amp; Guardrails'!$A$9:$D$24,2,0),"Other"))</f>
        <v/>
      </c>
      <c r="AS352" s="31" t="str">
        <f aca="false">IF($O352="","",$O352&amp;"|"&amp;$B352)</f>
        <v/>
      </c>
    </row>
    <row r="353" customFormat="false" ht="15" hidden="false" customHeight="false" outlineLevel="0" collapsed="false">
      <c r="A353" s="23"/>
      <c r="B353" s="23"/>
      <c r="C353" s="23"/>
      <c r="D353" s="23"/>
      <c r="E353" s="23"/>
      <c r="F353" s="23"/>
      <c r="G353" s="6"/>
      <c r="H353" s="6"/>
      <c r="I353" s="23"/>
      <c r="J353" s="23"/>
      <c r="K353" s="23"/>
      <c r="L353" s="6"/>
      <c r="M353" s="6"/>
      <c r="N353" s="24"/>
      <c r="O353" s="25"/>
      <c r="P353" s="23"/>
      <c r="Q353" s="23"/>
      <c r="R353" s="23"/>
      <c r="S353" s="23"/>
      <c r="T353" s="26" t="str">
        <f aca="false">IF(OR($O353="",$D353=""),"",WORKDAY($O353,-IFERROR(VLOOKUP($D353,'Rules &amp; Guardrails'!$A$9:$D$24,3,0),10)))</f>
        <v/>
      </c>
      <c r="U353" s="23"/>
      <c r="V353" s="23"/>
      <c r="W353" s="23"/>
      <c r="X353" s="6"/>
      <c r="Y353" s="23"/>
      <c r="Z353" s="23"/>
      <c r="AA353" s="23"/>
      <c r="AB353" s="23"/>
      <c r="AC353" s="23"/>
      <c r="AD353" s="23"/>
      <c r="AE353" s="23"/>
      <c r="AF353" s="27" t="str">
        <f aca="true">IF($O353="","",IF(OR($AE353="Cancelled",$AE353="On hold",$AE353="Launched"),$AE353,IF(AND($Y353="Approved",OR($Z353="Yes",$Z353="N/A"),OR($AA353="Yes",$AA353="N/A"),OR($AB353="No",$AB353="N/A",AND($AB353="Yes",$AD353="Yes"))),"Ready",IF($O353&lt;TODAY(),"Overdue",IF($O353-TODAY()&lt;='Rules &amp; Guardrails'!$C$5,"At Risk","In Progress")))))</f>
        <v/>
      </c>
      <c r="AG353" s="28" t="str">
        <f aca="false">IF($O353="","",IF(OR($AE353="Launched",$AE353="Cancelled"),"",MID(IF($Y353&lt;&gt;"Approved",", Content approval","")&amp;IF(NOT(OR($Z353="Yes",$Z353="N/A")),", Assets","")&amp;IF(NOT(OR($AA353="Yes",$AA353="N/A")),", List","")&amp;IF($AB353="",", Ops decision",IF(AND($AB353="Yes",$AD353&lt;&gt;"Yes"),", Ops",""))&amp;IF($U353="",", Owner","")&amp;IF($K353="",", Segment",""),3,200)))</f>
        <v/>
      </c>
      <c r="AH353" s="29" t="str">
        <f aca="true">IF($O353="","",$O353-TODAY())</f>
        <v/>
      </c>
      <c r="AI353" s="26" t="str">
        <f aca="false">IF($O353="","",$O353-WEEKDAY($O353,3))</f>
        <v/>
      </c>
      <c r="AJ353" s="30" t="str">
        <f aca="false">IF($O353="","",DATE(YEAR($O353),MONTH($O353),1))</f>
        <v/>
      </c>
      <c r="AK353" s="31" t="str">
        <f aca="false">IF(OR($O353="",$K353=""),"",COUNTIFS('Comms Calendar'!$K$5:$K$504,$K353,'Comms Calendar'!$B$5:$B$504,$B353,'Comms Calendar'!$AI$5:$AI$504,$AI353,'Comms Calendar'!$AE$5:$AE$504,"&lt;&gt;Cancelled"))</f>
        <v/>
      </c>
      <c r="AL353" s="27" t="str">
        <f aca="false">IF($AK353="","",IF($AK353&gt;'Rules &amp; Guardrails'!$C$3,"Over cap","OK"))</f>
        <v/>
      </c>
      <c r="AM353" s="27" t="str">
        <f aca="false">IF(OR($O353="",$K353=""),"",IF(COUNTIFS('Comms Calendar'!$K$5:$K$504,$K353,'Comms Calendar'!$B$5:$B$504,$B353,'Comms Calendar'!$O$5:$O$504,$O353,'Comms Calendar'!$AE$5:$AE$504,"&lt;&gt;Cancelled")&gt;1,"Clash",""))</f>
        <v/>
      </c>
      <c r="AN353" s="27" t="str">
        <f aca="false">IF($O353="","",IF(IF($B353="Global",COUNTIF('Rules &amp; Guardrails'!$F$9:$F$60,$O353),COUNTIFS('Rules &amp; Guardrails'!$F$9:$F$60,$O353,'Rules &amp; Guardrails'!$G$9:$G$60,$B353)+COUNTIFS('Rules &amp; Guardrails'!$F$9:$F$60,$O353,'Rules &amp; Guardrails'!$G$9:$G$60,"Global"))&gt;0,"Blackout",""))</f>
        <v/>
      </c>
      <c r="AO353" s="6"/>
      <c r="AP353" s="25"/>
      <c r="AQ353" s="23"/>
      <c r="AR353" s="31" t="str">
        <f aca="false">IF($D353="","",IFERROR(VLOOKUP($D353,'Rules &amp; Guardrails'!$A$9:$D$24,2,0),"Other"))</f>
        <v/>
      </c>
      <c r="AS353" s="31" t="str">
        <f aca="false">IF($O353="","",$O353&amp;"|"&amp;$B353)</f>
        <v/>
      </c>
    </row>
    <row r="354" customFormat="false" ht="15" hidden="false" customHeight="false" outlineLevel="0" collapsed="false">
      <c r="A354" s="23"/>
      <c r="B354" s="23"/>
      <c r="C354" s="23"/>
      <c r="D354" s="23"/>
      <c r="E354" s="23"/>
      <c r="F354" s="23"/>
      <c r="G354" s="6"/>
      <c r="H354" s="6"/>
      <c r="I354" s="23"/>
      <c r="J354" s="23"/>
      <c r="K354" s="23"/>
      <c r="L354" s="6"/>
      <c r="M354" s="6"/>
      <c r="N354" s="24"/>
      <c r="O354" s="25"/>
      <c r="P354" s="23"/>
      <c r="Q354" s="23"/>
      <c r="R354" s="23"/>
      <c r="S354" s="23"/>
      <c r="T354" s="26" t="str">
        <f aca="false">IF(OR($O354="",$D354=""),"",WORKDAY($O354,-IFERROR(VLOOKUP($D354,'Rules &amp; Guardrails'!$A$9:$D$24,3,0),10)))</f>
        <v/>
      </c>
      <c r="U354" s="23"/>
      <c r="V354" s="23"/>
      <c r="W354" s="23"/>
      <c r="X354" s="6"/>
      <c r="Y354" s="23"/>
      <c r="Z354" s="23"/>
      <c r="AA354" s="23"/>
      <c r="AB354" s="23"/>
      <c r="AC354" s="23"/>
      <c r="AD354" s="23"/>
      <c r="AE354" s="23"/>
      <c r="AF354" s="27" t="str">
        <f aca="true">IF($O354="","",IF(OR($AE354="Cancelled",$AE354="On hold",$AE354="Launched"),$AE354,IF(AND($Y354="Approved",OR($Z354="Yes",$Z354="N/A"),OR($AA354="Yes",$AA354="N/A"),OR($AB354="No",$AB354="N/A",AND($AB354="Yes",$AD354="Yes"))),"Ready",IF($O354&lt;TODAY(),"Overdue",IF($O354-TODAY()&lt;='Rules &amp; Guardrails'!$C$5,"At Risk","In Progress")))))</f>
        <v/>
      </c>
      <c r="AG354" s="28" t="str">
        <f aca="false">IF($O354="","",IF(OR($AE354="Launched",$AE354="Cancelled"),"",MID(IF($Y354&lt;&gt;"Approved",", Content approval","")&amp;IF(NOT(OR($Z354="Yes",$Z354="N/A")),", Assets","")&amp;IF(NOT(OR($AA354="Yes",$AA354="N/A")),", List","")&amp;IF($AB354="",", Ops decision",IF(AND($AB354="Yes",$AD354&lt;&gt;"Yes"),", Ops",""))&amp;IF($U354="",", Owner","")&amp;IF($K354="",", Segment",""),3,200)))</f>
        <v/>
      </c>
      <c r="AH354" s="29" t="str">
        <f aca="true">IF($O354="","",$O354-TODAY())</f>
        <v/>
      </c>
      <c r="AI354" s="26" t="str">
        <f aca="false">IF($O354="","",$O354-WEEKDAY($O354,3))</f>
        <v/>
      </c>
      <c r="AJ354" s="30" t="str">
        <f aca="false">IF($O354="","",DATE(YEAR($O354),MONTH($O354),1))</f>
        <v/>
      </c>
      <c r="AK354" s="31" t="str">
        <f aca="false">IF(OR($O354="",$K354=""),"",COUNTIFS('Comms Calendar'!$K$5:$K$504,$K354,'Comms Calendar'!$B$5:$B$504,$B354,'Comms Calendar'!$AI$5:$AI$504,$AI354,'Comms Calendar'!$AE$5:$AE$504,"&lt;&gt;Cancelled"))</f>
        <v/>
      </c>
      <c r="AL354" s="27" t="str">
        <f aca="false">IF($AK354="","",IF($AK354&gt;'Rules &amp; Guardrails'!$C$3,"Over cap","OK"))</f>
        <v/>
      </c>
      <c r="AM354" s="27" t="str">
        <f aca="false">IF(OR($O354="",$K354=""),"",IF(COUNTIFS('Comms Calendar'!$K$5:$K$504,$K354,'Comms Calendar'!$B$5:$B$504,$B354,'Comms Calendar'!$O$5:$O$504,$O354,'Comms Calendar'!$AE$5:$AE$504,"&lt;&gt;Cancelled")&gt;1,"Clash",""))</f>
        <v/>
      </c>
      <c r="AN354" s="27" t="str">
        <f aca="false">IF($O354="","",IF(IF($B354="Global",COUNTIF('Rules &amp; Guardrails'!$F$9:$F$60,$O354),COUNTIFS('Rules &amp; Guardrails'!$F$9:$F$60,$O354,'Rules &amp; Guardrails'!$G$9:$G$60,$B354)+COUNTIFS('Rules &amp; Guardrails'!$F$9:$F$60,$O354,'Rules &amp; Guardrails'!$G$9:$G$60,"Global"))&gt;0,"Blackout",""))</f>
        <v/>
      </c>
      <c r="AO354" s="6"/>
      <c r="AP354" s="25"/>
      <c r="AQ354" s="23"/>
      <c r="AR354" s="31" t="str">
        <f aca="false">IF($D354="","",IFERROR(VLOOKUP($D354,'Rules &amp; Guardrails'!$A$9:$D$24,2,0),"Other"))</f>
        <v/>
      </c>
      <c r="AS354" s="31" t="str">
        <f aca="false">IF($O354="","",$O354&amp;"|"&amp;$B354)</f>
        <v/>
      </c>
    </row>
    <row r="355" customFormat="false" ht="15" hidden="false" customHeight="false" outlineLevel="0" collapsed="false">
      <c r="A355" s="23"/>
      <c r="B355" s="23"/>
      <c r="C355" s="23"/>
      <c r="D355" s="23"/>
      <c r="E355" s="23"/>
      <c r="F355" s="23"/>
      <c r="G355" s="6"/>
      <c r="H355" s="6"/>
      <c r="I355" s="23"/>
      <c r="J355" s="23"/>
      <c r="K355" s="23"/>
      <c r="L355" s="6"/>
      <c r="M355" s="6"/>
      <c r="N355" s="24"/>
      <c r="O355" s="25"/>
      <c r="P355" s="23"/>
      <c r="Q355" s="23"/>
      <c r="R355" s="23"/>
      <c r="S355" s="23"/>
      <c r="T355" s="26" t="str">
        <f aca="false">IF(OR($O355="",$D355=""),"",WORKDAY($O355,-IFERROR(VLOOKUP($D355,'Rules &amp; Guardrails'!$A$9:$D$24,3,0),10)))</f>
        <v/>
      </c>
      <c r="U355" s="23"/>
      <c r="V355" s="23"/>
      <c r="W355" s="23"/>
      <c r="X355" s="6"/>
      <c r="Y355" s="23"/>
      <c r="Z355" s="23"/>
      <c r="AA355" s="23"/>
      <c r="AB355" s="23"/>
      <c r="AC355" s="23"/>
      <c r="AD355" s="23"/>
      <c r="AE355" s="23"/>
      <c r="AF355" s="27" t="str">
        <f aca="true">IF($O355="","",IF(OR($AE355="Cancelled",$AE355="On hold",$AE355="Launched"),$AE355,IF(AND($Y355="Approved",OR($Z355="Yes",$Z355="N/A"),OR($AA355="Yes",$AA355="N/A"),OR($AB355="No",$AB355="N/A",AND($AB355="Yes",$AD355="Yes"))),"Ready",IF($O355&lt;TODAY(),"Overdue",IF($O355-TODAY()&lt;='Rules &amp; Guardrails'!$C$5,"At Risk","In Progress")))))</f>
        <v/>
      </c>
      <c r="AG355" s="28" t="str">
        <f aca="false">IF($O355="","",IF(OR($AE355="Launched",$AE355="Cancelled"),"",MID(IF($Y355&lt;&gt;"Approved",", Content approval","")&amp;IF(NOT(OR($Z355="Yes",$Z355="N/A")),", Assets","")&amp;IF(NOT(OR($AA355="Yes",$AA355="N/A")),", List","")&amp;IF($AB355="",", Ops decision",IF(AND($AB355="Yes",$AD355&lt;&gt;"Yes"),", Ops",""))&amp;IF($U355="",", Owner","")&amp;IF($K355="",", Segment",""),3,200)))</f>
        <v/>
      </c>
      <c r="AH355" s="29" t="str">
        <f aca="true">IF($O355="","",$O355-TODAY())</f>
        <v/>
      </c>
      <c r="AI355" s="26" t="str">
        <f aca="false">IF($O355="","",$O355-WEEKDAY($O355,3))</f>
        <v/>
      </c>
      <c r="AJ355" s="30" t="str">
        <f aca="false">IF($O355="","",DATE(YEAR($O355),MONTH($O355),1))</f>
        <v/>
      </c>
      <c r="AK355" s="31" t="str">
        <f aca="false">IF(OR($O355="",$K355=""),"",COUNTIFS('Comms Calendar'!$K$5:$K$504,$K355,'Comms Calendar'!$B$5:$B$504,$B355,'Comms Calendar'!$AI$5:$AI$504,$AI355,'Comms Calendar'!$AE$5:$AE$504,"&lt;&gt;Cancelled"))</f>
        <v/>
      </c>
      <c r="AL355" s="27" t="str">
        <f aca="false">IF($AK355="","",IF($AK355&gt;'Rules &amp; Guardrails'!$C$3,"Over cap","OK"))</f>
        <v/>
      </c>
      <c r="AM355" s="27" t="str">
        <f aca="false">IF(OR($O355="",$K355=""),"",IF(COUNTIFS('Comms Calendar'!$K$5:$K$504,$K355,'Comms Calendar'!$B$5:$B$504,$B355,'Comms Calendar'!$O$5:$O$504,$O355,'Comms Calendar'!$AE$5:$AE$504,"&lt;&gt;Cancelled")&gt;1,"Clash",""))</f>
        <v/>
      </c>
      <c r="AN355" s="27" t="str">
        <f aca="false">IF($O355="","",IF(IF($B355="Global",COUNTIF('Rules &amp; Guardrails'!$F$9:$F$60,$O355),COUNTIFS('Rules &amp; Guardrails'!$F$9:$F$60,$O355,'Rules &amp; Guardrails'!$G$9:$G$60,$B355)+COUNTIFS('Rules &amp; Guardrails'!$F$9:$F$60,$O355,'Rules &amp; Guardrails'!$G$9:$G$60,"Global"))&gt;0,"Blackout",""))</f>
        <v/>
      </c>
      <c r="AO355" s="6"/>
      <c r="AP355" s="25"/>
      <c r="AQ355" s="23"/>
      <c r="AR355" s="31" t="str">
        <f aca="false">IF($D355="","",IFERROR(VLOOKUP($D355,'Rules &amp; Guardrails'!$A$9:$D$24,2,0),"Other"))</f>
        <v/>
      </c>
      <c r="AS355" s="31" t="str">
        <f aca="false">IF($O355="","",$O355&amp;"|"&amp;$B355)</f>
        <v/>
      </c>
    </row>
    <row r="356" customFormat="false" ht="15" hidden="false" customHeight="false" outlineLevel="0" collapsed="false">
      <c r="A356" s="23"/>
      <c r="B356" s="23"/>
      <c r="C356" s="23"/>
      <c r="D356" s="23"/>
      <c r="E356" s="23"/>
      <c r="F356" s="23"/>
      <c r="G356" s="6"/>
      <c r="H356" s="6"/>
      <c r="I356" s="23"/>
      <c r="J356" s="23"/>
      <c r="K356" s="23"/>
      <c r="L356" s="6"/>
      <c r="M356" s="6"/>
      <c r="N356" s="24"/>
      <c r="O356" s="25"/>
      <c r="P356" s="23"/>
      <c r="Q356" s="23"/>
      <c r="R356" s="23"/>
      <c r="S356" s="23"/>
      <c r="T356" s="26" t="str">
        <f aca="false">IF(OR($O356="",$D356=""),"",WORKDAY($O356,-IFERROR(VLOOKUP($D356,'Rules &amp; Guardrails'!$A$9:$D$24,3,0),10)))</f>
        <v/>
      </c>
      <c r="U356" s="23"/>
      <c r="V356" s="23"/>
      <c r="W356" s="23"/>
      <c r="X356" s="6"/>
      <c r="Y356" s="23"/>
      <c r="Z356" s="23"/>
      <c r="AA356" s="23"/>
      <c r="AB356" s="23"/>
      <c r="AC356" s="23"/>
      <c r="AD356" s="23"/>
      <c r="AE356" s="23"/>
      <c r="AF356" s="27" t="str">
        <f aca="true">IF($O356="","",IF(OR($AE356="Cancelled",$AE356="On hold",$AE356="Launched"),$AE356,IF(AND($Y356="Approved",OR($Z356="Yes",$Z356="N/A"),OR($AA356="Yes",$AA356="N/A"),OR($AB356="No",$AB356="N/A",AND($AB356="Yes",$AD356="Yes"))),"Ready",IF($O356&lt;TODAY(),"Overdue",IF($O356-TODAY()&lt;='Rules &amp; Guardrails'!$C$5,"At Risk","In Progress")))))</f>
        <v/>
      </c>
      <c r="AG356" s="28" t="str">
        <f aca="false">IF($O356="","",IF(OR($AE356="Launched",$AE356="Cancelled"),"",MID(IF($Y356&lt;&gt;"Approved",", Content approval","")&amp;IF(NOT(OR($Z356="Yes",$Z356="N/A")),", Assets","")&amp;IF(NOT(OR($AA356="Yes",$AA356="N/A")),", List","")&amp;IF($AB356="",", Ops decision",IF(AND($AB356="Yes",$AD356&lt;&gt;"Yes"),", Ops",""))&amp;IF($U356="",", Owner","")&amp;IF($K356="",", Segment",""),3,200)))</f>
        <v/>
      </c>
      <c r="AH356" s="29" t="str">
        <f aca="true">IF($O356="","",$O356-TODAY())</f>
        <v/>
      </c>
      <c r="AI356" s="26" t="str">
        <f aca="false">IF($O356="","",$O356-WEEKDAY($O356,3))</f>
        <v/>
      </c>
      <c r="AJ356" s="30" t="str">
        <f aca="false">IF($O356="","",DATE(YEAR($O356),MONTH($O356),1))</f>
        <v/>
      </c>
      <c r="AK356" s="31" t="str">
        <f aca="false">IF(OR($O356="",$K356=""),"",COUNTIFS('Comms Calendar'!$K$5:$K$504,$K356,'Comms Calendar'!$B$5:$B$504,$B356,'Comms Calendar'!$AI$5:$AI$504,$AI356,'Comms Calendar'!$AE$5:$AE$504,"&lt;&gt;Cancelled"))</f>
        <v/>
      </c>
      <c r="AL356" s="27" t="str">
        <f aca="false">IF($AK356="","",IF($AK356&gt;'Rules &amp; Guardrails'!$C$3,"Over cap","OK"))</f>
        <v/>
      </c>
      <c r="AM356" s="27" t="str">
        <f aca="false">IF(OR($O356="",$K356=""),"",IF(COUNTIFS('Comms Calendar'!$K$5:$K$504,$K356,'Comms Calendar'!$B$5:$B$504,$B356,'Comms Calendar'!$O$5:$O$504,$O356,'Comms Calendar'!$AE$5:$AE$504,"&lt;&gt;Cancelled")&gt;1,"Clash",""))</f>
        <v/>
      </c>
      <c r="AN356" s="27" t="str">
        <f aca="false">IF($O356="","",IF(IF($B356="Global",COUNTIF('Rules &amp; Guardrails'!$F$9:$F$60,$O356),COUNTIFS('Rules &amp; Guardrails'!$F$9:$F$60,$O356,'Rules &amp; Guardrails'!$G$9:$G$60,$B356)+COUNTIFS('Rules &amp; Guardrails'!$F$9:$F$60,$O356,'Rules &amp; Guardrails'!$G$9:$G$60,"Global"))&gt;0,"Blackout",""))</f>
        <v/>
      </c>
      <c r="AO356" s="6"/>
      <c r="AP356" s="25"/>
      <c r="AQ356" s="23"/>
      <c r="AR356" s="31" t="str">
        <f aca="false">IF($D356="","",IFERROR(VLOOKUP($D356,'Rules &amp; Guardrails'!$A$9:$D$24,2,0),"Other"))</f>
        <v/>
      </c>
      <c r="AS356" s="31" t="str">
        <f aca="false">IF($O356="","",$O356&amp;"|"&amp;$B356)</f>
        <v/>
      </c>
    </row>
    <row r="357" customFormat="false" ht="15" hidden="false" customHeight="false" outlineLevel="0" collapsed="false">
      <c r="A357" s="23"/>
      <c r="B357" s="23"/>
      <c r="C357" s="23"/>
      <c r="D357" s="23"/>
      <c r="E357" s="23"/>
      <c r="F357" s="23"/>
      <c r="G357" s="6"/>
      <c r="H357" s="6"/>
      <c r="I357" s="23"/>
      <c r="J357" s="23"/>
      <c r="K357" s="23"/>
      <c r="L357" s="6"/>
      <c r="M357" s="6"/>
      <c r="N357" s="24"/>
      <c r="O357" s="25"/>
      <c r="P357" s="23"/>
      <c r="Q357" s="23"/>
      <c r="R357" s="23"/>
      <c r="S357" s="23"/>
      <c r="T357" s="26" t="str">
        <f aca="false">IF(OR($O357="",$D357=""),"",WORKDAY($O357,-IFERROR(VLOOKUP($D357,'Rules &amp; Guardrails'!$A$9:$D$24,3,0),10)))</f>
        <v/>
      </c>
      <c r="U357" s="23"/>
      <c r="V357" s="23"/>
      <c r="W357" s="23"/>
      <c r="X357" s="6"/>
      <c r="Y357" s="23"/>
      <c r="Z357" s="23"/>
      <c r="AA357" s="23"/>
      <c r="AB357" s="23"/>
      <c r="AC357" s="23"/>
      <c r="AD357" s="23"/>
      <c r="AE357" s="23"/>
      <c r="AF357" s="27" t="str">
        <f aca="true">IF($O357="","",IF(OR($AE357="Cancelled",$AE357="On hold",$AE357="Launched"),$AE357,IF(AND($Y357="Approved",OR($Z357="Yes",$Z357="N/A"),OR($AA357="Yes",$AA357="N/A"),OR($AB357="No",$AB357="N/A",AND($AB357="Yes",$AD357="Yes"))),"Ready",IF($O357&lt;TODAY(),"Overdue",IF($O357-TODAY()&lt;='Rules &amp; Guardrails'!$C$5,"At Risk","In Progress")))))</f>
        <v/>
      </c>
      <c r="AG357" s="28" t="str">
        <f aca="false">IF($O357="","",IF(OR($AE357="Launched",$AE357="Cancelled"),"",MID(IF($Y357&lt;&gt;"Approved",", Content approval","")&amp;IF(NOT(OR($Z357="Yes",$Z357="N/A")),", Assets","")&amp;IF(NOT(OR($AA357="Yes",$AA357="N/A")),", List","")&amp;IF($AB357="",", Ops decision",IF(AND($AB357="Yes",$AD357&lt;&gt;"Yes"),", Ops",""))&amp;IF($U357="",", Owner","")&amp;IF($K357="",", Segment",""),3,200)))</f>
        <v/>
      </c>
      <c r="AH357" s="29" t="str">
        <f aca="true">IF($O357="","",$O357-TODAY())</f>
        <v/>
      </c>
      <c r="AI357" s="26" t="str">
        <f aca="false">IF($O357="","",$O357-WEEKDAY($O357,3))</f>
        <v/>
      </c>
      <c r="AJ357" s="30" t="str">
        <f aca="false">IF($O357="","",DATE(YEAR($O357),MONTH($O357),1))</f>
        <v/>
      </c>
      <c r="AK357" s="31" t="str">
        <f aca="false">IF(OR($O357="",$K357=""),"",COUNTIFS('Comms Calendar'!$K$5:$K$504,$K357,'Comms Calendar'!$B$5:$B$504,$B357,'Comms Calendar'!$AI$5:$AI$504,$AI357,'Comms Calendar'!$AE$5:$AE$504,"&lt;&gt;Cancelled"))</f>
        <v/>
      </c>
      <c r="AL357" s="27" t="str">
        <f aca="false">IF($AK357="","",IF($AK357&gt;'Rules &amp; Guardrails'!$C$3,"Over cap","OK"))</f>
        <v/>
      </c>
      <c r="AM357" s="27" t="str">
        <f aca="false">IF(OR($O357="",$K357=""),"",IF(COUNTIFS('Comms Calendar'!$K$5:$K$504,$K357,'Comms Calendar'!$B$5:$B$504,$B357,'Comms Calendar'!$O$5:$O$504,$O357,'Comms Calendar'!$AE$5:$AE$504,"&lt;&gt;Cancelled")&gt;1,"Clash",""))</f>
        <v/>
      </c>
      <c r="AN357" s="27" t="str">
        <f aca="false">IF($O357="","",IF(IF($B357="Global",COUNTIF('Rules &amp; Guardrails'!$F$9:$F$60,$O357),COUNTIFS('Rules &amp; Guardrails'!$F$9:$F$60,$O357,'Rules &amp; Guardrails'!$G$9:$G$60,$B357)+COUNTIFS('Rules &amp; Guardrails'!$F$9:$F$60,$O357,'Rules &amp; Guardrails'!$G$9:$G$60,"Global"))&gt;0,"Blackout",""))</f>
        <v/>
      </c>
      <c r="AO357" s="6"/>
      <c r="AP357" s="25"/>
      <c r="AQ357" s="23"/>
      <c r="AR357" s="31" t="str">
        <f aca="false">IF($D357="","",IFERROR(VLOOKUP($D357,'Rules &amp; Guardrails'!$A$9:$D$24,2,0),"Other"))</f>
        <v/>
      </c>
      <c r="AS357" s="31" t="str">
        <f aca="false">IF($O357="","",$O357&amp;"|"&amp;$B357)</f>
        <v/>
      </c>
    </row>
    <row r="358" customFormat="false" ht="15" hidden="false" customHeight="false" outlineLevel="0" collapsed="false">
      <c r="A358" s="23"/>
      <c r="B358" s="23"/>
      <c r="C358" s="23"/>
      <c r="D358" s="23"/>
      <c r="E358" s="23"/>
      <c r="F358" s="23"/>
      <c r="G358" s="6"/>
      <c r="H358" s="6"/>
      <c r="I358" s="23"/>
      <c r="J358" s="23"/>
      <c r="K358" s="23"/>
      <c r="L358" s="6"/>
      <c r="M358" s="6"/>
      <c r="N358" s="24"/>
      <c r="O358" s="25"/>
      <c r="P358" s="23"/>
      <c r="Q358" s="23"/>
      <c r="R358" s="23"/>
      <c r="S358" s="23"/>
      <c r="T358" s="26" t="str">
        <f aca="false">IF(OR($O358="",$D358=""),"",WORKDAY($O358,-IFERROR(VLOOKUP($D358,'Rules &amp; Guardrails'!$A$9:$D$24,3,0),10)))</f>
        <v/>
      </c>
      <c r="U358" s="23"/>
      <c r="V358" s="23"/>
      <c r="W358" s="23"/>
      <c r="X358" s="6"/>
      <c r="Y358" s="23"/>
      <c r="Z358" s="23"/>
      <c r="AA358" s="23"/>
      <c r="AB358" s="23"/>
      <c r="AC358" s="23"/>
      <c r="AD358" s="23"/>
      <c r="AE358" s="23"/>
      <c r="AF358" s="27" t="str">
        <f aca="true">IF($O358="","",IF(OR($AE358="Cancelled",$AE358="On hold",$AE358="Launched"),$AE358,IF(AND($Y358="Approved",OR($Z358="Yes",$Z358="N/A"),OR($AA358="Yes",$AA358="N/A"),OR($AB358="No",$AB358="N/A",AND($AB358="Yes",$AD358="Yes"))),"Ready",IF($O358&lt;TODAY(),"Overdue",IF($O358-TODAY()&lt;='Rules &amp; Guardrails'!$C$5,"At Risk","In Progress")))))</f>
        <v/>
      </c>
      <c r="AG358" s="28" t="str">
        <f aca="false">IF($O358="","",IF(OR($AE358="Launched",$AE358="Cancelled"),"",MID(IF($Y358&lt;&gt;"Approved",", Content approval","")&amp;IF(NOT(OR($Z358="Yes",$Z358="N/A")),", Assets","")&amp;IF(NOT(OR($AA358="Yes",$AA358="N/A")),", List","")&amp;IF($AB358="",", Ops decision",IF(AND($AB358="Yes",$AD358&lt;&gt;"Yes"),", Ops",""))&amp;IF($U358="",", Owner","")&amp;IF($K358="",", Segment",""),3,200)))</f>
        <v/>
      </c>
      <c r="AH358" s="29" t="str">
        <f aca="true">IF($O358="","",$O358-TODAY())</f>
        <v/>
      </c>
      <c r="AI358" s="26" t="str">
        <f aca="false">IF($O358="","",$O358-WEEKDAY($O358,3))</f>
        <v/>
      </c>
      <c r="AJ358" s="30" t="str">
        <f aca="false">IF($O358="","",DATE(YEAR($O358),MONTH($O358),1))</f>
        <v/>
      </c>
      <c r="AK358" s="31" t="str">
        <f aca="false">IF(OR($O358="",$K358=""),"",COUNTIFS('Comms Calendar'!$K$5:$K$504,$K358,'Comms Calendar'!$B$5:$B$504,$B358,'Comms Calendar'!$AI$5:$AI$504,$AI358,'Comms Calendar'!$AE$5:$AE$504,"&lt;&gt;Cancelled"))</f>
        <v/>
      </c>
      <c r="AL358" s="27" t="str">
        <f aca="false">IF($AK358="","",IF($AK358&gt;'Rules &amp; Guardrails'!$C$3,"Over cap","OK"))</f>
        <v/>
      </c>
      <c r="AM358" s="27" t="str">
        <f aca="false">IF(OR($O358="",$K358=""),"",IF(COUNTIFS('Comms Calendar'!$K$5:$K$504,$K358,'Comms Calendar'!$B$5:$B$504,$B358,'Comms Calendar'!$O$5:$O$504,$O358,'Comms Calendar'!$AE$5:$AE$504,"&lt;&gt;Cancelled")&gt;1,"Clash",""))</f>
        <v/>
      </c>
      <c r="AN358" s="27" t="str">
        <f aca="false">IF($O358="","",IF(IF($B358="Global",COUNTIF('Rules &amp; Guardrails'!$F$9:$F$60,$O358),COUNTIFS('Rules &amp; Guardrails'!$F$9:$F$60,$O358,'Rules &amp; Guardrails'!$G$9:$G$60,$B358)+COUNTIFS('Rules &amp; Guardrails'!$F$9:$F$60,$O358,'Rules &amp; Guardrails'!$G$9:$G$60,"Global"))&gt;0,"Blackout",""))</f>
        <v/>
      </c>
      <c r="AO358" s="6"/>
      <c r="AP358" s="25"/>
      <c r="AQ358" s="23"/>
      <c r="AR358" s="31" t="str">
        <f aca="false">IF($D358="","",IFERROR(VLOOKUP($D358,'Rules &amp; Guardrails'!$A$9:$D$24,2,0),"Other"))</f>
        <v/>
      </c>
      <c r="AS358" s="31" t="str">
        <f aca="false">IF($O358="","",$O358&amp;"|"&amp;$B358)</f>
        <v/>
      </c>
    </row>
    <row r="359" customFormat="false" ht="15" hidden="false" customHeight="false" outlineLevel="0" collapsed="false">
      <c r="A359" s="23"/>
      <c r="B359" s="23"/>
      <c r="C359" s="23"/>
      <c r="D359" s="23"/>
      <c r="E359" s="23"/>
      <c r="F359" s="23"/>
      <c r="G359" s="6"/>
      <c r="H359" s="6"/>
      <c r="I359" s="23"/>
      <c r="J359" s="23"/>
      <c r="K359" s="23"/>
      <c r="L359" s="6"/>
      <c r="M359" s="6"/>
      <c r="N359" s="24"/>
      <c r="O359" s="25"/>
      <c r="P359" s="23"/>
      <c r="Q359" s="23"/>
      <c r="R359" s="23"/>
      <c r="S359" s="23"/>
      <c r="T359" s="26" t="str">
        <f aca="false">IF(OR($O359="",$D359=""),"",WORKDAY($O359,-IFERROR(VLOOKUP($D359,'Rules &amp; Guardrails'!$A$9:$D$24,3,0),10)))</f>
        <v/>
      </c>
      <c r="U359" s="23"/>
      <c r="V359" s="23"/>
      <c r="W359" s="23"/>
      <c r="X359" s="6"/>
      <c r="Y359" s="23"/>
      <c r="Z359" s="23"/>
      <c r="AA359" s="23"/>
      <c r="AB359" s="23"/>
      <c r="AC359" s="23"/>
      <c r="AD359" s="23"/>
      <c r="AE359" s="23"/>
      <c r="AF359" s="27" t="str">
        <f aca="true">IF($O359="","",IF(OR($AE359="Cancelled",$AE359="On hold",$AE359="Launched"),$AE359,IF(AND($Y359="Approved",OR($Z359="Yes",$Z359="N/A"),OR($AA359="Yes",$AA359="N/A"),OR($AB359="No",$AB359="N/A",AND($AB359="Yes",$AD359="Yes"))),"Ready",IF($O359&lt;TODAY(),"Overdue",IF($O359-TODAY()&lt;='Rules &amp; Guardrails'!$C$5,"At Risk","In Progress")))))</f>
        <v/>
      </c>
      <c r="AG359" s="28" t="str">
        <f aca="false">IF($O359="","",IF(OR($AE359="Launched",$AE359="Cancelled"),"",MID(IF($Y359&lt;&gt;"Approved",", Content approval","")&amp;IF(NOT(OR($Z359="Yes",$Z359="N/A")),", Assets","")&amp;IF(NOT(OR($AA359="Yes",$AA359="N/A")),", List","")&amp;IF($AB359="",", Ops decision",IF(AND($AB359="Yes",$AD359&lt;&gt;"Yes"),", Ops",""))&amp;IF($U359="",", Owner","")&amp;IF($K359="",", Segment",""),3,200)))</f>
        <v/>
      </c>
      <c r="AH359" s="29" t="str">
        <f aca="true">IF($O359="","",$O359-TODAY())</f>
        <v/>
      </c>
      <c r="AI359" s="26" t="str">
        <f aca="false">IF($O359="","",$O359-WEEKDAY($O359,3))</f>
        <v/>
      </c>
      <c r="AJ359" s="30" t="str">
        <f aca="false">IF($O359="","",DATE(YEAR($O359),MONTH($O359),1))</f>
        <v/>
      </c>
      <c r="AK359" s="31" t="str">
        <f aca="false">IF(OR($O359="",$K359=""),"",COUNTIFS('Comms Calendar'!$K$5:$K$504,$K359,'Comms Calendar'!$B$5:$B$504,$B359,'Comms Calendar'!$AI$5:$AI$504,$AI359,'Comms Calendar'!$AE$5:$AE$504,"&lt;&gt;Cancelled"))</f>
        <v/>
      </c>
      <c r="AL359" s="27" t="str">
        <f aca="false">IF($AK359="","",IF($AK359&gt;'Rules &amp; Guardrails'!$C$3,"Over cap","OK"))</f>
        <v/>
      </c>
      <c r="AM359" s="27" t="str">
        <f aca="false">IF(OR($O359="",$K359=""),"",IF(COUNTIFS('Comms Calendar'!$K$5:$K$504,$K359,'Comms Calendar'!$B$5:$B$504,$B359,'Comms Calendar'!$O$5:$O$504,$O359,'Comms Calendar'!$AE$5:$AE$504,"&lt;&gt;Cancelled")&gt;1,"Clash",""))</f>
        <v/>
      </c>
      <c r="AN359" s="27" t="str">
        <f aca="false">IF($O359="","",IF(IF($B359="Global",COUNTIF('Rules &amp; Guardrails'!$F$9:$F$60,$O359),COUNTIFS('Rules &amp; Guardrails'!$F$9:$F$60,$O359,'Rules &amp; Guardrails'!$G$9:$G$60,$B359)+COUNTIFS('Rules &amp; Guardrails'!$F$9:$F$60,$O359,'Rules &amp; Guardrails'!$G$9:$G$60,"Global"))&gt;0,"Blackout",""))</f>
        <v/>
      </c>
      <c r="AO359" s="6"/>
      <c r="AP359" s="25"/>
      <c r="AQ359" s="23"/>
      <c r="AR359" s="31" t="str">
        <f aca="false">IF($D359="","",IFERROR(VLOOKUP($D359,'Rules &amp; Guardrails'!$A$9:$D$24,2,0),"Other"))</f>
        <v/>
      </c>
      <c r="AS359" s="31" t="str">
        <f aca="false">IF($O359="","",$O359&amp;"|"&amp;$B359)</f>
        <v/>
      </c>
    </row>
    <row r="360" customFormat="false" ht="15" hidden="false" customHeight="false" outlineLevel="0" collapsed="false">
      <c r="A360" s="23"/>
      <c r="B360" s="23"/>
      <c r="C360" s="23"/>
      <c r="D360" s="23"/>
      <c r="E360" s="23"/>
      <c r="F360" s="23"/>
      <c r="G360" s="6"/>
      <c r="H360" s="6"/>
      <c r="I360" s="23"/>
      <c r="J360" s="23"/>
      <c r="K360" s="23"/>
      <c r="L360" s="6"/>
      <c r="M360" s="6"/>
      <c r="N360" s="24"/>
      <c r="O360" s="25"/>
      <c r="P360" s="23"/>
      <c r="Q360" s="23"/>
      <c r="R360" s="23"/>
      <c r="S360" s="23"/>
      <c r="T360" s="26" t="str">
        <f aca="false">IF(OR($O360="",$D360=""),"",WORKDAY($O360,-IFERROR(VLOOKUP($D360,'Rules &amp; Guardrails'!$A$9:$D$24,3,0),10)))</f>
        <v/>
      </c>
      <c r="U360" s="23"/>
      <c r="V360" s="23"/>
      <c r="W360" s="23"/>
      <c r="X360" s="6"/>
      <c r="Y360" s="23"/>
      <c r="Z360" s="23"/>
      <c r="AA360" s="23"/>
      <c r="AB360" s="23"/>
      <c r="AC360" s="23"/>
      <c r="AD360" s="23"/>
      <c r="AE360" s="23"/>
      <c r="AF360" s="27" t="str">
        <f aca="true">IF($O360="","",IF(OR($AE360="Cancelled",$AE360="On hold",$AE360="Launched"),$AE360,IF(AND($Y360="Approved",OR($Z360="Yes",$Z360="N/A"),OR($AA360="Yes",$AA360="N/A"),OR($AB360="No",$AB360="N/A",AND($AB360="Yes",$AD360="Yes"))),"Ready",IF($O360&lt;TODAY(),"Overdue",IF($O360-TODAY()&lt;='Rules &amp; Guardrails'!$C$5,"At Risk","In Progress")))))</f>
        <v/>
      </c>
      <c r="AG360" s="28" t="str">
        <f aca="false">IF($O360="","",IF(OR($AE360="Launched",$AE360="Cancelled"),"",MID(IF($Y360&lt;&gt;"Approved",", Content approval","")&amp;IF(NOT(OR($Z360="Yes",$Z360="N/A")),", Assets","")&amp;IF(NOT(OR($AA360="Yes",$AA360="N/A")),", List","")&amp;IF($AB360="",", Ops decision",IF(AND($AB360="Yes",$AD360&lt;&gt;"Yes"),", Ops",""))&amp;IF($U360="",", Owner","")&amp;IF($K360="",", Segment",""),3,200)))</f>
        <v/>
      </c>
      <c r="AH360" s="29" t="str">
        <f aca="true">IF($O360="","",$O360-TODAY())</f>
        <v/>
      </c>
      <c r="AI360" s="26" t="str">
        <f aca="false">IF($O360="","",$O360-WEEKDAY($O360,3))</f>
        <v/>
      </c>
      <c r="AJ360" s="30" t="str">
        <f aca="false">IF($O360="","",DATE(YEAR($O360),MONTH($O360),1))</f>
        <v/>
      </c>
      <c r="AK360" s="31" t="str">
        <f aca="false">IF(OR($O360="",$K360=""),"",COUNTIFS('Comms Calendar'!$K$5:$K$504,$K360,'Comms Calendar'!$B$5:$B$504,$B360,'Comms Calendar'!$AI$5:$AI$504,$AI360,'Comms Calendar'!$AE$5:$AE$504,"&lt;&gt;Cancelled"))</f>
        <v/>
      </c>
      <c r="AL360" s="27" t="str">
        <f aca="false">IF($AK360="","",IF($AK360&gt;'Rules &amp; Guardrails'!$C$3,"Over cap","OK"))</f>
        <v/>
      </c>
      <c r="AM360" s="27" t="str">
        <f aca="false">IF(OR($O360="",$K360=""),"",IF(COUNTIFS('Comms Calendar'!$K$5:$K$504,$K360,'Comms Calendar'!$B$5:$B$504,$B360,'Comms Calendar'!$O$5:$O$504,$O360,'Comms Calendar'!$AE$5:$AE$504,"&lt;&gt;Cancelled")&gt;1,"Clash",""))</f>
        <v/>
      </c>
      <c r="AN360" s="27" t="str">
        <f aca="false">IF($O360="","",IF(IF($B360="Global",COUNTIF('Rules &amp; Guardrails'!$F$9:$F$60,$O360),COUNTIFS('Rules &amp; Guardrails'!$F$9:$F$60,$O360,'Rules &amp; Guardrails'!$G$9:$G$60,$B360)+COUNTIFS('Rules &amp; Guardrails'!$F$9:$F$60,$O360,'Rules &amp; Guardrails'!$G$9:$G$60,"Global"))&gt;0,"Blackout",""))</f>
        <v/>
      </c>
      <c r="AO360" s="6"/>
      <c r="AP360" s="25"/>
      <c r="AQ360" s="23"/>
      <c r="AR360" s="31" t="str">
        <f aca="false">IF($D360="","",IFERROR(VLOOKUP($D360,'Rules &amp; Guardrails'!$A$9:$D$24,2,0),"Other"))</f>
        <v/>
      </c>
      <c r="AS360" s="31" t="str">
        <f aca="false">IF($O360="","",$O360&amp;"|"&amp;$B360)</f>
        <v/>
      </c>
    </row>
    <row r="361" customFormat="false" ht="15" hidden="false" customHeight="false" outlineLevel="0" collapsed="false">
      <c r="A361" s="23"/>
      <c r="B361" s="23"/>
      <c r="C361" s="23"/>
      <c r="D361" s="23"/>
      <c r="E361" s="23"/>
      <c r="F361" s="23"/>
      <c r="G361" s="6"/>
      <c r="H361" s="6"/>
      <c r="I361" s="23"/>
      <c r="J361" s="23"/>
      <c r="K361" s="23"/>
      <c r="L361" s="6"/>
      <c r="M361" s="6"/>
      <c r="N361" s="24"/>
      <c r="O361" s="25"/>
      <c r="P361" s="23"/>
      <c r="Q361" s="23"/>
      <c r="R361" s="23"/>
      <c r="S361" s="23"/>
      <c r="T361" s="26" t="str">
        <f aca="false">IF(OR($O361="",$D361=""),"",WORKDAY($O361,-IFERROR(VLOOKUP($D361,'Rules &amp; Guardrails'!$A$9:$D$24,3,0),10)))</f>
        <v/>
      </c>
      <c r="U361" s="23"/>
      <c r="V361" s="23"/>
      <c r="W361" s="23"/>
      <c r="X361" s="6"/>
      <c r="Y361" s="23"/>
      <c r="Z361" s="23"/>
      <c r="AA361" s="23"/>
      <c r="AB361" s="23"/>
      <c r="AC361" s="23"/>
      <c r="AD361" s="23"/>
      <c r="AE361" s="23"/>
      <c r="AF361" s="27" t="str">
        <f aca="true">IF($O361="","",IF(OR($AE361="Cancelled",$AE361="On hold",$AE361="Launched"),$AE361,IF(AND($Y361="Approved",OR($Z361="Yes",$Z361="N/A"),OR($AA361="Yes",$AA361="N/A"),OR($AB361="No",$AB361="N/A",AND($AB361="Yes",$AD361="Yes"))),"Ready",IF($O361&lt;TODAY(),"Overdue",IF($O361-TODAY()&lt;='Rules &amp; Guardrails'!$C$5,"At Risk","In Progress")))))</f>
        <v/>
      </c>
      <c r="AG361" s="28" t="str">
        <f aca="false">IF($O361="","",IF(OR($AE361="Launched",$AE361="Cancelled"),"",MID(IF($Y361&lt;&gt;"Approved",", Content approval","")&amp;IF(NOT(OR($Z361="Yes",$Z361="N/A")),", Assets","")&amp;IF(NOT(OR($AA361="Yes",$AA361="N/A")),", List","")&amp;IF($AB361="",", Ops decision",IF(AND($AB361="Yes",$AD361&lt;&gt;"Yes"),", Ops",""))&amp;IF($U361="",", Owner","")&amp;IF($K361="",", Segment",""),3,200)))</f>
        <v/>
      </c>
      <c r="AH361" s="29" t="str">
        <f aca="true">IF($O361="","",$O361-TODAY())</f>
        <v/>
      </c>
      <c r="AI361" s="26" t="str">
        <f aca="false">IF($O361="","",$O361-WEEKDAY($O361,3))</f>
        <v/>
      </c>
      <c r="AJ361" s="30" t="str">
        <f aca="false">IF($O361="","",DATE(YEAR($O361),MONTH($O361),1))</f>
        <v/>
      </c>
      <c r="AK361" s="31" t="str">
        <f aca="false">IF(OR($O361="",$K361=""),"",COUNTIFS('Comms Calendar'!$K$5:$K$504,$K361,'Comms Calendar'!$B$5:$B$504,$B361,'Comms Calendar'!$AI$5:$AI$504,$AI361,'Comms Calendar'!$AE$5:$AE$504,"&lt;&gt;Cancelled"))</f>
        <v/>
      </c>
      <c r="AL361" s="27" t="str">
        <f aca="false">IF($AK361="","",IF($AK361&gt;'Rules &amp; Guardrails'!$C$3,"Over cap","OK"))</f>
        <v/>
      </c>
      <c r="AM361" s="27" t="str">
        <f aca="false">IF(OR($O361="",$K361=""),"",IF(COUNTIFS('Comms Calendar'!$K$5:$K$504,$K361,'Comms Calendar'!$B$5:$B$504,$B361,'Comms Calendar'!$O$5:$O$504,$O361,'Comms Calendar'!$AE$5:$AE$504,"&lt;&gt;Cancelled")&gt;1,"Clash",""))</f>
        <v/>
      </c>
      <c r="AN361" s="27" t="str">
        <f aca="false">IF($O361="","",IF(IF($B361="Global",COUNTIF('Rules &amp; Guardrails'!$F$9:$F$60,$O361),COUNTIFS('Rules &amp; Guardrails'!$F$9:$F$60,$O361,'Rules &amp; Guardrails'!$G$9:$G$60,$B361)+COUNTIFS('Rules &amp; Guardrails'!$F$9:$F$60,$O361,'Rules &amp; Guardrails'!$G$9:$G$60,"Global"))&gt;0,"Blackout",""))</f>
        <v/>
      </c>
      <c r="AO361" s="6"/>
      <c r="AP361" s="25"/>
      <c r="AQ361" s="23"/>
      <c r="AR361" s="31" t="str">
        <f aca="false">IF($D361="","",IFERROR(VLOOKUP($D361,'Rules &amp; Guardrails'!$A$9:$D$24,2,0),"Other"))</f>
        <v/>
      </c>
      <c r="AS361" s="31" t="str">
        <f aca="false">IF($O361="","",$O361&amp;"|"&amp;$B361)</f>
        <v/>
      </c>
    </row>
    <row r="362" customFormat="false" ht="15" hidden="false" customHeight="false" outlineLevel="0" collapsed="false">
      <c r="A362" s="23"/>
      <c r="B362" s="23"/>
      <c r="C362" s="23"/>
      <c r="D362" s="23"/>
      <c r="E362" s="23"/>
      <c r="F362" s="23"/>
      <c r="G362" s="6"/>
      <c r="H362" s="6"/>
      <c r="I362" s="23"/>
      <c r="J362" s="23"/>
      <c r="K362" s="23"/>
      <c r="L362" s="6"/>
      <c r="M362" s="6"/>
      <c r="N362" s="24"/>
      <c r="O362" s="25"/>
      <c r="P362" s="23"/>
      <c r="Q362" s="23"/>
      <c r="R362" s="23"/>
      <c r="S362" s="23"/>
      <c r="T362" s="26" t="str">
        <f aca="false">IF(OR($O362="",$D362=""),"",WORKDAY($O362,-IFERROR(VLOOKUP($D362,'Rules &amp; Guardrails'!$A$9:$D$24,3,0),10)))</f>
        <v/>
      </c>
      <c r="U362" s="23"/>
      <c r="V362" s="23"/>
      <c r="W362" s="23"/>
      <c r="X362" s="6"/>
      <c r="Y362" s="23"/>
      <c r="Z362" s="23"/>
      <c r="AA362" s="23"/>
      <c r="AB362" s="23"/>
      <c r="AC362" s="23"/>
      <c r="AD362" s="23"/>
      <c r="AE362" s="23"/>
      <c r="AF362" s="27" t="str">
        <f aca="true">IF($O362="","",IF(OR($AE362="Cancelled",$AE362="On hold",$AE362="Launched"),$AE362,IF(AND($Y362="Approved",OR($Z362="Yes",$Z362="N/A"),OR($AA362="Yes",$AA362="N/A"),OR($AB362="No",$AB362="N/A",AND($AB362="Yes",$AD362="Yes"))),"Ready",IF($O362&lt;TODAY(),"Overdue",IF($O362-TODAY()&lt;='Rules &amp; Guardrails'!$C$5,"At Risk","In Progress")))))</f>
        <v/>
      </c>
      <c r="AG362" s="28" t="str">
        <f aca="false">IF($O362="","",IF(OR($AE362="Launched",$AE362="Cancelled"),"",MID(IF($Y362&lt;&gt;"Approved",", Content approval","")&amp;IF(NOT(OR($Z362="Yes",$Z362="N/A")),", Assets","")&amp;IF(NOT(OR($AA362="Yes",$AA362="N/A")),", List","")&amp;IF($AB362="",", Ops decision",IF(AND($AB362="Yes",$AD362&lt;&gt;"Yes"),", Ops",""))&amp;IF($U362="",", Owner","")&amp;IF($K362="",", Segment",""),3,200)))</f>
        <v/>
      </c>
      <c r="AH362" s="29" t="str">
        <f aca="true">IF($O362="","",$O362-TODAY())</f>
        <v/>
      </c>
      <c r="AI362" s="26" t="str">
        <f aca="false">IF($O362="","",$O362-WEEKDAY($O362,3))</f>
        <v/>
      </c>
      <c r="AJ362" s="30" t="str">
        <f aca="false">IF($O362="","",DATE(YEAR($O362),MONTH($O362),1))</f>
        <v/>
      </c>
      <c r="AK362" s="31" t="str">
        <f aca="false">IF(OR($O362="",$K362=""),"",COUNTIFS('Comms Calendar'!$K$5:$K$504,$K362,'Comms Calendar'!$B$5:$B$504,$B362,'Comms Calendar'!$AI$5:$AI$504,$AI362,'Comms Calendar'!$AE$5:$AE$504,"&lt;&gt;Cancelled"))</f>
        <v/>
      </c>
      <c r="AL362" s="27" t="str">
        <f aca="false">IF($AK362="","",IF($AK362&gt;'Rules &amp; Guardrails'!$C$3,"Over cap","OK"))</f>
        <v/>
      </c>
      <c r="AM362" s="27" t="str">
        <f aca="false">IF(OR($O362="",$K362=""),"",IF(COUNTIFS('Comms Calendar'!$K$5:$K$504,$K362,'Comms Calendar'!$B$5:$B$504,$B362,'Comms Calendar'!$O$5:$O$504,$O362,'Comms Calendar'!$AE$5:$AE$504,"&lt;&gt;Cancelled")&gt;1,"Clash",""))</f>
        <v/>
      </c>
      <c r="AN362" s="27" t="str">
        <f aca="false">IF($O362="","",IF(IF($B362="Global",COUNTIF('Rules &amp; Guardrails'!$F$9:$F$60,$O362),COUNTIFS('Rules &amp; Guardrails'!$F$9:$F$60,$O362,'Rules &amp; Guardrails'!$G$9:$G$60,$B362)+COUNTIFS('Rules &amp; Guardrails'!$F$9:$F$60,$O362,'Rules &amp; Guardrails'!$G$9:$G$60,"Global"))&gt;0,"Blackout",""))</f>
        <v/>
      </c>
      <c r="AO362" s="6"/>
      <c r="AP362" s="25"/>
      <c r="AQ362" s="23"/>
      <c r="AR362" s="31" t="str">
        <f aca="false">IF($D362="","",IFERROR(VLOOKUP($D362,'Rules &amp; Guardrails'!$A$9:$D$24,2,0),"Other"))</f>
        <v/>
      </c>
      <c r="AS362" s="31" t="str">
        <f aca="false">IF($O362="","",$O362&amp;"|"&amp;$B362)</f>
        <v/>
      </c>
    </row>
    <row r="363" customFormat="false" ht="15" hidden="false" customHeight="false" outlineLevel="0" collapsed="false">
      <c r="A363" s="23"/>
      <c r="B363" s="23"/>
      <c r="C363" s="23"/>
      <c r="D363" s="23"/>
      <c r="E363" s="23"/>
      <c r="F363" s="23"/>
      <c r="G363" s="6"/>
      <c r="H363" s="6"/>
      <c r="I363" s="23"/>
      <c r="J363" s="23"/>
      <c r="K363" s="23"/>
      <c r="L363" s="6"/>
      <c r="M363" s="6"/>
      <c r="N363" s="24"/>
      <c r="O363" s="25"/>
      <c r="P363" s="23"/>
      <c r="Q363" s="23"/>
      <c r="R363" s="23"/>
      <c r="S363" s="23"/>
      <c r="T363" s="26" t="str">
        <f aca="false">IF(OR($O363="",$D363=""),"",WORKDAY($O363,-IFERROR(VLOOKUP($D363,'Rules &amp; Guardrails'!$A$9:$D$24,3,0),10)))</f>
        <v/>
      </c>
      <c r="U363" s="23"/>
      <c r="V363" s="23"/>
      <c r="W363" s="23"/>
      <c r="X363" s="6"/>
      <c r="Y363" s="23"/>
      <c r="Z363" s="23"/>
      <c r="AA363" s="23"/>
      <c r="AB363" s="23"/>
      <c r="AC363" s="23"/>
      <c r="AD363" s="23"/>
      <c r="AE363" s="23"/>
      <c r="AF363" s="27" t="str">
        <f aca="true">IF($O363="","",IF(OR($AE363="Cancelled",$AE363="On hold",$AE363="Launched"),$AE363,IF(AND($Y363="Approved",OR($Z363="Yes",$Z363="N/A"),OR($AA363="Yes",$AA363="N/A"),OR($AB363="No",$AB363="N/A",AND($AB363="Yes",$AD363="Yes"))),"Ready",IF($O363&lt;TODAY(),"Overdue",IF($O363-TODAY()&lt;='Rules &amp; Guardrails'!$C$5,"At Risk","In Progress")))))</f>
        <v/>
      </c>
      <c r="AG363" s="28" t="str">
        <f aca="false">IF($O363="","",IF(OR($AE363="Launched",$AE363="Cancelled"),"",MID(IF($Y363&lt;&gt;"Approved",", Content approval","")&amp;IF(NOT(OR($Z363="Yes",$Z363="N/A")),", Assets","")&amp;IF(NOT(OR($AA363="Yes",$AA363="N/A")),", List","")&amp;IF($AB363="",", Ops decision",IF(AND($AB363="Yes",$AD363&lt;&gt;"Yes"),", Ops",""))&amp;IF($U363="",", Owner","")&amp;IF($K363="",", Segment",""),3,200)))</f>
        <v/>
      </c>
      <c r="AH363" s="29" t="str">
        <f aca="true">IF($O363="","",$O363-TODAY())</f>
        <v/>
      </c>
      <c r="AI363" s="26" t="str">
        <f aca="false">IF($O363="","",$O363-WEEKDAY($O363,3))</f>
        <v/>
      </c>
      <c r="AJ363" s="30" t="str">
        <f aca="false">IF($O363="","",DATE(YEAR($O363),MONTH($O363),1))</f>
        <v/>
      </c>
      <c r="AK363" s="31" t="str">
        <f aca="false">IF(OR($O363="",$K363=""),"",COUNTIFS('Comms Calendar'!$K$5:$K$504,$K363,'Comms Calendar'!$B$5:$B$504,$B363,'Comms Calendar'!$AI$5:$AI$504,$AI363,'Comms Calendar'!$AE$5:$AE$504,"&lt;&gt;Cancelled"))</f>
        <v/>
      </c>
      <c r="AL363" s="27" t="str">
        <f aca="false">IF($AK363="","",IF($AK363&gt;'Rules &amp; Guardrails'!$C$3,"Over cap","OK"))</f>
        <v/>
      </c>
      <c r="AM363" s="27" t="str">
        <f aca="false">IF(OR($O363="",$K363=""),"",IF(COUNTIFS('Comms Calendar'!$K$5:$K$504,$K363,'Comms Calendar'!$B$5:$B$504,$B363,'Comms Calendar'!$O$5:$O$504,$O363,'Comms Calendar'!$AE$5:$AE$504,"&lt;&gt;Cancelled")&gt;1,"Clash",""))</f>
        <v/>
      </c>
      <c r="AN363" s="27" t="str">
        <f aca="false">IF($O363="","",IF(IF($B363="Global",COUNTIF('Rules &amp; Guardrails'!$F$9:$F$60,$O363),COUNTIFS('Rules &amp; Guardrails'!$F$9:$F$60,$O363,'Rules &amp; Guardrails'!$G$9:$G$60,$B363)+COUNTIFS('Rules &amp; Guardrails'!$F$9:$F$60,$O363,'Rules &amp; Guardrails'!$G$9:$G$60,"Global"))&gt;0,"Blackout",""))</f>
        <v/>
      </c>
      <c r="AO363" s="6"/>
      <c r="AP363" s="25"/>
      <c r="AQ363" s="23"/>
      <c r="AR363" s="31" t="str">
        <f aca="false">IF($D363="","",IFERROR(VLOOKUP($D363,'Rules &amp; Guardrails'!$A$9:$D$24,2,0),"Other"))</f>
        <v/>
      </c>
      <c r="AS363" s="31" t="str">
        <f aca="false">IF($O363="","",$O363&amp;"|"&amp;$B363)</f>
        <v/>
      </c>
    </row>
    <row r="364" customFormat="false" ht="15" hidden="false" customHeight="false" outlineLevel="0" collapsed="false">
      <c r="A364" s="23"/>
      <c r="B364" s="23"/>
      <c r="C364" s="23"/>
      <c r="D364" s="23"/>
      <c r="E364" s="23"/>
      <c r="F364" s="23"/>
      <c r="G364" s="6"/>
      <c r="H364" s="6"/>
      <c r="I364" s="23"/>
      <c r="J364" s="23"/>
      <c r="K364" s="23"/>
      <c r="L364" s="6"/>
      <c r="M364" s="6"/>
      <c r="N364" s="24"/>
      <c r="O364" s="25"/>
      <c r="P364" s="23"/>
      <c r="Q364" s="23"/>
      <c r="R364" s="23"/>
      <c r="S364" s="23"/>
      <c r="T364" s="26" t="str">
        <f aca="false">IF(OR($O364="",$D364=""),"",WORKDAY($O364,-IFERROR(VLOOKUP($D364,'Rules &amp; Guardrails'!$A$9:$D$24,3,0),10)))</f>
        <v/>
      </c>
      <c r="U364" s="23"/>
      <c r="V364" s="23"/>
      <c r="W364" s="23"/>
      <c r="X364" s="6"/>
      <c r="Y364" s="23"/>
      <c r="Z364" s="23"/>
      <c r="AA364" s="23"/>
      <c r="AB364" s="23"/>
      <c r="AC364" s="23"/>
      <c r="AD364" s="23"/>
      <c r="AE364" s="23"/>
      <c r="AF364" s="27" t="str">
        <f aca="true">IF($O364="","",IF(OR($AE364="Cancelled",$AE364="On hold",$AE364="Launched"),$AE364,IF(AND($Y364="Approved",OR($Z364="Yes",$Z364="N/A"),OR($AA364="Yes",$AA364="N/A"),OR($AB364="No",$AB364="N/A",AND($AB364="Yes",$AD364="Yes"))),"Ready",IF($O364&lt;TODAY(),"Overdue",IF($O364-TODAY()&lt;='Rules &amp; Guardrails'!$C$5,"At Risk","In Progress")))))</f>
        <v/>
      </c>
      <c r="AG364" s="28" t="str">
        <f aca="false">IF($O364="","",IF(OR($AE364="Launched",$AE364="Cancelled"),"",MID(IF($Y364&lt;&gt;"Approved",", Content approval","")&amp;IF(NOT(OR($Z364="Yes",$Z364="N/A")),", Assets","")&amp;IF(NOT(OR($AA364="Yes",$AA364="N/A")),", List","")&amp;IF($AB364="",", Ops decision",IF(AND($AB364="Yes",$AD364&lt;&gt;"Yes"),", Ops",""))&amp;IF($U364="",", Owner","")&amp;IF($K364="",", Segment",""),3,200)))</f>
        <v/>
      </c>
      <c r="AH364" s="29" t="str">
        <f aca="true">IF($O364="","",$O364-TODAY())</f>
        <v/>
      </c>
      <c r="AI364" s="26" t="str">
        <f aca="false">IF($O364="","",$O364-WEEKDAY($O364,3))</f>
        <v/>
      </c>
      <c r="AJ364" s="30" t="str">
        <f aca="false">IF($O364="","",DATE(YEAR($O364),MONTH($O364),1))</f>
        <v/>
      </c>
      <c r="AK364" s="31" t="str">
        <f aca="false">IF(OR($O364="",$K364=""),"",COUNTIFS('Comms Calendar'!$K$5:$K$504,$K364,'Comms Calendar'!$B$5:$B$504,$B364,'Comms Calendar'!$AI$5:$AI$504,$AI364,'Comms Calendar'!$AE$5:$AE$504,"&lt;&gt;Cancelled"))</f>
        <v/>
      </c>
      <c r="AL364" s="27" t="str">
        <f aca="false">IF($AK364="","",IF($AK364&gt;'Rules &amp; Guardrails'!$C$3,"Over cap","OK"))</f>
        <v/>
      </c>
      <c r="AM364" s="27" t="str">
        <f aca="false">IF(OR($O364="",$K364=""),"",IF(COUNTIFS('Comms Calendar'!$K$5:$K$504,$K364,'Comms Calendar'!$B$5:$B$504,$B364,'Comms Calendar'!$O$5:$O$504,$O364,'Comms Calendar'!$AE$5:$AE$504,"&lt;&gt;Cancelled")&gt;1,"Clash",""))</f>
        <v/>
      </c>
      <c r="AN364" s="27" t="str">
        <f aca="false">IF($O364="","",IF(IF($B364="Global",COUNTIF('Rules &amp; Guardrails'!$F$9:$F$60,$O364),COUNTIFS('Rules &amp; Guardrails'!$F$9:$F$60,$O364,'Rules &amp; Guardrails'!$G$9:$G$60,$B364)+COUNTIFS('Rules &amp; Guardrails'!$F$9:$F$60,$O364,'Rules &amp; Guardrails'!$G$9:$G$60,"Global"))&gt;0,"Blackout",""))</f>
        <v/>
      </c>
      <c r="AO364" s="6"/>
      <c r="AP364" s="25"/>
      <c r="AQ364" s="23"/>
      <c r="AR364" s="31" t="str">
        <f aca="false">IF($D364="","",IFERROR(VLOOKUP($D364,'Rules &amp; Guardrails'!$A$9:$D$24,2,0),"Other"))</f>
        <v/>
      </c>
      <c r="AS364" s="31" t="str">
        <f aca="false">IF($O364="","",$O364&amp;"|"&amp;$B364)</f>
        <v/>
      </c>
    </row>
    <row r="365" customFormat="false" ht="15" hidden="false" customHeight="false" outlineLevel="0" collapsed="false">
      <c r="A365" s="23"/>
      <c r="B365" s="23"/>
      <c r="C365" s="23"/>
      <c r="D365" s="23"/>
      <c r="E365" s="23"/>
      <c r="F365" s="23"/>
      <c r="G365" s="6"/>
      <c r="H365" s="6"/>
      <c r="I365" s="23"/>
      <c r="J365" s="23"/>
      <c r="K365" s="23"/>
      <c r="L365" s="6"/>
      <c r="M365" s="6"/>
      <c r="N365" s="24"/>
      <c r="O365" s="25"/>
      <c r="P365" s="23"/>
      <c r="Q365" s="23"/>
      <c r="R365" s="23"/>
      <c r="S365" s="23"/>
      <c r="T365" s="26" t="str">
        <f aca="false">IF(OR($O365="",$D365=""),"",WORKDAY($O365,-IFERROR(VLOOKUP($D365,'Rules &amp; Guardrails'!$A$9:$D$24,3,0),10)))</f>
        <v/>
      </c>
      <c r="U365" s="23"/>
      <c r="V365" s="23"/>
      <c r="W365" s="23"/>
      <c r="X365" s="6"/>
      <c r="Y365" s="23"/>
      <c r="Z365" s="23"/>
      <c r="AA365" s="23"/>
      <c r="AB365" s="23"/>
      <c r="AC365" s="23"/>
      <c r="AD365" s="23"/>
      <c r="AE365" s="23"/>
      <c r="AF365" s="27" t="str">
        <f aca="true">IF($O365="","",IF(OR($AE365="Cancelled",$AE365="On hold",$AE365="Launched"),$AE365,IF(AND($Y365="Approved",OR($Z365="Yes",$Z365="N/A"),OR($AA365="Yes",$AA365="N/A"),OR($AB365="No",$AB365="N/A",AND($AB365="Yes",$AD365="Yes"))),"Ready",IF($O365&lt;TODAY(),"Overdue",IF($O365-TODAY()&lt;='Rules &amp; Guardrails'!$C$5,"At Risk","In Progress")))))</f>
        <v/>
      </c>
      <c r="AG365" s="28" t="str">
        <f aca="false">IF($O365="","",IF(OR($AE365="Launched",$AE365="Cancelled"),"",MID(IF($Y365&lt;&gt;"Approved",", Content approval","")&amp;IF(NOT(OR($Z365="Yes",$Z365="N/A")),", Assets","")&amp;IF(NOT(OR($AA365="Yes",$AA365="N/A")),", List","")&amp;IF($AB365="",", Ops decision",IF(AND($AB365="Yes",$AD365&lt;&gt;"Yes"),", Ops",""))&amp;IF($U365="",", Owner","")&amp;IF($K365="",", Segment",""),3,200)))</f>
        <v/>
      </c>
      <c r="AH365" s="29" t="str">
        <f aca="true">IF($O365="","",$O365-TODAY())</f>
        <v/>
      </c>
      <c r="AI365" s="26" t="str">
        <f aca="false">IF($O365="","",$O365-WEEKDAY($O365,3))</f>
        <v/>
      </c>
      <c r="AJ365" s="30" t="str">
        <f aca="false">IF($O365="","",DATE(YEAR($O365),MONTH($O365),1))</f>
        <v/>
      </c>
      <c r="AK365" s="31" t="str">
        <f aca="false">IF(OR($O365="",$K365=""),"",COUNTIFS('Comms Calendar'!$K$5:$K$504,$K365,'Comms Calendar'!$B$5:$B$504,$B365,'Comms Calendar'!$AI$5:$AI$504,$AI365,'Comms Calendar'!$AE$5:$AE$504,"&lt;&gt;Cancelled"))</f>
        <v/>
      </c>
      <c r="AL365" s="27" t="str">
        <f aca="false">IF($AK365="","",IF($AK365&gt;'Rules &amp; Guardrails'!$C$3,"Over cap","OK"))</f>
        <v/>
      </c>
      <c r="AM365" s="27" t="str">
        <f aca="false">IF(OR($O365="",$K365=""),"",IF(COUNTIFS('Comms Calendar'!$K$5:$K$504,$K365,'Comms Calendar'!$B$5:$B$504,$B365,'Comms Calendar'!$O$5:$O$504,$O365,'Comms Calendar'!$AE$5:$AE$504,"&lt;&gt;Cancelled")&gt;1,"Clash",""))</f>
        <v/>
      </c>
      <c r="AN365" s="27" t="str">
        <f aca="false">IF($O365="","",IF(IF($B365="Global",COUNTIF('Rules &amp; Guardrails'!$F$9:$F$60,$O365),COUNTIFS('Rules &amp; Guardrails'!$F$9:$F$60,$O365,'Rules &amp; Guardrails'!$G$9:$G$60,$B365)+COUNTIFS('Rules &amp; Guardrails'!$F$9:$F$60,$O365,'Rules &amp; Guardrails'!$G$9:$G$60,"Global"))&gt;0,"Blackout",""))</f>
        <v/>
      </c>
      <c r="AO365" s="6"/>
      <c r="AP365" s="25"/>
      <c r="AQ365" s="23"/>
      <c r="AR365" s="31" t="str">
        <f aca="false">IF($D365="","",IFERROR(VLOOKUP($D365,'Rules &amp; Guardrails'!$A$9:$D$24,2,0),"Other"))</f>
        <v/>
      </c>
      <c r="AS365" s="31" t="str">
        <f aca="false">IF($O365="","",$O365&amp;"|"&amp;$B365)</f>
        <v/>
      </c>
    </row>
    <row r="366" customFormat="false" ht="15" hidden="false" customHeight="false" outlineLevel="0" collapsed="false">
      <c r="A366" s="23"/>
      <c r="B366" s="23"/>
      <c r="C366" s="23"/>
      <c r="D366" s="23"/>
      <c r="E366" s="23"/>
      <c r="F366" s="23"/>
      <c r="G366" s="6"/>
      <c r="H366" s="6"/>
      <c r="I366" s="23"/>
      <c r="J366" s="23"/>
      <c r="K366" s="23"/>
      <c r="L366" s="6"/>
      <c r="M366" s="6"/>
      <c r="N366" s="24"/>
      <c r="O366" s="25"/>
      <c r="P366" s="23"/>
      <c r="Q366" s="23"/>
      <c r="R366" s="23"/>
      <c r="S366" s="23"/>
      <c r="T366" s="26" t="str">
        <f aca="false">IF(OR($O366="",$D366=""),"",WORKDAY($O366,-IFERROR(VLOOKUP($D366,'Rules &amp; Guardrails'!$A$9:$D$24,3,0),10)))</f>
        <v/>
      </c>
      <c r="U366" s="23"/>
      <c r="V366" s="23"/>
      <c r="W366" s="23"/>
      <c r="X366" s="6"/>
      <c r="Y366" s="23"/>
      <c r="Z366" s="23"/>
      <c r="AA366" s="23"/>
      <c r="AB366" s="23"/>
      <c r="AC366" s="23"/>
      <c r="AD366" s="23"/>
      <c r="AE366" s="23"/>
      <c r="AF366" s="27" t="str">
        <f aca="true">IF($O366="","",IF(OR($AE366="Cancelled",$AE366="On hold",$AE366="Launched"),$AE366,IF(AND($Y366="Approved",OR($Z366="Yes",$Z366="N/A"),OR($AA366="Yes",$AA366="N/A"),OR($AB366="No",$AB366="N/A",AND($AB366="Yes",$AD366="Yes"))),"Ready",IF($O366&lt;TODAY(),"Overdue",IF($O366-TODAY()&lt;='Rules &amp; Guardrails'!$C$5,"At Risk","In Progress")))))</f>
        <v/>
      </c>
      <c r="AG366" s="28" t="str">
        <f aca="false">IF($O366="","",IF(OR($AE366="Launched",$AE366="Cancelled"),"",MID(IF($Y366&lt;&gt;"Approved",", Content approval","")&amp;IF(NOT(OR($Z366="Yes",$Z366="N/A")),", Assets","")&amp;IF(NOT(OR($AA366="Yes",$AA366="N/A")),", List","")&amp;IF($AB366="",", Ops decision",IF(AND($AB366="Yes",$AD366&lt;&gt;"Yes"),", Ops",""))&amp;IF($U366="",", Owner","")&amp;IF($K366="",", Segment",""),3,200)))</f>
        <v/>
      </c>
      <c r="AH366" s="29" t="str">
        <f aca="true">IF($O366="","",$O366-TODAY())</f>
        <v/>
      </c>
      <c r="AI366" s="26" t="str">
        <f aca="false">IF($O366="","",$O366-WEEKDAY($O366,3))</f>
        <v/>
      </c>
      <c r="AJ366" s="30" t="str">
        <f aca="false">IF($O366="","",DATE(YEAR($O366),MONTH($O366),1))</f>
        <v/>
      </c>
      <c r="AK366" s="31" t="str">
        <f aca="false">IF(OR($O366="",$K366=""),"",COUNTIFS('Comms Calendar'!$K$5:$K$504,$K366,'Comms Calendar'!$B$5:$B$504,$B366,'Comms Calendar'!$AI$5:$AI$504,$AI366,'Comms Calendar'!$AE$5:$AE$504,"&lt;&gt;Cancelled"))</f>
        <v/>
      </c>
      <c r="AL366" s="27" t="str">
        <f aca="false">IF($AK366="","",IF($AK366&gt;'Rules &amp; Guardrails'!$C$3,"Over cap","OK"))</f>
        <v/>
      </c>
      <c r="AM366" s="27" t="str">
        <f aca="false">IF(OR($O366="",$K366=""),"",IF(COUNTIFS('Comms Calendar'!$K$5:$K$504,$K366,'Comms Calendar'!$B$5:$B$504,$B366,'Comms Calendar'!$O$5:$O$504,$O366,'Comms Calendar'!$AE$5:$AE$504,"&lt;&gt;Cancelled")&gt;1,"Clash",""))</f>
        <v/>
      </c>
      <c r="AN366" s="27" t="str">
        <f aca="false">IF($O366="","",IF(IF($B366="Global",COUNTIF('Rules &amp; Guardrails'!$F$9:$F$60,$O366),COUNTIFS('Rules &amp; Guardrails'!$F$9:$F$60,$O366,'Rules &amp; Guardrails'!$G$9:$G$60,$B366)+COUNTIFS('Rules &amp; Guardrails'!$F$9:$F$60,$O366,'Rules &amp; Guardrails'!$G$9:$G$60,"Global"))&gt;0,"Blackout",""))</f>
        <v/>
      </c>
      <c r="AO366" s="6"/>
      <c r="AP366" s="25"/>
      <c r="AQ366" s="23"/>
      <c r="AR366" s="31" t="str">
        <f aca="false">IF($D366="","",IFERROR(VLOOKUP($D366,'Rules &amp; Guardrails'!$A$9:$D$24,2,0),"Other"))</f>
        <v/>
      </c>
      <c r="AS366" s="31" t="str">
        <f aca="false">IF($O366="","",$O366&amp;"|"&amp;$B366)</f>
        <v/>
      </c>
    </row>
    <row r="367" customFormat="false" ht="15" hidden="false" customHeight="false" outlineLevel="0" collapsed="false">
      <c r="A367" s="23"/>
      <c r="B367" s="23"/>
      <c r="C367" s="23"/>
      <c r="D367" s="23"/>
      <c r="E367" s="23"/>
      <c r="F367" s="23"/>
      <c r="G367" s="6"/>
      <c r="H367" s="6"/>
      <c r="I367" s="23"/>
      <c r="J367" s="23"/>
      <c r="K367" s="23"/>
      <c r="L367" s="6"/>
      <c r="M367" s="6"/>
      <c r="N367" s="24"/>
      <c r="O367" s="25"/>
      <c r="P367" s="23"/>
      <c r="Q367" s="23"/>
      <c r="R367" s="23"/>
      <c r="S367" s="23"/>
      <c r="T367" s="26" t="str">
        <f aca="false">IF(OR($O367="",$D367=""),"",WORKDAY($O367,-IFERROR(VLOOKUP($D367,'Rules &amp; Guardrails'!$A$9:$D$24,3,0),10)))</f>
        <v/>
      </c>
      <c r="U367" s="23"/>
      <c r="V367" s="23"/>
      <c r="W367" s="23"/>
      <c r="X367" s="6"/>
      <c r="Y367" s="23"/>
      <c r="Z367" s="23"/>
      <c r="AA367" s="23"/>
      <c r="AB367" s="23"/>
      <c r="AC367" s="23"/>
      <c r="AD367" s="23"/>
      <c r="AE367" s="23"/>
      <c r="AF367" s="27" t="str">
        <f aca="true">IF($O367="","",IF(OR($AE367="Cancelled",$AE367="On hold",$AE367="Launched"),$AE367,IF(AND($Y367="Approved",OR($Z367="Yes",$Z367="N/A"),OR($AA367="Yes",$AA367="N/A"),OR($AB367="No",$AB367="N/A",AND($AB367="Yes",$AD367="Yes"))),"Ready",IF($O367&lt;TODAY(),"Overdue",IF($O367-TODAY()&lt;='Rules &amp; Guardrails'!$C$5,"At Risk","In Progress")))))</f>
        <v/>
      </c>
      <c r="AG367" s="28" t="str">
        <f aca="false">IF($O367="","",IF(OR($AE367="Launched",$AE367="Cancelled"),"",MID(IF($Y367&lt;&gt;"Approved",", Content approval","")&amp;IF(NOT(OR($Z367="Yes",$Z367="N/A")),", Assets","")&amp;IF(NOT(OR($AA367="Yes",$AA367="N/A")),", List","")&amp;IF($AB367="",", Ops decision",IF(AND($AB367="Yes",$AD367&lt;&gt;"Yes"),", Ops",""))&amp;IF($U367="",", Owner","")&amp;IF($K367="",", Segment",""),3,200)))</f>
        <v/>
      </c>
      <c r="AH367" s="29" t="str">
        <f aca="true">IF($O367="","",$O367-TODAY())</f>
        <v/>
      </c>
      <c r="AI367" s="26" t="str">
        <f aca="false">IF($O367="","",$O367-WEEKDAY($O367,3))</f>
        <v/>
      </c>
      <c r="AJ367" s="30" t="str">
        <f aca="false">IF($O367="","",DATE(YEAR($O367),MONTH($O367),1))</f>
        <v/>
      </c>
      <c r="AK367" s="31" t="str">
        <f aca="false">IF(OR($O367="",$K367=""),"",COUNTIFS('Comms Calendar'!$K$5:$K$504,$K367,'Comms Calendar'!$B$5:$B$504,$B367,'Comms Calendar'!$AI$5:$AI$504,$AI367,'Comms Calendar'!$AE$5:$AE$504,"&lt;&gt;Cancelled"))</f>
        <v/>
      </c>
      <c r="AL367" s="27" t="str">
        <f aca="false">IF($AK367="","",IF($AK367&gt;'Rules &amp; Guardrails'!$C$3,"Over cap","OK"))</f>
        <v/>
      </c>
      <c r="AM367" s="27" t="str">
        <f aca="false">IF(OR($O367="",$K367=""),"",IF(COUNTIFS('Comms Calendar'!$K$5:$K$504,$K367,'Comms Calendar'!$B$5:$B$504,$B367,'Comms Calendar'!$O$5:$O$504,$O367,'Comms Calendar'!$AE$5:$AE$504,"&lt;&gt;Cancelled")&gt;1,"Clash",""))</f>
        <v/>
      </c>
      <c r="AN367" s="27" t="str">
        <f aca="false">IF($O367="","",IF(IF($B367="Global",COUNTIF('Rules &amp; Guardrails'!$F$9:$F$60,$O367),COUNTIFS('Rules &amp; Guardrails'!$F$9:$F$60,$O367,'Rules &amp; Guardrails'!$G$9:$G$60,$B367)+COUNTIFS('Rules &amp; Guardrails'!$F$9:$F$60,$O367,'Rules &amp; Guardrails'!$G$9:$G$60,"Global"))&gt;0,"Blackout",""))</f>
        <v/>
      </c>
      <c r="AO367" s="6"/>
      <c r="AP367" s="25"/>
      <c r="AQ367" s="23"/>
      <c r="AR367" s="31" t="str">
        <f aca="false">IF($D367="","",IFERROR(VLOOKUP($D367,'Rules &amp; Guardrails'!$A$9:$D$24,2,0),"Other"))</f>
        <v/>
      </c>
      <c r="AS367" s="31" t="str">
        <f aca="false">IF($O367="","",$O367&amp;"|"&amp;$B367)</f>
        <v/>
      </c>
    </row>
    <row r="368" customFormat="false" ht="15" hidden="false" customHeight="false" outlineLevel="0" collapsed="false">
      <c r="A368" s="23"/>
      <c r="B368" s="23"/>
      <c r="C368" s="23"/>
      <c r="D368" s="23"/>
      <c r="E368" s="23"/>
      <c r="F368" s="23"/>
      <c r="G368" s="6"/>
      <c r="H368" s="6"/>
      <c r="I368" s="23"/>
      <c r="J368" s="23"/>
      <c r="K368" s="23"/>
      <c r="L368" s="6"/>
      <c r="M368" s="6"/>
      <c r="N368" s="24"/>
      <c r="O368" s="25"/>
      <c r="P368" s="23"/>
      <c r="Q368" s="23"/>
      <c r="R368" s="23"/>
      <c r="S368" s="23"/>
      <c r="T368" s="26" t="str">
        <f aca="false">IF(OR($O368="",$D368=""),"",WORKDAY($O368,-IFERROR(VLOOKUP($D368,'Rules &amp; Guardrails'!$A$9:$D$24,3,0),10)))</f>
        <v/>
      </c>
      <c r="U368" s="23"/>
      <c r="V368" s="23"/>
      <c r="W368" s="23"/>
      <c r="X368" s="6"/>
      <c r="Y368" s="23"/>
      <c r="Z368" s="23"/>
      <c r="AA368" s="23"/>
      <c r="AB368" s="23"/>
      <c r="AC368" s="23"/>
      <c r="AD368" s="23"/>
      <c r="AE368" s="23"/>
      <c r="AF368" s="27" t="str">
        <f aca="true">IF($O368="","",IF(OR($AE368="Cancelled",$AE368="On hold",$AE368="Launched"),$AE368,IF(AND($Y368="Approved",OR($Z368="Yes",$Z368="N/A"),OR($AA368="Yes",$AA368="N/A"),OR($AB368="No",$AB368="N/A",AND($AB368="Yes",$AD368="Yes"))),"Ready",IF($O368&lt;TODAY(),"Overdue",IF($O368-TODAY()&lt;='Rules &amp; Guardrails'!$C$5,"At Risk","In Progress")))))</f>
        <v/>
      </c>
      <c r="AG368" s="28" t="str">
        <f aca="false">IF($O368="","",IF(OR($AE368="Launched",$AE368="Cancelled"),"",MID(IF($Y368&lt;&gt;"Approved",", Content approval","")&amp;IF(NOT(OR($Z368="Yes",$Z368="N/A")),", Assets","")&amp;IF(NOT(OR($AA368="Yes",$AA368="N/A")),", List","")&amp;IF($AB368="",", Ops decision",IF(AND($AB368="Yes",$AD368&lt;&gt;"Yes"),", Ops",""))&amp;IF($U368="",", Owner","")&amp;IF($K368="",", Segment",""),3,200)))</f>
        <v/>
      </c>
      <c r="AH368" s="29" t="str">
        <f aca="true">IF($O368="","",$O368-TODAY())</f>
        <v/>
      </c>
      <c r="AI368" s="26" t="str">
        <f aca="false">IF($O368="","",$O368-WEEKDAY($O368,3))</f>
        <v/>
      </c>
      <c r="AJ368" s="30" t="str">
        <f aca="false">IF($O368="","",DATE(YEAR($O368),MONTH($O368),1))</f>
        <v/>
      </c>
      <c r="AK368" s="31" t="str">
        <f aca="false">IF(OR($O368="",$K368=""),"",COUNTIFS('Comms Calendar'!$K$5:$K$504,$K368,'Comms Calendar'!$B$5:$B$504,$B368,'Comms Calendar'!$AI$5:$AI$504,$AI368,'Comms Calendar'!$AE$5:$AE$504,"&lt;&gt;Cancelled"))</f>
        <v/>
      </c>
      <c r="AL368" s="27" t="str">
        <f aca="false">IF($AK368="","",IF($AK368&gt;'Rules &amp; Guardrails'!$C$3,"Over cap","OK"))</f>
        <v/>
      </c>
      <c r="AM368" s="27" t="str">
        <f aca="false">IF(OR($O368="",$K368=""),"",IF(COUNTIFS('Comms Calendar'!$K$5:$K$504,$K368,'Comms Calendar'!$B$5:$B$504,$B368,'Comms Calendar'!$O$5:$O$504,$O368,'Comms Calendar'!$AE$5:$AE$504,"&lt;&gt;Cancelled")&gt;1,"Clash",""))</f>
        <v/>
      </c>
      <c r="AN368" s="27" t="str">
        <f aca="false">IF($O368="","",IF(IF($B368="Global",COUNTIF('Rules &amp; Guardrails'!$F$9:$F$60,$O368),COUNTIFS('Rules &amp; Guardrails'!$F$9:$F$60,$O368,'Rules &amp; Guardrails'!$G$9:$G$60,$B368)+COUNTIFS('Rules &amp; Guardrails'!$F$9:$F$60,$O368,'Rules &amp; Guardrails'!$G$9:$G$60,"Global"))&gt;0,"Blackout",""))</f>
        <v/>
      </c>
      <c r="AO368" s="6"/>
      <c r="AP368" s="25"/>
      <c r="AQ368" s="23"/>
      <c r="AR368" s="31" t="str">
        <f aca="false">IF($D368="","",IFERROR(VLOOKUP($D368,'Rules &amp; Guardrails'!$A$9:$D$24,2,0),"Other"))</f>
        <v/>
      </c>
      <c r="AS368" s="31" t="str">
        <f aca="false">IF($O368="","",$O368&amp;"|"&amp;$B368)</f>
        <v/>
      </c>
    </row>
    <row r="369" customFormat="false" ht="15" hidden="false" customHeight="false" outlineLevel="0" collapsed="false">
      <c r="A369" s="23"/>
      <c r="B369" s="23"/>
      <c r="C369" s="23"/>
      <c r="D369" s="23"/>
      <c r="E369" s="23"/>
      <c r="F369" s="23"/>
      <c r="G369" s="6"/>
      <c r="H369" s="6"/>
      <c r="I369" s="23"/>
      <c r="J369" s="23"/>
      <c r="K369" s="23"/>
      <c r="L369" s="6"/>
      <c r="M369" s="6"/>
      <c r="N369" s="24"/>
      <c r="O369" s="25"/>
      <c r="P369" s="23"/>
      <c r="Q369" s="23"/>
      <c r="R369" s="23"/>
      <c r="S369" s="23"/>
      <c r="T369" s="26" t="str">
        <f aca="false">IF(OR($O369="",$D369=""),"",WORKDAY($O369,-IFERROR(VLOOKUP($D369,'Rules &amp; Guardrails'!$A$9:$D$24,3,0),10)))</f>
        <v/>
      </c>
      <c r="U369" s="23"/>
      <c r="V369" s="23"/>
      <c r="W369" s="23"/>
      <c r="X369" s="6"/>
      <c r="Y369" s="23"/>
      <c r="Z369" s="23"/>
      <c r="AA369" s="23"/>
      <c r="AB369" s="23"/>
      <c r="AC369" s="23"/>
      <c r="AD369" s="23"/>
      <c r="AE369" s="23"/>
      <c r="AF369" s="27" t="str">
        <f aca="true">IF($O369="","",IF(OR($AE369="Cancelled",$AE369="On hold",$AE369="Launched"),$AE369,IF(AND($Y369="Approved",OR($Z369="Yes",$Z369="N/A"),OR($AA369="Yes",$AA369="N/A"),OR($AB369="No",$AB369="N/A",AND($AB369="Yes",$AD369="Yes"))),"Ready",IF($O369&lt;TODAY(),"Overdue",IF($O369-TODAY()&lt;='Rules &amp; Guardrails'!$C$5,"At Risk","In Progress")))))</f>
        <v/>
      </c>
      <c r="AG369" s="28" t="str">
        <f aca="false">IF($O369="","",IF(OR($AE369="Launched",$AE369="Cancelled"),"",MID(IF($Y369&lt;&gt;"Approved",", Content approval","")&amp;IF(NOT(OR($Z369="Yes",$Z369="N/A")),", Assets","")&amp;IF(NOT(OR($AA369="Yes",$AA369="N/A")),", List","")&amp;IF($AB369="",", Ops decision",IF(AND($AB369="Yes",$AD369&lt;&gt;"Yes"),", Ops",""))&amp;IF($U369="",", Owner","")&amp;IF($K369="",", Segment",""),3,200)))</f>
        <v/>
      </c>
      <c r="AH369" s="29" t="str">
        <f aca="true">IF($O369="","",$O369-TODAY())</f>
        <v/>
      </c>
      <c r="AI369" s="26" t="str">
        <f aca="false">IF($O369="","",$O369-WEEKDAY($O369,3))</f>
        <v/>
      </c>
      <c r="AJ369" s="30" t="str">
        <f aca="false">IF($O369="","",DATE(YEAR($O369),MONTH($O369),1))</f>
        <v/>
      </c>
      <c r="AK369" s="31" t="str">
        <f aca="false">IF(OR($O369="",$K369=""),"",COUNTIFS('Comms Calendar'!$K$5:$K$504,$K369,'Comms Calendar'!$B$5:$B$504,$B369,'Comms Calendar'!$AI$5:$AI$504,$AI369,'Comms Calendar'!$AE$5:$AE$504,"&lt;&gt;Cancelled"))</f>
        <v/>
      </c>
      <c r="AL369" s="27" t="str">
        <f aca="false">IF($AK369="","",IF($AK369&gt;'Rules &amp; Guardrails'!$C$3,"Over cap","OK"))</f>
        <v/>
      </c>
      <c r="AM369" s="27" t="str">
        <f aca="false">IF(OR($O369="",$K369=""),"",IF(COUNTIFS('Comms Calendar'!$K$5:$K$504,$K369,'Comms Calendar'!$B$5:$B$504,$B369,'Comms Calendar'!$O$5:$O$504,$O369,'Comms Calendar'!$AE$5:$AE$504,"&lt;&gt;Cancelled")&gt;1,"Clash",""))</f>
        <v/>
      </c>
      <c r="AN369" s="27" t="str">
        <f aca="false">IF($O369="","",IF(IF($B369="Global",COUNTIF('Rules &amp; Guardrails'!$F$9:$F$60,$O369),COUNTIFS('Rules &amp; Guardrails'!$F$9:$F$60,$O369,'Rules &amp; Guardrails'!$G$9:$G$60,$B369)+COUNTIFS('Rules &amp; Guardrails'!$F$9:$F$60,$O369,'Rules &amp; Guardrails'!$G$9:$G$60,"Global"))&gt;0,"Blackout",""))</f>
        <v/>
      </c>
      <c r="AO369" s="6"/>
      <c r="AP369" s="25"/>
      <c r="AQ369" s="23"/>
      <c r="AR369" s="31" t="str">
        <f aca="false">IF($D369="","",IFERROR(VLOOKUP($D369,'Rules &amp; Guardrails'!$A$9:$D$24,2,0),"Other"))</f>
        <v/>
      </c>
      <c r="AS369" s="31" t="str">
        <f aca="false">IF($O369="","",$O369&amp;"|"&amp;$B369)</f>
        <v/>
      </c>
    </row>
    <row r="370" customFormat="false" ht="15" hidden="false" customHeight="false" outlineLevel="0" collapsed="false">
      <c r="A370" s="23"/>
      <c r="B370" s="23"/>
      <c r="C370" s="23"/>
      <c r="D370" s="23"/>
      <c r="E370" s="23"/>
      <c r="F370" s="23"/>
      <c r="G370" s="6"/>
      <c r="H370" s="6"/>
      <c r="I370" s="23"/>
      <c r="J370" s="23"/>
      <c r="K370" s="23"/>
      <c r="L370" s="6"/>
      <c r="M370" s="6"/>
      <c r="N370" s="24"/>
      <c r="O370" s="25"/>
      <c r="P370" s="23"/>
      <c r="Q370" s="23"/>
      <c r="R370" s="23"/>
      <c r="S370" s="23"/>
      <c r="T370" s="26" t="str">
        <f aca="false">IF(OR($O370="",$D370=""),"",WORKDAY($O370,-IFERROR(VLOOKUP($D370,'Rules &amp; Guardrails'!$A$9:$D$24,3,0),10)))</f>
        <v/>
      </c>
      <c r="U370" s="23"/>
      <c r="V370" s="23"/>
      <c r="W370" s="23"/>
      <c r="X370" s="6"/>
      <c r="Y370" s="23"/>
      <c r="Z370" s="23"/>
      <c r="AA370" s="23"/>
      <c r="AB370" s="23"/>
      <c r="AC370" s="23"/>
      <c r="AD370" s="23"/>
      <c r="AE370" s="23"/>
      <c r="AF370" s="27" t="str">
        <f aca="true">IF($O370="","",IF(OR($AE370="Cancelled",$AE370="On hold",$AE370="Launched"),$AE370,IF(AND($Y370="Approved",OR($Z370="Yes",$Z370="N/A"),OR($AA370="Yes",$AA370="N/A"),OR($AB370="No",$AB370="N/A",AND($AB370="Yes",$AD370="Yes"))),"Ready",IF($O370&lt;TODAY(),"Overdue",IF($O370-TODAY()&lt;='Rules &amp; Guardrails'!$C$5,"At Risk","In Progress")))))</f>
        <v/>
      </c>
      <c r="AG370" s="28" t="str">
        <f aca="false">IF($O370="","",IF(OR($AE370="Launched",$AE370="Cancelled"),"",MID(IF($Y370&lt;&gt;"Approved",", Content approval","")&amp;IF(NOT(OR($Z370="Yes",$Z370="N/A")),", Assets","")&amp;IF(NOT(OR($AA370="Yes",$AA370="N/A")),", List","")&amp;IF($AB370="",", Ops decision",IF(AND($AB370="Yes",$AD370&lt;&gt;"Yes"),", Ops",""))&amp;IF($U370="",", Owner","")&amp;IF($K370="",", Segment",""),3,200)))</f>
        <v/>
      </c>
      <c r="AH370" s="29" t="str">
        <f aca="true">IF($O370="","",$O370-TODAY())</f>
        <v/>
      </c>
      <c r="AI370" s="26" t="str">
        <f aca="false">IF($O370="","",$O370-WEEKDAY($O370,3))</f>
        <v/>
      </c>
      <c r="AJ370" s="30" t="str">
        <f aca="false">IF($O370="","",DATE(YEAR($O370),MONTH($O370),1))</f>
        <v/>
      </c>
      <c r="AK370" s="31" t="str">
        <f aca="false">IF(OR($O370="",$K370=""),"",COUNTIFS('Comms Calendar'!$K$5:$K$504,$K370,'Comms Calendar'!$B$5:$B$504,$B370,'Comms Calendar'!$AI$5:$AI$504,$AI370,'Comms Calendar'!$AE$5:$AE$504,"&lt;&gt;Cancelled"))</f>
        <v/>
      </c>
      <c r="AL370" s="27" t="str">
        <f aca="false">IF($AK370="","",IF($AK370&gt;'Rules &amp; Guardrails'!$C$3,"Over cap","OK"))</f>
        <v/>
      </c>
      <c r="AM370" s="27" t="str">
        <f aca="false">IF(OR($O370="",$K370=""),"",IF(COUNTIFS('Comms Calendar'!$K$5:$K$504,$K370,'Comms Calendar'!$B$5:$B$504,$B370,'Comms Calendar'!$O$5:$O$504,$O370,'Comms Calendar'!$AE$5:$AE$504,"&lt;&gt;Cancelled")&gt;1,"Clash",""))</f>
        <v/>
      </c>
      <c r="AN370" s="27" t="str">
        <f aca="false">IF($O370="","",IF(IF($B370="Global",COUNTIF('Rules &amp; Guardrails'!$F$9:$F$60,$O370),COUNTIFS('Rules &amp; Guardrails'!$F$9:$F$60,$O370,'Rules &amp; Guardrails'!$G$9:$G$60,$B370)+COUNTIFS('Rules &amp; Guardrails'!$F$9:$F$60,$O370,'Rules &amp; Guardrails'!$G$9:$G$60,"Global"))&gt;0,"Blackout",""))</f>
        <v/>
      </c>
      <c r="AO370" s="6"/>
      <c r="AP370" s="25"/>
      <c r="AQ370" s="23"/>
      <c r="AR370" s="31" t="str">
        <f aca="false">IF($D370="","",IFERROR(VLOOKUP($D370,'Rules &amp; Guardrails'!$A$9:$D$24,2,0),"Other"))</f>
        <v/>
      </c>
      <c r="AS370" s="31" t="str">
        <f aca="false">IF($O370="","",$O370&amp;"|"&amp;$B370)</f>
        <v/>
      </c>
    </row>
    <row r="371" customFormat="false" ht="15" hidden="false" customHeight="false" outlineLevel="0" collapsed="false">
      <c r="A371" s="23"/>
      <c r="B371" s="23"/>
      <c r="C371" s="23"/>
      <c r="D371" s="23"/>
      <c r="E371" s="23"/>
      <c r="F371" s="23"/>
      <c r="G371" s="6"/>
      <c r="H371" s="6"/>
      <c r="I371" s="23"/>
      <c r="J371" s="23"/>
      <c r="K371" s="23"/>
      <c r="L371" s="6"/>
      <c r="M371" s="6"/>
      <c r="N371" s="24"/>
      <c r="O371" s="25"/>
      <c r="P371" s="23"/>
      <c r="Q371" s="23"/>
      <c r="R371" s="23"/>
      <c r="S371" s="23"/>
      <c r="T371" s="26" t="str">
        <f aca="false">IF(OR($O371="",$D371=""),"",WORKDAY($O371,-IFERROR(VLOOKUP($D371,'Rules &amp; Guardrails'!$A$9:$D$24,3,0),10)))</f>
        <v/>
      </c>
      <c r="U371" s="23"/>
      <c r="V371" s="23"/>
      <c r="W371" s="23"/>
      <c r="X371" s="6"/>
      <c r="Y371" s="23"/>
      <c r="Z371" s="23"/>
      <c r="AA371" s="23"/>
      <c r="AB371" s="23"/>
      <c r="AC371" s="23"/>
      <c r="AD371" s="23"/>
      <c r="AE371" s="23"/>
      <c r="AF371" s="27" t="str">
        <f aca="true">IF($O371="","",IF(OR($AE371="Cancelled",$AE371="On hold",$AE371="Launched"),$AE371,IF(AND($Y371="Approved",OR($Z371="Yes",$Z371="N/A"),OR($AA371="Yes",$AA371="N/A"),OR($AB371="No",$AB371="N/A",AND($AB371="Yes",$AD371="Yes"))),"Ready",IF($O371&lt;TODAY(),"Overdue",IF($O371-TODAY()&lt;='Rules &amp; Guardrails'!$C$5,"At Risk","In Progress")))))</f>
        <v/>
      </c>
      <c r="AG371" s="28" t="str">
        <f aca="false">IF($O371="","",IF(OR($AE371="Launched",$AE371="Cancelled"),"",MID(IF($Y371&lt;&gt;"Approved",", Content approval","")&amp;IF(NOT(OR($Z371="Yes",$Z371="N/A")),", Assets","")&amp;IF(NOT(OR($AA371="Yes",$AA371="N/A")),", List","")&amp;IF($AB371="",", Ops decision",IF(AND($AB371="Yes",$AD371&lt;&gt;"Yes"),", Ops",""))&amp;IF($U371="",", Owner","")&amp;IF($K371="",", Segment",""),3,200)))</f>
        <v/>
      </c>
      <c r="AH371" s="29" t="str">
        <f aca="true">IF($O371="","",$O371-TODAY())</f>
        <v/>
      </c>
      <c r="AI371" s="26" t="str">
        <f aca="false">IF($O371="","",$O371-WEEKDAY($O371,3))</f>
        <v/>
      </c>
      <c r="AJ371" s="30" t="str">
        <f aca="false">IF($O371="","",DATE(YEAR($O371),MONTH($O371),1))</f>
        <v/>
      </c>
      <c r="AK371" s="31" t="str">
        <f aca="false">IF(OR($O371="",$K371=""),"",COUNTIFS('Comms Calendar'!$K$5:$K$504,$K371,'Comms Calendar'!$B$5:$B$504,$B371,'Comms Calendar'!$AI$5:$AI$504,$AI371,'Comms Calendar'!$AE$5:$AE$504,"&lt;&gt;Cancelled"))</f>
        <v/>
      </c>
      <c r="AL371" s="27" t="str">
        <f aca="false">IF($AK371="","",IF($AK371&gt;'Rules &amp; Guardrails'!$C$3,"Over cap","OK"))</f>
        <v/>
      </c>
      <c r="AM371" s="27" t="str">
        <f aca="false">IF(OR($O371="",$K371=""),"",IF(COUNTIFS('Comms Calendar'!$K$5:$K$504,$K371,'Comms Calendar'!$B$5:$B$504,$B371,'Comms Calendar'!$O$5:$O$504,$O371,'Comms Calendar'!$AE$5:$AE$504,"&lt;&gt;Cancelled")&gt;1,"Clash",""))</f>
        <v/>
      </c>
      <c r="AN371" s="27" t="str">
        <f aca="false">IF($O371="","",IF(IF($B371="Global",COUNTIF('Rules &amp; Guardrails'!$F$9:$F$60,$O371),COUNTIFS('Rules &amp; Guardrails'!$F$9:$F$60,$O371,'Rules &amp; Guardrails'!$G$9:$G$60,$B371)+COUNTIFS('Rules &amp; Guardrails'!$F$9:$F$60,$O371,'Rules &amp; Guardrails'!$G$9:$G$60,"Global"))&gt;0,"Blackout",""))</f>
        <v/>
      </c>
      <c r="AO371" s="6"/>
      <c r="AP371" s="25"/>
      <c r="AQ371" s="23"/>
      <c r="AR371" s="31" t="str">
        <f aca="false">IF($D371="","",IFERROR(VLOOKUP($D371,'Rules &amp; Guardrails'!$A$9:$D$24,2,0),"Other"))</f>
        <v/>
      </c>
      <c r="AS371" s="31" t="str">
        <f aca="false">IF($O371="","",$O371&amp;"|"&amp;$B371)</f>
        <v/>
      </c>
    </row>
    <row r="372" customFormat="false" ht="15" hidden="false" customHeight="false" outlineLevel="0" collapsed="false">
      <c r="A372" s="23"/>
      <c r="B372" s="23"/>
      <c r="C372" s="23"/>
      <c r="D372" s="23"/>
      <c r="E372" s="23"/>
      <c r="F372" s="23"/>
      <c r="G372" s="6"/>
      <c r="H372" s="6"/>
      <c r="I372" s="23"/>
      <c r="J372" s="23"/>
      <c r="K372" s="23"/>
      <c r="L372" s="6"/>
      <c r="M372" s="6"/>
      <c r="N372" s="24"/>
      <c r="O372" s="25"/>
      <c r="P372" s="23"/>
      <c r="Q372" s="23"/>
      <c r="R372" s="23"/>
      <c r="S372" s="23"/>
      <c r="T372" s="26" t="str">
        <f aca="false">IF(OR($O372="",$D372=""),"",WORKDAY($O372,-IFERROR(VLOOKUP($D372,'Rules &amp; Guardrails'!$A$9:$D$24,3,0),10)))</f>
        <v/>
      </c>
      <c r="U372" s="23"/>
      <c r="V372" s="23"/>
      <c r="W372" s="23"/>
      <c r="X372" s="6"/>
      <c r="Y372" s="23"/>
      <c r="Z372" s="23"/>
      <c r="AA372" s="23"/>
      <c r="AB372" s="23"/>
      <c r="AC372" s="23"/>
      <c r="AD372" s="23"/>
      <c r="AE372" s="23"/>
      <c r="AF372" s="27" t="str">
        <f aca="true">IF($O372="","",IF(OR($AE372="Cancelled",$AE372="On hold",$AE372="Launched"),$AE372,IF(AND($Y372="Approved",OR($Z372="Yes",$Z372="N/A"),OR($AA372="Yes",$AA372="N/A"),OR($AB372="No",$AB372="N/A",AND($AB372="Yes",$AD372="Yes"))),"Ready",IF($O372&lt;TODAY(),"Overdue",IF($O372-TODAY()&lt;='Rules &amp; Guardrails'!$C$5,"At Risk","In Progress")))))</f>
        <v/>
      </c>
      <c r="AG372" s="28" t="str">
        <f aca="false">IF($O372="","",IF(OR($AE372="Launched",$AE372="Cancelled"),"",MID(IF($Y372&lt;&gt;"Approved",", Content approval","")&amp;IF(NOT(OR($Z372="Yes",$Z372="N/A")),", Assets","")&amp;IF(NOT(OR($AA372="Yes",$AA372="N/A")),", List","")&amp;IF($AB372="",", Ops decision",IF(AND($AB372="Yes",$AD372&lt;&gt;"Yes"),", Ops",""))&amp;IF($U372="",", Owner","")&amp;IF($K372="",", Segment",""),3,200)))</f>
        <v/>
      </c>
      <c r="AH372" s="29" t="str">
        <f aca="true">IF($O372="","",$O372-TODAY())</f>
        <v/>
      </c>
      <c r="AI372" s="26" t="str">
        <f aca="false">IF($O372="","",$O372-WEEKDAY($O372,3))</f>
        <v/>
      </c>
      <c r="AJ372" s="30" t="str">
        <f aca="false">IF($O372="","",DATE(YEAR($O372),MONTH($O372),1))</f>
        <v/>
      </c>
      <c r="AK372" s="31" t="str">
        <f aca="false">IF(OR($O372="",$K372=""),"",COUNTIFS('Comms Calendar'!$K$5:$K$504,$K372,'Comms Calendar'!$B$5:$B$504,$B372,'Comms Calendar'!$AI$5:$AI$504,$AI372,'Comms Calendar'!$AE$5:$AE$504,"&lt;&gt;Cancelled"))</f>
        <v/>
      </c>
      <c r="AL372" s="27" t="str">
        <f aca="false">IF($AK372="","",IF($AK372&gt;'Rules &amp; Guardrails'!$C$3,"Over cap","OK"))</f>
        <v/>
      </c>
      <c r="AM372" s="27" t="str">
        <f aca="false">IF(OR($O372="",$K372=""),"",IF(COUNTIFS('Comms Calendar'!$K$5:$K$504,$K372,'Comms Calendar'!$B$5:$B$504,$B372,'Comms Calendar'!$O$5:$O$504,$O372,'Comms Calendar'!$AE$5:$AE$504,"&lt;&gt;Cancelled")&gt;1,"Clash",""))</f>
        <v/>
      </c>
      <c r="AN372" s="27" t="str">
        <f aca="false">IF($O372="","",IF(IF($B372="Global",COUNTIF('Rules &amp; Guardrails'!$F$9:$F$60,$O372),COUNTIFS('Rules &amp; Guardrails'!$F$9:$F$60,$O372,'Rules &amp; Guardrails'!$G$9:$G$60,$B372)+COUNTIFS('Rules &amp; Guardrails'!$F$9:$F$60,$O372,'Rules &amp; Guardrails'!$G$9:$G$60,"Global"))&gt;0,"Blackout",""))</f>
        <v/>
      </c>
      <c r="AO372" s="6"/>
      <c r="AP372" s="25"/>
      <c r="AQ372" s="23"/>
      <c r="AR372" s="31" t="str">
        <f aca="false">IF($D372="","",IFERROR(VLOOKUP($D372,'Rules &amp; Guardrails'!$A$9:$D$24,2,0),"Other"))</f>
        <v/>
      </c>
      <c r="AS372" s="31" t="str">
        <f aca="false">IF($O372="","",$O372&amp;"|"&amp;$B372)</f>
        <v/>
      </c>
    </row>
    <row r="373" customFormat="false" ht="15" hidden="false" customHeight="false" outlineLevel="0" collapsed="false">
      <c r="A373" s="23"/>
      <c r="B373" s="23"/>
      <c r="C373" s="23"/>
      <c r="D373" s="23"/>
      <c r="E373" s="23"/>
      <c r="F373" s="23"/>
      <c r="G373" s="6"/>
      <c r="H373" s="6"/>
      <c r="I373" s="23"/>
      <c r="J373" s="23"/>
      <c r="K373" s="23"/>
      <c r="L373" s="6"/>
      <c r="M373" s="6"/>
      <c r="N373" s="24"/>
      <c r="O373" s="25"/>
      <c r="P373" s="23"/>
      <c r="Q373" s="23"/>
      <c r="R373" s="23"/>
      <c r="S373" s="23"/>
      <c r="T373" s="26" t="str">
        <f aca="false">IF(OR($O373="",$D373=""),"",WORKDAY($O373,-IFERROR(VLOOKUP($D373,'Rules &amp; Guardrails'!$A$9:$D$24,3,0),10)))</f>
        <v/>
      </c>
      <c r="U373" s="23"/>
      <c r="V373" s="23"/>
      <c r="W373" s="23"/>
      <c r="X373" s="6"/>
      <c r="Y373" s="23"/>
      <c r="Z373" s="23"/>
      <c r="AA373" s="23"/>
      <c r="AB373" s="23"/>
      <c r="AC373" s="23"/>
      <c r="AD373" s="23"/>
      <c r="AE373" s="23"/>
      <c r="AF373" s="27" t="str">
        <f aca="true">IF($O373="","",IF(OR($AE373="Cancelled",$AE373="On hold",$AE373="Launched"),$AE373,IF(AND($Y373="Approved",OR($Z373="Yes",$Z373="N/A"),OR($AA373="Yes",$AA373="N/A"),OR($AB373="No",$AB373="N/A",AND($AB373="Yes",$AD373="Yes"))),"Ready",IF($O373&lt;TODAY(),"Overdue",IF($O373-TODAY()&lt;='Rules &amp; Guardrails'!$C$5,"At Risk","In Progress")))))</f>
        <v/>
      </c>
      <c r="AG373" s="28" t="str">
        <f aca="false">IF($O373="","",IF(OR($AE373="Launched",$AE373="Cancelled"),"",MID(IF($Y373&lt;&gt;"Approved",", Content approval","")&amp;IF(NOT(OR($Z373="Yes",$Z373="N/A")),", Assets","")&amp;IF(NOT(OR($AA373="Yes",$AA373="N/A")),", List","")&amp;IF($AB373="",", Ops decision",IF(AND($AB373="Yes",$AD373&lt;&gt;"Yes"),", Ops",""))&amp;IF($U373="",", Owner","")&amp;IF($K373="",", Segment",""),3,200)))</f>
        <v/>
      </c>
      <c r="AH373" s="29" t="str">
        <f aca="true">IF($O373="","",$O373-TODAY())</f>
        <v/>
      </c>
      <c r="AI373" s="26" t="str">
        <f aca="false">IF($O373="","",$O373-WEEKDAY($O373,3))</f>
        <v/>
      </c>
      <c r="AJ373" s="30" t="str">
        <f aca="false">IF($O373="","",DATE(YEAR($O373),MONTH($O373),1))</f>
        <v/>
      </c>
      <c r="AK373" s="31" t="str">
        <f aca="false">IF(OR($O373="",$K373=""),"",COUNTIFS('Comms Calendar'!$K$5:$K$504,$K373,'Comms Calendar'!$B$5:$B$504,$B373,'Comms Calendar'!$AI$5:$AI$504,$AI373,'Comms Calendar'!$AE$5:$AE$504,"&lt;&gt;Cancelled"))</f>
        <v/>
      </c>
      <c r="AL373" s="27" t="str">
        <f aca="false">IF($AK373="","",IF($AK373&gt;'Rules &amp; Guardrails'!$C$3,"Over cap","OK"))</f>
        <v/>
      </c>
      <c r="AM373" s="27" t="str">
        <f aca="false">IF(OR($O373="",$K373=""),"",IF(COUNTIFS('Comms Calendar'!$K$5:$K$504,$K373,'Comms Calendar'!$B$5:$B$504,$B373,'Comms Calendar'!$O$5:$O$504,$O373,'Comms Calendar'!$AE$5:$AE$504,"&lt;&gt;Cancelled")&gt;1,"Clash",""))</f>
        <v/>
      </c>
      <c r="AN373" s="27" t="str">
        <f aca="false">IF($O373="","",IF(IF($B373="Global",COUNTIF('Rules &amp; Guardrails'!$F$9:$F$60,$O373),COUNTIFS('Rules &amp; Guardrails'!$F$9:$F$60,$O373,'Rules &amp; Guardrails'!$G$9:$G$60,$B373)+COUNTIFS('Rules &amp; Guardrails'!$F$9:$F$60,$O373,'Rules &amp; Guardrails'!$G$9:$G$60,"Global"))&gt;0,"Blackout",""))</f>
        <v/>
      </c>
      <c r="AO373" s="6"/>
      <c r="AP373" s="25"/>
      <c r="AQ373" s="23"/>
      <c r="AR373" s="31" t="str">
        <f aca="false">IF($D373="","",IFERROR(VLOOKUP($D373,'Rules &amp; Guardrails'!$A$9:$D$24,2,0),"Other"))</f>
        <v/>
      </c>
      <c r="AS373" s="31" t="str">
        <f aca="false">IF($O373="","",$O373&amp;"|"&amp;$B373)</f>
        <v/>
      </c>
    </row>
    <row r="374" customFormat="false" ht="15" hidden="false" customHeight="false" outlineLevel="0" collapsed="false">
      <c r="A374" s="23"/>
      <c r="B374" s="23"/>
      <c r="C374" s="23"/>
      <c r="D374" s="23"/>
      <c r="E374" s="23"/>
      <c r="F374" s="23"/>
      <c r="G374" s="6"/>
      <c r="H374" s="6"/>
      <c r="I374" s="23"/>
      <c r="J374" s="23"/>
      <c r="K374" s="23"/>
      <c r="L374" s="6"/>
      <c r="M374" s="6"/>
      <c r="N374" s="24"/>
      <c r="O374" s="25"/>
      <c r="P374" s="23"/>
      <c r="Q374" s="23"/>
      <c r="R374" s="23"/>
      <c r="S374" s="23"/>
      <c r="T374" s="26" t="str">
        <f aca="false">IF(OR($O374="",$D374=""),"",WORKDAY($O374,-IFERROR(VLOOKUP($D374,'Rules &amp; Guardrails'!$A$9:$D$24,3,0),10)))</f>
        <v/>
      </c>
      <c r="U374" s="23"/>
      <c r="V374" s="23"/>
      <c r="W374" s="23"/>
      <c r="X374" s="6"/>
      <c r="Y374" s="23"/>
      <c r="Z374" s="23"/>
      <c r="AA374" s="23"/>
      <c r="AB374" s="23"/>
      <c r="AC374" s="23"/>
      <c r="AD374" s="23"/>
      <c r="AE374" s="23"/>
      <c r="AF374" s="27" t="str">
        <f aca="true">IF($O374="","",IF(OR($AE374="Cancelled",$AE374="On hold",$AE374="Launched"),$AE374,IF(AND($Y374="Approved",OR($Z374="Yes",$Z374="N/A"),OR($AA374="Yes",$AA374="N/A"),OR($AB374="No",$AB374="N/A",AND($AB374="Yes",$AD374="Yes"))),"Ready",IF($O374&lt;TODAY(),"Overdue",IF($O374-TODAY()&lt;='Rules &amp; Guardrails'!$C$5,"At Risk","In Progress")))))</f>
        <v/>
      </c>
      <c r="AG374" s="28" t="str">
        <f aca="false">IF($O374="","",IF(OR($AE374="Launched",$AE374="Cancelled"),"",MID(IF($Y374&lt;&gt;"Approved",", Content approval","")&amp;IF(NOT(OR($Z374="Yes",$Z374="N/A")),", Assets","")&amp;IF(NOT(OR($AA374="Yes",$AA374="N/A")),", List","")&amp;IF($AB374="",", Ops decision",IF(AND($AB374="Yes",$AD374&lt;&gt;"Yes"),", Ops",""))&amp;IF($U374="",", Owner","")&amp;IF($K374="",", Segment",""),3,200)))</f>
        <v/>
      </c>
      <c r="AH374" s="29" t="str">
        <f aca="true">IF($O374="","",$O374-TODAY())</f>
        <v/>
      </c>
      <c r="AI374" s="26" t="str">
        <f aca="false">IF($O374="","",$O374-WEEKDAY($O374,3))</f>
        <v/>
      </c>
      <c r="AJ374" s="30" t="str">
        <f aca="false">IF($O374="","",DATE(YEAR($O374),MONTH($O374),1))</f>
        <v/>
      </c>
      <c r="AK374" s="31" t="str">
        <f aca="false">IF(OR($O374="",$K374=""),"",COUNTIFS('Comms Calendar'!$K$5:$K$504,$K374,'Comms Calendar'!$B$5:$B$504,$B374,'Comms Calendar'!$AI$5:$AI$504,$AI374,'Comms Calendar'!$AE$5:$AE$504,"&lt;&gt;Cancelled"))</f>
        <v/>
      </c>
      <c r="AL374" s="27" t="str">
        <f aca="false">IF($AK374="","",IF($AK374&gt;'Rules &amp; Guardrails'!$C$3,"Over cap","OK"))</f>
        <v/>
      </c>
      <c r="AM374" s="27" t="str">
        <f aca="false">IF(OR($O374="",$K374=""),"",IF(COUNTIFS('Comms Calendar'!$K$5:$K$504,$K374,'Comms Calendar'!$B$5:$B$504,$B374,'Comms Calendar'!$O$5:$O$504,$O374,'Comms Calendar'!$AE$5:$AE$504,"&lt;&gt;Cancelled")&gt;1,"Clash",""))</f>
        <v/>
      </c>
      <c r="AN374" s="27" t="str">
        <f aca="false">IF($O374="","",IF(IF($B374="Global",COUNTIF('Rules &amp; Guardrails'!$F$9:$F$60,$O374),COUNTIFS('Rules &amp; Guardrails'!$F$9:$F$60,$O374,'Rules &amp; Guardrails'!$G$9:$G$60,$B374)+COUNTIFS('Rules &amp; Guardrails'!$F$9:$F$60,$O374,'Rules &amp; Guardrails'!$G$9:$G$60,"Global"))&gt;0,"Blackout",""))</f>
        <v/>
      </c>
      <c r="AO374" s="6"/>
      <c r="AP374" s="25"/>
      <c r="AQ374" s="23"/>
      <c r="AR374" s="31" t="str">
        <f aca="false">IF($D374="","",IFERROR(VLOOKUP($D374,'Rules &amp; Guardrails'!$A$9:$D$24,2,0),"Other"))</f>
        <v/>
      </c>
      <c r="AS374" s="31" t="str">
        <f aca="false">IF($O374="","",$O374&amp;"|"&amp;$B374)</f>
        <v/>
      </c>
    </row>
    <row r="375" customFormat="false" ht="15" hidden="false" customHeight="false" outlineLevel="0" collapsed="false">
      <c r="A375" s="23"/>
      <c r="B375" s="23"/>
      <c r="C375" s="23"/>
      <c r="D375" s="23"/>
      <c r="E375" s="23"/>
      <c r="F375" s="23"/>
      <c r="G375" s="6"/>
      <c r="H375" s="6"/>
      <c r="I375" s="23"/>
      <c r="J375" s="23"/>
      <c r="K375" s="23"/>
      <c r="L375" s="6"/>
      <c r="M375" s="6"/>
      <c r="N375" s="24"/>
      <c r="O375" s="25"/>
      <c r="P375" s="23"/>
      <c r="Q375" s="23"/>
      <c r="R375" s="23"/>
      <c r="S375" s="23"/>
      <c r="T375" s="26" t="str">
        <f aca="false">IF(OR($O375="",$D375=""),"",WORKDAY($O375,-IFERROR(VLOOKUP($D375,'Rules &amp; Guardrails'!$A$9:$D$24,3,0),10)))</f>
        <v/>
      </c>
      <c r="U375" s="23"/>
      <c r="V375" s="23"/>
      <c r="W375" s="23"/>
      <c r="X375" s="6"/>
      <c r="Y375" s="23"/>
      <c r="Z375" s="23"/>
      <c r="AA375" s="23"/>
      <c r="AB375" s="23"/>
      <c r="AC375" s="23"/>
      <c r="AD375" s="23"/>
      <c r="AE375" s="23"/>
      <c r="AF375" s="27" t="str">
        <f aca="true">IF($O375="","",IF(OR($AE375="Cancelled",$AE375="On hold",$AE375="Launched"),$AE375,IF(AND($Y375="Approved",OR($Z375="Yes",$Z375="N/A"),OR($AA375="Yes",$AA375="N/A"),OR($AB375="No",$AB375="N/A",AND($AB375="Yes",$AD375="Yes"))),"Ready",IF($O375&lt;TODAY(),"Overdue",IF($O375-TODAY()&lt;='Rules &amp; Guardrails'!$C$5,"At Risk","In Progress")))))</f>
        <v/>
      </c>
      <c r="AG375" s="28" t="str">
        <f aca="false">IF($O375="","",IF(OR($AE375="Launched",$AE375="Cancelled"),"",MID(IF($Y375&lt;&gt;"Approved",", Content approval","")&amp;IF(NOT(OR($Z375="Yes",$Z375="N/A")),", Assets","")&amp;IF(NOT(OR($AA375="Yes",$AA375="N/A")),", List","")&amp;IF($AB375="",", Ops decision",IF(AND($AB375="Yes",$AD375&lt;&gt;"Yes"),", Ops",""))&amp;IF($U375="",", Owner","")&amp;IF($K375="",", Segment",""),3,200)))</f>
        <v/>
      </c>
      <c r="AH375" s="29" t="str">
        <f aca="true">IF($O375="","",$O375-TODAY())</f>
        <v/>
      </c>
      <c r="AI375" s="26" t="str">
        <f aca="false">IF($O375="","",$O375-WEEKDAY($O375,3))</f>
        <v/>
      </c>
      <c r="AJ375" s="30" t="str">
        <f aca="false">IF($O375="","",DATE(YEAR($O375),MONTH($O375),1))</f>
        <v/>
      </c>
      <c r="AK375" s="31" t="str">
        <f aca="false">IF(OR($O375="",$K375=""),"",COUNTIFS('Comms Calendar'!$K$5:$K$504,$K375,'Comms Calendar'!$B$5:$B$504,$B375,'Comms Calendar'!$AI$5:$AI$504,$AI375,'Comms Calendar'!$AE$5:$AE$504,"&lt;&gt;Cancelled"))</f>
        <v/>
      </c>
      <c r="AL375" s="27" t="str">
        <f aca="false">IF($AK375="","",IF($AK375&gt;'Rules &amp; Guardrails'!$C$3,"Over cap","OK"))</f>
        <v/>
      </c>
      <c r="AM375" s="27" t="str">
        <f aca="false">IF(OR($O375="",$K375=""),"",IF(COUNTIFS('Comms Calendar'!$K$5:$K$504,$K375,'Comms Calendar'!$B$5:$B$504,$B375,'Comms Calendar'!$O$5:$O$504,$O375,'Comms Calendar'!$AE$5:$AE$504,"&lt;&gt;Cancelled")&gt;1,"Clash",""))</f>
        <v/>
      </c>
      <c r="AN375" s="27" t="str">
        <f aca="false">IF($O375="","",IF(IF($B375="Global",COUNTIF('Rules &amp; Guardrails'!$F$9:$F$60,$O375),COUNTIFS('Rules &amp; Guardrails'!$F$9:$F$60,$O375,'Rules &amp; Guardrails'!$G$9:$G$60,$B375)+COUNTIFS('Rules &amp; Guardrails'!$F$9:$F$60,$O375,'Rules &amp; Guardrails'!$G$9:$G$60,"Global"))&gt;0,"Blackout",""))</f>
        <v/>
      </c>
      <c r="AO375" s="6"/>
      <c r="AP375" s="25"/>
      <c r="AQ375" s="23"/>
      <c r="AR375" s="31" t="str">
        <f aca="false">IF($D375="","",IFERROR(VLOOKUP($D375,'Rules &amp; Guardrails'!$A$9:$D$24,2,0),"Other"))</f>
        <v/>
      </c>
      <c r="AS375" s="31" t="str">
        <f aca="false">IF($O375="","",$O375&amp;"|"&amp;$B375)</f>
        <v/>
      </c>
    </row>
    <row r="376" customFormat="false" ht="15" hidden="false" customHeight="false" outlineLevel="0" collapsed="false">
      <c r="A376" s="23"/>
      <c r="B376" s="23"/>
      <c r="C376" s="23"/>
      <c r="D376" s="23"/>
      <c r="E376" s="23"/>
      <c r="F376" s="23"/>
      <c r="G376" s="6"/>
      <c r="H376" s="6"/>
      <c r="I376" s="23"/>
      <c r="J376" s="23"/>
      <c r="K376" s="23"/>
      <c r="L376" s="6"/>
      <c r="M376" s="6"/>
      <c r="N376" s="24"/>
      <c r="O376" s="25"/>
      <c r="P376" s="23"/>
      <c r="Q376" s="23"/>
      <c r="R376" s="23"/>
      <c r="S376" s="23"/>
      <c r="T376" s="26" t="str">
        <f aca="false">IF(OR($O376="",$D376=""),"",WORKDAY($O376,-IFERROR(VLOOKUP($D376,'Rules &amp; Guardrails'!$A$9:$D$24,3,0),10)))</f>
        <v/>
      </c>
      <c r="U376" s="23"/>
      <c r="V376" s="23"/>
      <c r="W376" s="23"/>
      <c r="X376" s="6"/>
      <c r="Y376" s="23"/>
      <c r="Z376" s="23"/>
      <c r="AA376" s="23"/>
      <c r="AB376" s="23"/>
      <c r="AC376" s="23"/>
      <c r="AD376" s="23"/>
      <c r="AE376" s="23"/>
      <c r="AF376" s="27" t="str">
        <f aca="true">IF($O376="","",IF(OR($AE376="Cancelled",$AE376="On hold",$AE376="Launched"),$AE376,IF(AND($Y376="Approved",OR($Z376="Yes",$Z376="N/A"),OR($AA376="Yes",$AA376="N/A"),OR($AB376="No",$AB376="N/A",AND($AB376="Yes",$AD376="Yes"))),"Ready",IF($O376&lt;TODAY(),"Overdue",IF($O376-TODAY()&lt;='Rules &amp; Guardrails'!$C$5,"At Risk","In Progress")))))</f>
        <v/>
      </c>
      <c r="AG376" s="28" t="str">
        <f aca="false">IF($O376="","",IF(OR($AE376="Launched",$AE376="Cancelled"),"",MID(IF($Y376&lt;&gt;"Approved",", Content approval","")&amp;IF(NOT(OR($Z376="Yes",$Z376="N/A")),", Assets","")&amp;IF(NOT(OR($AA376="Yes",$AA376="N/A")),", List","")&amp;IF($AB376="",", Ops decision",IF(AND($AB376="Yes",$AD376&lt;&gt;"Yes"),", Ops",""))&amp;IF($U376="",", Owner","")&amp;IF($K376="",", Segment",""),3,200)))</f>
        <v/>
      </c>
      <c r="AH376" s="29" t="str">
        <f aca="true">IF($O376="","",$O376-TODAY())</f>
        <v/>
      </c>
      <c r="AI376" s="26" t="str">
        <f aca="false">IF($O376="","",$O376-WEEKDAY($O376,3))</f>
        <v/>
      </c>
      <c r="AJ376" s="30" t="str">
        <f aca="false">IF($O376="","",DATE(YEAR($O376),MONTH($O376),1))</f>
        <v/>
      </c>
      <c r="AK376" s="31" t="str">
        <f aca="false">IF(OR($O376="",$K376=""),"",COUNTIFS('Comms Calendar'!$K$5:$K$504,$K376,'Comms Calendar'!$B$5:$B$504,$B376,'Comms Calendar'!$AI$5:$AI$504,$AI376,'Comms Calendar'!$AE$5:$AE$504,"&lt;&gt;Cancelled"))</f>
        <v/>
      </c>
      <c r="AL376" s="27" t="str">
        <f aca="false">IF($AK376="","",IF($AK376&gt;'Rules &amp; Guardrails'!$C$3,"Over cap","OK"))</f>
        <v/>
      </c>
      <c r="AM376" s="27" t="str">
        <f aca="false">IF(OR($O376="",$K376=""),"",IF(COUNTIFS('Comms Calendar'!$K$5:$K$504,$K376,'Comms Calendar'!$B$5:$B$504,$B376,'Comms Calendar'!$O$5:$O$504,$O376,'Comms Calendar'!$AE$5:$AE$504,"&lt;&gt;Cancelled")&gt;1,"Clash",""))</f>
        <v/>
      </c>
      <c r="AN376" s="27" t="str">
        <f aca="false">IF($O376="","",IF(IF($B376="Global",COUNTIF('Rules &amp; Guardrails'!$F$9:$F$60,$O376),COUNTIFS('Rules &amp; Guardrails'!$F$9:$F$60,$O376,'Rules &amp; Guardrails'!$G$9:$G$60,$B376)+COUNTIFS('Rules &amp; Guardrails'!$F$9:$F$60,$O376,'Rules &amp; Guardrails'!$G$9:$G$60,"Global"))&gt;0,"Blackout",""))</f>
        <v/>
      </c>
      <c r="AO376" s="6"/>
      <c r="AP376" s="25"/>
      <c r="AQ376" s="23"/>
      <c r="AR376" s="31" t="str">
        <f aca="false">IF($D376="","",IFERROR(VLOOKUP($D376,'Rules &amp; Guardrails'!$A$9:$D$24,2,0),"Other"))</f>
        <v/>
      </c>
      <c r="AS376" s="31" t="str">
        <f aca="false">IF($O376="","",$O376&amp;"|"&amp;$B376)</f>
        <v/>
      </c>
    </row>
    <row r="377" customFormat="false" ht="15" hidden="false" customHeight="false" outlineLevel="0" collapsed="false">
      <c r="A377" s="23"/>
      <c r="B377" s="23"/>
      <c r="C377" s="23"/>
      <c r="D377" s="23"/>
      <c r="E377" s="23"/>
      <c r="F377" s="23"/>
      <c r="G377" s="6"/>
      <c r="H377" s="6"/>
      <c r="I377" s="23"/>
      <c r="J377" s="23"/>
      <c r="K377" s="23"/>
      <c r="L377" s="6"/>
      <c r="M377" s="6"/>
      <c r="N377" s="24"/>
      <c r="O377" s="25"/>
      <c r="P377" s="23"/>
      <c r="Q377" s="23"/>
      <c r="R377" s="23"/>
      <c r="S377" s="23"/>
      <c r="T377" s="26" t="str">
        <f aca="false">IF(OR($O377="",$D377=""),"",WORKDAY($O377,-IFERROR(VLOOKUP($D377,'Rules &amp; Guardrails'!$A$9:$D$24,3,0),10)))</f>
        <v/>
      </c>
      <c r="U377" s="23"/>
      <c r="V377" s="23"/>
      <c r="W377" s="23"/>
      <c r="X377" s="6"/>
      <c r="Y377" s="23"/>
      <c r="Z377" s="23"/>
      <c r="AA377" s="23"/>
      <c r="AB377" s="23"/>
      <c r="AC377" s="23"/>
      <c r="AD377" s="23"/>
      <c r="AE377" s="23"/>
      <c r="AF377" s="27" t="str">
        <f aca="true">IF($O377="","",IF(OR($AE377="Cancelled",$AE377="On hold",$AE377="Launched"),$AE377,IF(AND($Y377="Approved",OR($Z377="Yes",$Z377="N/A"),OR($AA377="Yes",$AA377="N/A"),OR($AB377="No",$AB377="N/A",AND($AB377="Yes",$AD377="Yes"))),"Ready",IF($O377&lt;TODAY(),"Overdue",IF($O377-TODAY()&lt;='Rules &amp; Guardrails'!$C$5,"At Risk","In Progress")))))</f>
        <v/>
      </c>
      <c r="AG377" s="28" t="str">
        <f aca="false">IF($O377="","",IF(OR($AE377="Launched",$AE377="Cancelled"),"",MID(IF($Y377&lt;&gt;"Approved",", Content approval","")&amp;IF(NOT(OR($Z377="Yes",$Z377="N/A")),", Assets","")&amp;IF(NOT(OR($AA377="Yes",$AA377="N/A")),", List","")&amp;IF($AB377="",", Ops decision",IF(AND($AB377="Yes",$AD377&lt;&gt;"Yes"),", Ops",""))&amp;IF($U377="",", Owner","")&amp;IF($K377="",", Segment",""),3,200)))</f>
        <v/>
      </c>
      <c r="AH377" s="29" t="str">
        <f aca="true">IF($O377="","",$O377-TODAY())</f>
        <v/>
      </c>
      <c r="AI377" s="26" t="str">
        <f aca="false">IF($O377="","",$O377-WEEKDAY($O377,3))</f>
        <v/>
      </c>
      <c r="AJ377" s="30" t="str">
        <f aca="false">IF($O377="","",DATE(YEAR($O377),MONTH($O377),1))</f>
        <v/>
      </c>
      <c r="AK377" s="31" t="str">
        <f aca="false">IF(OR($O377="",$K377=""),"",COUNTIFS('Comms Calendar'!$K$5:$K$504,$K377,'Comms Calendar'!$B$5:$B$504,$B377,'Comms Calendar'!$AI$5:$AI$504,$AI377,'Comms Calendar'!$AE$5:$AE$504,"&lt;&gt;Cancelled"))</f>
        <v/>
      </c>
      <c r="AL377" s="27" t="str">
        <f aca="false">IF($AK377="","",IF($AK377&gt;'Rules &amp; Guardrails'!$C$3,"Over cap","OK"))</f>
        <v/>
      </c>
      <c r="AM377" s="27" t="str">
        <f aca="false">IF(OR($O377="",$K377=""),"",IF(COUNTIFS('Comms Calendar'!$K$5:$K$504,$K377,'Comms Calendar'!$B$5:$B$504,$B377,'Comms Calendar'!$O$5:$O$504,$O377,'Comms Calendar'!$AE$5:$AE$504,"&lt;&gt;Cancelled")&gt;1,"Clash",""))</f>
        <v/>
      </c>
      <c r="AN377" s="27" t="str">
        <f aca="false">IF($O377="","",IF(IF($B377="Global",COUNTIF('Rules &amp; Guardrails'!$F$9:$F$60,$O377),COUNTIFS('Rules &amp; Guardrails'!$F$9:$F$60,$O377,'Rules &amp; Guardrails'!$G$9:$G$60,$B377)+COUNTIFS('Rules &amp; Guardrails'!$F$9:$F$60,$O377,'Rules &amp; Guardrails'!$G$9:$G$60,"Global"))&gt;0,"Blackout",""))</f>
        <v/>
      </c>
      <c r="AO377" s="6"/>
      <c r="AP377" s="25"/>
      <c r="AQ377" s="23"/>
      <c r="AR377" s="31" t="str">
        <f aca="false">IF($D377="","",IFERROR(VLOOKUP($D377,'Rules &amp; Guardrails'!$A$9:$D$24,2,0),"Other"))</f>
        <v/>
      </c>
      <c r="AS377" s="31" t="str">
        <f aca="false">IF($O377="","",$O377&amp;"|"&amp;$B377)</f>
        <v/>
      </c>
    </row>
    <row r="378" customFormat="false" ht="15" hidden="false" customHeight="false" outlineLevel="0" collapsed="false">
      <c r="A378" s="23"/>
      <c r="B378" s="23"/>
      <c r="C378" s="23"/>
      <c r="D378" s="23"/>
      <c r="E378" s="23"/>
      <c r="F378" s="23"/>
      <c r="G378" s="6"/>
      <c r="H378" s="6"/>
      <c r="I378" s="23"/>
      <c r="J378" s="23"/>
      <c r="K378" s="23"/>
      <c r="L378" s="6"/>
      <c r="M378" s="6"/>
      <c r="N378" s="24"/>
      <c r="O378" s="25"/>
      <c r="P378" s="23"/>
      <c r="Q378" s="23"/>
      <c r="R378" s="23"/>
      <c r="S378" s="23"/>
      <c r="T378" s="26" t="str">
        <f aca="false">IF(OR($O378="",$D378=""),"",WORKDAY($O378,-IFERROR(VLOOKUP($D378,'Rules &amp; Guardrails'!$A$9:$D$24,3,0),10)))</f>
        <v/>
      </c>
      <c r="U378" s="23"/>
      <c r="V378" s="23"/>
      <c r="W378" s="23"/>
      <c r="X378" s="6"/>
      <c r="Y378" s="23"/>
      <c r="Z378" s="23"/>
      <c r="AA378" s="23"/>
      <c r="AB378" s="23"/>
      <c r="AC378" s="23"/>
      <c r="AD378" s="23"/>
      <c r="AE378" s="23"/>
      <c r="AF378" s="27" t="str">
        <f aca="true">IF($O378="","",IF(OR($AE378="Cancelled",$AE378="On hold",$AE378="Launched"),$AE378,IF(AND($Y378="Approved",OR($Z378="Yes",$Z378="N/A"),OR($AA378="Yes",$AA378="N/A"),OR($AB378="No",$AB378="N/A",AND($AB378="Yes",$AD378="Yes"))),"Ready",IF($O378&lt;TODAY(),"Overdue",IF($O378-TODAY()&lt;='Rules &amp; Guardrails'!$C$5,"At Risk","In Progress")))))</f>
        <v/>
      </c>
      <c r="AG378" s="28" t="str">
        <f aca="false">IF($O378="","",IF(OR($AE378="Launched",$AE378="Cancelled"),"",MID(IF($Y378&lt;&gt;"Approved",", Content approval","")&amp;IF(NOT(OR($Z378="Yes",$Z378="N/A")),", Assets","")&amp;IF(NOT(OR($AA378="Yes",$AA378="N/A")),", List","")&amp;IF($AB378="",", Ops decision",IF(AND($AB378="Yes",$AD378&lt;&gt;"Yes"),", Ops",""))&amp;IF($U378="",", Owner","")&amp;IF($K378="",", Segment",""),3,200)))</f>
        <v/>
      </c>
      <c r="AH378" s="29" t="str">
        <f aca="true">IF($O378="","",$O378-TODAY())</f>
        <v/>
      </c>
      <c r="AI378" s="26" t="str">
        <f aca="false">IF($O378="","",$O378-WEEKDAY($O378,3))</f>
        <v/>
      </c>
      <c r="AJ378" s="30" t="str">
        <f aca="false">IF($O378="","",DATE(YEAR($O378),MONTH($O378),1))</f>
        <v/>
      </c>
      <c r="AK378" s="31" t="str">
        <f aca="false">IF(OR($O378="",$K378=""),"",COUNTIFS('Comms Calendar'!$K$5:$K$504,$K378,'Comms Calendar'!$B$5:$B$504,$B378,'Comms Calendar'!$AI$5:$AI$504,$AI378,'Comms Calendar'!$AE$5:$AE$504,"&lt;&gt;Cancelled"))</f>
        <v/>
      </c>
      <c r="AL378" s="27" t="str">
        <f aca="false">IF($AK378="","",IF($AK378&gt;'Rules &amp; Guardrails'!$C$3,"Over cap","OK"))</f>
        <v/>
      </c>
      <c r="AM378" s="27" t="str">
        <f aca="false">IF(OR($O378="",$K378=""),"",IF(COUNTIFS('Comms Calendar'!$K$5:$K$504,$K378,'Comms Calendar'!$B$5:$B$504,$B378,'Comms Calendar'!$O$5:$O$504,$O378,'Comms Calendar'!$AE$5:$AE$504,"&lt;&gt;Cancelled")&gt;1,"Clash",""))</f>
        <v/>
      </c>
      <c r="AN378" s="27" t="str">
        <f aca="false">IF($O378="","",IF(IF($B378="Global",COUNTIF('Rules &amp; Guardrails'!$F$9:$F$60,$O378),COUNTIFS('Rules &amp; Guardrails'!$F$9:$F$60,$O378,'Rules &amp; Guardrails'!$G$9:$G$60,$B378)+COUNTIFS('Rules &amp; Guardrails'!$F$9:$F$60,$O378,'Rules &amp; Guardrails'!$G$9:$G$60,"Global"))&gt;0,"Blackout",""))</f>
        <v/>
      </c>
      <c r="AO378" s="6"/>
      <c r="AP378" s="25"/>
      <c r="AQ378" s="23"/>
      <c r="AR378" s="31" t="str">
        <f aca="false">IF($D378="","",IFERROR(VLOOKUP($D378,'Rules &amp; Guardrails'!$A$9:$D$24,2,0),"Other"))</f>
        <v/>
      </c>
      <c r="AS378" s="31" t="str">
        <f aca="false">IF($O378="","",$O378&amp;"|"&amp;$B378)</f>
        <v/>
      </c>
    </row>
    <row r="379" customFormat="false" ht="15" hidden="false" customHeight="false" outlineLevel="0" collapsed="false">
      <c r="A379" s="23"/>
      <c r="B379" s="23"/>
      <c r="C379" s="23"/>
      <c r="D379" s="23"/>
      <c r="E379" s="23"/>
      <c r="F379" s="23"/>
      <c r="G379" s="6"/>
      <c r="H379" s="6"/>
      <c r="I379" s="23"/>
      <c r="J379" s="23"/>
      <c r="K379" s="23"/>
      <c r="L379" s="6"/>
      <c r="M379" s="6"/>
      <c r="N379" s="24"/>
      <c r="O379" s="25"/>
      <c r="P379" s="23"/>
      <c r="Q379" s="23"/>
      <c r="R379" s="23"/>
      <c r="S379" s="23"/>
      <c r="T379" s="26" t="str">
        <f aca="false">IF(OR($O379="",$D379=""),"",WORKDAY($O379,-IFERROR(VLOOKUP($D379,'Rules &amp; Guardrails'!$A$9:$D$24,3,0),10)))</f>
        <v/>
      </c>
      <c r="U379" s="23"/>
      <c r="V379" s="23"/>
      <c r="W379" s="23"/>
      <c r="X379" s="6"/>
      <c r="Y379" s="23"/>
      <c r="Z379" s="23"/>
      <c r="AA379" s="23"/>
      <c r="AB379" s="23"/>
      <c r="AC379" s="23"/>
      <c r="AD379" s="23"/>
      <c r="AE379" s="23"/>
      <c r="AF379" s="27" t="str">
        <f aca="true">IF($O379="","",IF(OR($AE379="Cancelled",$AE379="On hold",$AE379="Launched"),$AE379,IF(AND($Y379="Approved",OR($Z379="Yes",$Z379="N/A"),OR($AA379="Yes",$AA379="N/A"),OR($AB379="No",$AB379="N/A",AND($AB379="Yes",$AD379="Yes"))),"Ready",IF($O379&lt;TODAY(),"Overdue",IF($O379-TODAY()&lt;='Rules &amp; Guardrails'!$C$5,"At Risk","In Progress")))))</f>
        <v/>
      </c>
      <c r="AG379" s="28" t="str">
        <f aca="false">IF($O379="","",IF(OR($AE379="Launched",$AE379="Cancelled"),"",MID(IF($Y379&lt;&gt;"Approved",", Content approval","")&amp;IF(NOT(OR($Z379="Yes",$Z379="N/A")),", Assets","")&amp;IF(NOT(OR($AA379="Yes",$AA379="N/A")),", List","")&amp;IF($AB379="",", Ops decision",IF(AND($AB379="Yes",$AD379&lt;&gt;"Yes"),", Ops",""))&amp;IF($U379="",", Owner","")&amp;IF($K379="",", Segment",""),3,200)))</f>
        <v/>
      </c>
      <c r="AH379" s="29" t="str">
        <f aca="true">IF($O379="","",$O379-TODAY())</f>
        <v/>
      </c>
      <c r="AI379" s="26" t="str">
        <f aca="false">IF($O379="","",$O379-WEEKDAY($O379,3))</f>
        <v/>
      </c>
      <c r="AJ379" s="30" t="str">
        <f aca="false">IF($O379="","",DATE(YEAR($O379),MONTH($O379),1))</f>
        <v/>
      </c>
      <c r="AK379" s="31" t="str">
        <f aca="false">IF(OR($O379="",$K379=""),"",COUNTIFS('Comms Calendar'!$K$5:$K$504,$K379,'Comms Calendar'!$B$5:$B$504,$B379,'Comms Calendar'!$AI$5:$AI$504,$AI379,'Comms Calendar'!$AE$5:$AE$504,"&lt;&gt;Cancelled"))</f>
        <v/>
      </c>
      <c r="AL379" s="27" t="str">
        <f aca="false">IF($AK379="","",IF($AK379&gt;'Rules &amp; Guardrails'!$C$3,"Over cap","OK"))</f>
        <v/>
      </c>
      <c r="AM379" s="27" t="str">
        <f aca="false">IF(OR($O379="",$K379=""),"",IF(COUNTIFS('Comms Calendar'!$K$5:$K$504,$K379,'Comms Calendar'!$B$5:$B$504,$B379,'Comms Calendar'!$O$5:$O$504,$O379,'Comms Calendar'!$AE$5:$AE$504,"&lt;&gt;Cancelled")&gt;1,"Clash",""))</f>
        <v/>
      </c>
      <c r="AN379" s="27" t="str">
        <f aca="false">IF($O379="","",IF(IF($B379="Global",COUNTIF('Rules &amp; Guardrails'!$F$9:$F$60,$O379),COUNTIFS('Rules &amp; Guardrails'!$F$9:$F$60,$O379,'Rules &amp; Guardrails'!$G$9:$G$60,$B379)+COUNTIFS('Rules &amp; Guardrails'!$F$9:$F$60,$O379,'Rules &amp; Guardrails'!$G$9:$G$60,"Global"))&gt;0,"Blackout",""))</f>
        <v/>
      </c>
      <c r="AO379" s="6"/>
      <c r="AP379" s="25"/>
      <c r="AQ379" s="23"/>
      <c r="AR379" s="31" t="str">
        <f aca="false">IF($D379="","",IFERROR(VLOOKUP($D379,'Rules &amp; Guardrails'!$A$9:$D$24,2,0),"Other"))</f>
        <v/>
      </c>
      <c r="AS379" s="31" t="str">
        <f aca="false">IF($O379="","",$O379&amp;"|"&amp;$B379)</f>
        <v/>
      </c>
    </row>
    <row r="380" customFormat="false" ht="15" hidden="false" customHeight="false" outlineLevel="0" collapsed="false">
      <c r="A380" s="23"/>
      <c r="B380" s="23"/>
      <c r="C380" s="23"/>
      <c r="D380" s="23"/>
      <c r="E380" s="23"/>
      <c r="F380" s="23"/>
      <c r="G380" s="6"/>
      <c r="H380" s="6"/>
      <c r="I380" s="23"/>
      <c r="J380" s="23"/>
      <c r="K380" s="23"/>
      <c r="L380" s="6"/>
      <c r="M380" s="6"/>
      <c r="N380" s="24"/>
      <c r="O380" s="25"/>
      <c r="P380" s="23"/>
      <c r="Q380" s="23"/>
      <c r="R380" s="23"/>
      <c r="S380" s="23"/>
      <c r="T380" s="26" t="str">
        <f aca="false">IF(OR($O380="",$D380=""),"",WORKDAY($O380,-IFERROR(VLOOKUP($D380,'Rules &amp; Guardrails'!$A$9:$D$24,3,0),10)))</f>
        <v/>
      </c>
      <c r="U380" s="23"/>
      <c r="V380" s="23"/>
      <c r="W380" s="23"/>
      <c r="X380" s="6"/>
      <c r="Y380" s="23"/>
      <c r="Z380" s="23"/>
      <c r="AA380" s="23"/>
      <c r="AB380" s="23"/>
      <c r="AC380" s="23"/>
      <c r="AD380" s="23"/>
      <c r="AE380" s="23"/>
      <c r="AF380" s="27" t="str">
        <f aca="true">IF($O380="","",IF(OR($AE380="Cancelled",$AE380="On hold",$AE380="Launched"),$AE380,IF(AND($Y380="Approved",OR($Z380="Yes",$Z380="N/A"),OR($AA380="Yes",$AA380="N/A"),OR($AB380="No",$AB380="N/A",AND($AB380="Yes",$AD380="Yes"))),"Ready",IF($O380&lt;TODAY(),"Overdue",IF($O380-TODAY()&lt;='Rules &amp; Guardrails'!$C$5,"At Risk","In Progress")))))</f>
        <v/>
      </c>
      <c r="AG380" s="28" t="str">
        <f aca="false">IF($O380="","",IF(OR($AE380="Launched",$AE380="Cancelled"),"",MID(IF($Y380&lt;&gt;"Approved",", Content approval","")&amp;IF(NOT(OR($Z380="Yes",$Z380="N/A")),", Assets","")&amp;IF(NOT(OR($AA380="Yes",$AA380="N/A")),", List","")&amp;IF($AB380="",", Ops decision",IF(AND($AB380="Yes",$AD380&lt;&gt;"Yes"),", Ops",""))&amp;IF($U380="",", Owner","")&amp;IF($K380="",", Segment",""),3,200)))</f>
        <v/>
      </c>
      <c r="AH380" s="29" t="str">
        <f aca="true">IF($O380="","",$O380-TODAY())</f>
        <v/>
      </c>
      <c r="AI380" s="26" t="str">
        <f aca="false">IF($O380="","",$O380-WEEKDAY($O380,3))</f>
        <v/>
      </c>
      <c r="AJ380" s="30" t="str">
        <f aca="false">IF($O380="","",DATE(YEAR($O380),MONTH($O380),1))</f>
        <v/>
      </c>
      <c r="AK380" s="31" t="str">
        <f aca="false">IF(OR($O380="",$K380=""),"",COUNTIFS('Comms Calendar'!$K$5:$K$504,$K380,'Comms Calendar'!$B$5:$B$504,$B380,'Comms Calendar'!$AI$5:$AI$504,$AI380,'Comms Calendar'!$AE$5:$AE$504,"&lt;&gt;Cancelled"))</f>
        <v/>
      </c>
      <c r="AL380" s="27" t="str">
        <f aca="false">IF($AK380="","",IF($AK380&gt;'Rules &amp; Guardrails'!$C$3,"Over cap","OK"))</f>
        <v/>
      </c>
      <c r="AM380" s="27" t="str">
        <f aca="false">IF(OR($O380="",$K380=""),"",IF(COUNTIFS('Comms Calendar'!$K$5:$K$504,$K380,'Comms Calendar'!$B$5:$B$504,$B380,'Comms Calendar'!$O$5:$O$504,$O380,'Comms Calendar'!$AE$5:$AE$504,"&lt;&gt;Cancelled")&gt;1,"Clash",""))</f>
        <v/>
      </c>
      <c r="AN380" s="27" t="str">
        <f aca="false">IF($O380="","",IF(IF($B380="Global",COUNTIF('Rules &amp; Guardrails'!$F$9:$F$60,$O380),COUNTIFS('Rules &amp; Guardrails'!$F$9:$F$60,$O380,'Rules &amp; Guardrails'!$G$9:$G$60,$B380)+COUNTIFS('Rules &amp; Guardrails'!$F$9:$F$60,$O380,'Rules &amp; Guardrails'!$G$9:$G$60,"Global"))&gt;0,"Blackout",""))</f>
        <v/>
      </c>
      <c r="AO380" s="6"/>
      <c r="AP380" s="25"/>
      <c r="AQ380" s="23"/>
      <c r="AR380" s="31" t="str">
        <f aca="false">IF($D380="","",IFERROR(VLOOKUP($D380,'Rules &amp; Guardrails'!$A$9:$D$24,2,0),"Other"))</f>
        <v/>
      </c>
      <c r="AS380" s="31" t="str">
        <f aca="false">IF($O380="","",$O380&amp;"|"&amp;$B380)</f>
        <v/>
      </c>
    </row>
    <row r="381" customFormat="false" ht="15" hidden="false" customHeight="false" outlineLevel="0" collapsed="false">
      <c r="A381" s="23"/>
      <c r="B381" s="23"/>
      <c r="C381" s="23"/>
      <c r="D381" s="23"/>
      <c r="E381" s="23"/>
      <c r="F381" s="23"/>
      <c r="G381" s="6"/>
      <c r="H381" s="6"/>
      <c r="I381" s="23"/>
      <c r="J381" s="23"/>
      <c r="K381" s="23"/>
      <c r="L381" s="6"/>
      <c r="M381" s="6"/>
      <c r="N381" s="24"/>
      <c r="O381" s="25"/>
      <c r="P381" s="23"/>
      <c r="Q381" s="23"/>
      <c r="R381" s="23"/>
      <c r="S381" s="23"/>
      <c r="T381" s="26" t="str">
        <f aca="false">IF(OR($O381="",$D381=""),"",WORKDAY($O381,-IFERROR(VLOOKUP($D381,'Rules &amp; Guardrails'!$A$9:$D$24,3,0),10)))</f>
        <v/>
      </c>
      <c r="U381" s="23"/>
      <c r="V381" s="23"/>
      <c r="W381" s="23"/>
      <c r="X381" s="6"/>
      <c r="Y381" s="23"/>
      <c r="Z381" s="23"/>
      <c r="AA381" s="23"/>
      <c r="AB381" s="23"/>
      <c r="AC381" s="23"/>
      <c r="AD381" s="23"/>
      <c r="AE381" s="23"/>
      <c r="AF381" s="27" t="str">
        <f aca="true">IF($O381="","",IF(OR($AE381="Cancelled",$AE381="On hold",$AE381="Launched"),$AE381,IF(AND($Y381="Approved",OR($Z381="Yes",$Z381="N/A"),OR($AA381="Yes",$AA381="N/A"),OR($AB381="No",$AB381="N/A",AND($AB381="Yes",$AD381="Yes"))),"Ready",IF($O381&lt;TODAY(),"Overdue",IF($O381-TODAY()&lt;='Rules &amp; Guardrails'!$C$5,"At Risk","In Progress")))))</f>
        <v/>
      </c>
      <c r="AG381" s="28" t="str">
        <f aca="false">IF($O381="","",IF(OR($AE381="Launched",$AE381="Cancelled"),"",MID(IF($Y381&lt;&gt;"Approved",", Content approval","")&amp;IF(NOT(OR($Z381="Yes",$Z381="N/A")),", Assets","")&amp;IF(NOT(OR($AA381="Yes",$AA381="N/A")),", List","")&amp;IF($AB381="",", Ops decision",IF(AND($AB381="Yes",$AD381&lt;&gt;"Yes"),", Ops",""))&amp;IF($U381="",", Owner","")&amp;IF($K381="",", Segment",""),3,200)))</f>
        <v/>
      </c>
      <c r="AH381" s="29" t="str">
        <f aca="true">IF($O381="","",$O381-TODAY())</f>
        <v/>
      </c>
      <c r="AI381" s="26" t="str">
        <f aca="false">IF($O381="","",$O381-WEEKDAY($O381,3))</f>
        <v/>
      </c>
      <c r="AJ381" s="30" t="str">
        <f aca="false">IF($O381="","",DATE(YEAR($O381),MONTH($O381),1))</f>
        <v/>
      </c>
      <c r="AK381" s="31" t="str">
        <f aca="false">IF(OR($O381="",$K381=""),"",COUNTIFS('Comms Calendar'!$K$5:$K$504,$K381,'Comms Calendar'!$B$5:$B$504,$B381,'Comms Calendar'!$AI$5:$AI$504,$AI381,'Comms Calendar'!$AE$5:$AE$504,"&lt;&gt;Cancelled"))</f>
        <v/>
      </c>
      <c r="AL381" s="27" t="str">
        <f aca="false">IF($AK381="","",IF($AK381&gt;'Rules &amp; Guardrails'!$C$3,"Over cap","OK"))</f>
        <v/>
      </c>
      <c r="AM381" s="27" t="str">
        <f aca="false">IF(OR($O381="",$K381=""),"",IF(COUNTIFS('Comms Calendar'!$K$5:$K$504,$K381,'Comms Calendar'!$B$5:$B$504,$B381,'Comms Calendar'!$O$5:$O$504,$O381,'Comms Calendar'!$AE$5:$AE$504,"&lt;&gt;Cancelled")&gt;1,"Clash",""))</f>
        <v/>
      </c>
      <c r="AN381" s="27" t="str">
        <f aca="false">IF($O381="","",IF(IF($B381="Global",COUNTIF('Rules &amp; Guardrails'!$F$9:$F$60,$O381),COUNTIFS('Rules &amp; Guardrails'!$F$9:$F$60,$O381,'Rules &amp; Guardrails'!$G$9:$G$60,$B381)+COUNTIFS('Rules &amp; Guardrails'!$F$9:$F$60,$O381,'Rules &amp; Guardrails'!$G$9:$G$60,"Global"))&gt;0,"Blackout",""))</f>
        <v/>
      </c>
      <c r="AO381" s="6"/>
      <c r="AP381" s="25"/>
      <c r="AQ381" s="23"/>
      <c r="AR381" s="31" t="str">
        <f aca="false">IF($D381="","",IFERROR(VLOOKUP($D381,'Rules &amp; Guardrails'!$A$9:$D$24,2,0),"Other"))</f>
        <v/>
      </c>
      <c r="AS381" s="31" t="str">
        <f aca="false">IF($O381="","",$O381&amp;"|"&amp;$B381)</f>
        <v/>
      </c>
    </row>
    <row r="382" customFormat="false" ht="15" hidden="false" customHeight="false" outlineLevel="0" collapsed="false">
      <c r="A382" s="23"/>
      <c r="B382" s="23"/>
      <c r="C382" s="23"/>
      <c r="D382" s="23"/>
      <c r="E382" s="23"/>
      <c r="F382" s="23"/>
      <c r="G382" s="6"/>
      <c r="H382" s="6"/>
      <c r="I382" s="23"/>
      <c r="J382" s="23"/>
      <c r="K382" s="23"/>
      <c r="L382" s="6"/>
      <c r="M382" s="6"/>
      <c r="N382" s="24"/>
      <c r="O382" s="25"/>
      <c r="P382" s="23"/>
      <c r="Q382" s="23"/>
      <c r="R382" s="23"/>
      <c r="S382" s="23"/>
      <c r="T382" s="26" t="str">
        <f aca="false">IF(OR($O382="",$D382=""),"",WORKDAY($O382,-IFERROR(VLOOKUP($D382,'Rules &amp; Guardrails'!$A$9:$D$24,3,0),10)))</f>
        <v/>
      </c>
      <c r="U382" s="23"/>
      <c r="V382" s="23"/>
      <c r="W382" s="23"/>
      <c r="X382" s="6"/>
      <c r="Y382" s="23"/>
      <c r="Z382" s="23"/>
      <c r="AA382" s="23"/>
      <c r="AB382" s="23"/>
      <c r="AC382" s="23"/>
      <c r="AD382" s="23"/>
      <c r="AE382" s="23"/>
      <c r="AF382" s="27" t="str">
        <f aca="true">IF($O382="","",IF(OR($AE382="Cancelled",$AE382="On hold",$AE382="Launched"),$AE382,IF(AND($Y382="Approved",OR($Z382="Yes",$Z382="N/A"),OR($AA382="Yes",$AA382="N/A"),OR($AB382="No",$AB382="N/A",AND($AB382="Yes",$AD382="Yes"))),"Ready",IF($O382&lt;TODAY(),"Overdue",IF($O382-TODAY()&lt;='Rules &amp; Guardrails'!$C$5,"At Risk","In Progress")))))</f>
        <v/>
      </c>
      <c r="AG382" s="28" t="str">
        <f aca="false">IF($O382="","",IF(OR($AE382="Launched",$AE382="Cancelled"),"",MID(IF($Y382&lt;&gt;"Approved",", Content approval","")&amp;IF(NOT(OR($Z382="Yes",$Z382="N/A")),", Assets","")&amp;IF(NOT(OR($AA382="Yes",$AA382="N/A")),", List","")&amp;IF($AB382="",", Ops decision",IF(AND($AB382="Yes",$AD382&lt;&gt;"Yes"),", Ops",""))&amp;IF($U382="",", Owner","")&amp;IF($K382="",", Segment",""),3,200)))</f>
        <v/>
      </c>
      <c r="AH382" s="29" t="str">
        <f aca="true">IF($O382="","",$O382-TODAY())</f>
        <v/>
      </c>
      <c r="AI382" s="26" t="str">
        <f aca="false">IF($O382="","",$O382-WEEKDAY($O382,3))</f>
        <v/>
      </c>
      <c r="AJ382" s="30" t="str">
        <f aca="false">IF($O382="","",DATE(YEAR($O382),MONTH($O382),1))</f>
        <v/>
      </c>
      <c r="AK382" s="31" t="str">
        <f aca="false">IF(OR($O382="",$K382=""),"",COUNTIFS('Comms Calendar'!$K$5:$K$504,$K382,'Comms Calendar'!$B$5:$B$504,$B382,'Comms Calendar'!$AI$5:$AI$504,$AI382,'Comms Calendar'!$AE$5:$AE$504,"&lt;&gt;Cancelled"))</f>
        <v/>
      </c>
      <c r="AL382" s="27" t="str">
        <f aca="false">IF($AK382="","",IF($AK382&gt;'Rules &amp; Guardrails'!$C$3,"Over cap","OK"))</f>
        <v/>
      </c>
      <c r="AM382" s="27" t="str">
        <f aca="false">IF(OR($O382="",$K382=""),"",IF(COUNTIFS('Comms Calendar'!$K$5:$K$504,$K382,'Comms Calendar'!$B$5:$B$504,$B382,'Comms Calendar'!$O$5:$O$504,$O382,'Comms Calendar'!$AE$5:$AE$504,"&lt;&gt;Cancelled")&gt;1,"Clash",""))</f>
        <v/>
      </c>
      <c r="AN382" s="27" t="str">
        <f aca="false">IF($O382="","",IF(IF($B382="Global",COUNTIF('Rules &amp; Guardrails'!$F$9:$F$60,$O382),COUNTIFS('Rules &amp; Guardrails'!$F$9:$F$60,$O382,'Rules &amp; Guardrails'!$G$9:$G$60,$B382)+COUNTIFS('Rules &amp; Guardrails'!$F$9:$F$60,$O382,'Rules &amp; Guardrails'!$G$9:$G$60,"Global"))&gt;0,"Blackout",""))</f>
        <v/>
      </c>
      <c r="AO382" s="6"/>
      <c r="AP382" s="25"/>
      <c r="AQ382" s="23"/>
      <c r="AR382" s="31" t="str">
        <f aca="false">IF($D382="","",IFERROR(VLOOKUP($D382,'Rules &amp; Guardrails'!$A$9:$D$24,2,0),"Other"))</f>
        <v/>
      </c>
      <c r="AS382" s="31" t="str">
        <f aca="false">IF($O382="","",$O382&amp;"|"&amp;$B382)</f>
        <v/>
      </c>
    </row>
    <row r="383" customFormat="false" ht="15" hidden="false" customHeight="false" outlineLevel="0" collapsed="false">
      <c r="A383" s="23"/>
      <c r="B383" s="23"/>
      <c r="C383" s="23"/>
      <c r="D383" s="23"/>
      <c r="E383" s="23"/>
      <c r="F383" s="23"/>
      <c r="G383" s="6"/>
      <c r="H383" s="6"/>
      <c r="I383" s="23"/>
      <c r="J383" s="23"/>
      <c r="K383" s="23"/>
      <c r="L383" s="6"/>
      <c r="M383" s="6"/>
      <c r="N383" s="24"/>
      <c r="O383" s="25"/>
      <c r="P383" s="23"/>
      <c r="Q383" s="23"/>
      <c r="R383" s="23"/>
      <c r="S383" s="23"/>
      <c r="T383" s="26" t="str">
        <f aca="false">IF(OR($O383="",$D383=""),"",WORKDAY($O383,-IFERROR(VLOOKUP($D383,'Rules &amp; Guardrails'!$A$9:$D$24,3,0),10)))</f>
        <v/>
      </c>
      <c r="U383" s="23"/>
      <c r="V383" s="23"/>
      <c r="W383" s="23"/>
      <c r="X383" s="6"/>
      <c r="Y383" s="23"/>
      <c r="Z383" s="23"/>
      <c r="AA383" s="23"/>
      <c r="AB383" s="23"/>
      <c r="AC383" s="23"/>
      <c r="AD383" s="23"/>
      <c r="AE383" s="23"/>
      <c r="AF383" s="27" t="str">
        <f aca="true">IF($O383="","",IF(OR($AE383="Cancelled",$AE383="On hold",$AE383="Launched"),$AE383,IF(AND($Y383="Approved",OR($Z383="Yes",$Z383="N/A"),OR($AA383="Yes",$AA383="N/A"),OR($AB383="No",$AB383="N/A",AND($AB383="Yes",$AD383="Yes"))),"Ready",IF($O383&lt;TODAY(),"Overdue",IF($O383-TODAY()&lt;='Rules &amp; Guardrails'!$C$5,"At Risk","In Progress")))))</f>
        <v/>
      </c>
      <c r="AG383" s="28" t="str">
        <f aca="false">IF($O383="","",IF(OR($AE383="Launched",$AE383="Cancelled"),"",MID(IF($Y383&lt;&gt;"Approved",", Content approval","")&amp;IF(NOT(OR($Z383="Yes",$Z383="N/A")),", Assets","")&amp;IF(NOT(OR($AA383="Yes",$AA383="N/A")),", List","")&amp;IF($AB383="",", Ops decision",IF(AND($AB383="Yes",$AD383&lt;&gt;"Yes"),", Ops",""))&amp;IF($U383="",", Owner","")&amp;IF($K383="",", Segment",""),3,200)))</f>
        <v/>
      </c>
      <c r="AH383" s="29" t="str">
        <f aca="true">IF($O383="","",$O383-TODAY())</f>
        <v/>
      </c>
      <c r="AI383" s="26" t="str">
        <f aca="false">IF($O383="","",$O383-WEEKDAY($O383,3))</f>
        <v/>
      </c>
      <c r="AJ383" s="30" t="str">
        <f aca="false">IF($O383="","",DATE(YEAR($O383),MONTH($O383),1))</f>
        <v/>
      </c>
      <c r="AK383" s="31" t="str">
        <f aca="false">IF(OR($O383="",$K383=""),"",COUNTIFS('Comms Calendar'!$K$5:$K$504,$K383,'Comms Calendar'!$B$5:$B$504,$B383,'Comms Calendar'!$AI$5:$AI$504,$AI383,'Comms Calendar'!$AE$5:$AE$504,"&lt;&gt;Cancelled"))</f>
        <v/>
      </c>
      <c r="AL383" s="27" t="str">
        <f aca="false">IF($AK383="","",IF($AK383&gt;'Rules &amp; Guardrails'!$C$3,"Over cap","OK"))</f>
        <v/>
      </c>
      <c r="AM383" s="27" t="str">
        <f aca="false">IF(OR($O383="",$K383=""),"",IF(COUNTIFS('Comms Calendar'!$K$5:$K$504,$K383,'Comms Calendar'!$B$5:$B$504,$B383,'Comms Calendar'!$O$5:$O$504,$O383,'Comms Calendar'!$AE$5:$AE$504,"&lt;&gt;Cancelled")&gt;1,"Clash",""))</f>
        <v/>
      </c>
      <c r="AN383" s="27" t="str">
        <f aca="false">IF($O383="","",IF(IF($B383="Global",COUNTIF('Rules &amp; Guardrails'!$F$9:$F$60,$O383),COUNTIFS('Rules &amp; Guardrails'!$F$9:$F$60,$O383,'Rules &amp; Guardrails'!$G$9:$G$60,$B383)+COUNTIFS('Rules &amp; Guardrails'!$F$9:$F$60,$O383,'Rules &amp; Guardrails'!$G$9:$G$60,"Global"))&gt;0,"Blackout",""))</f>
        <v/>
      </c>
      <c r="AO383" s="6"/>
      <c r="AP383" s="25"/>
      <c r="AQ383" s="23"/>
      <c r="AR383" s="31" t="str">
        <f aca="false">IF($D383="","",IFERROR(VLOOKUP($D383,'Rules &amp; Guardrails'!$A$9:$D$24,2,0),"Other"))</f>
        <v/>
      </c>
      <c r="AS383" s="31" t="str">
        <f aca="false">IF($O383="","",$O383&amp;"|"&amp;$B383)</f>
        <v/>
      </c>
    </row>
    <row r="384" customFormat="false" ht="15" hidden="false" customHeight="false" outlineLevel="0" collapsed="false">
      <c r="A384" s="23"/>
      <c r="B384" s="23"/>
      <c r="C384" s="23"/>
      <c r="D384" s="23"/>
      <c r="E384" s="23"/>
      <c r="F384" s="23"/>
      <c r="G384" s="6"/>
      <c r="H384" s="6"/>
      <c r="I384" s="23"/>
      <c r="J384" s="23"/>
      <c r="K384" s="23"/>
      <c r="L384" s="6"/>
      <c r="M384" s="6"/>
      <c r="N384" s="24"/>
      <c r="O384" s="25"/>
      <c r="P384" s="23"/>
      <c r="Q384" s="23"/>
      <c r="R384" s="23"/>
      <c r="S384" s="23"/>
      <c r="T384" s="26" t="str">
        <f aca="false">IF(OR($O384="",$D384=""),"",WORKDAY($O384,-IFERROR(VLOOKUP($D384,'Rules &amp; Guardrails'!$A$9:$D$24,3,0),10)))</f>
        <v/>
      </c>
      <c r="U384" s="23"/>
      <c r="V384" s="23"/>
      <c r="W384" s="23"/>
      <c r="X384" s="6"/>
      <c r="Y384" s="23"/>
      <c r="Z384" s="23"/>
      <c r="AA384" s="23"/>
      <c r="AB384" s="23"/>
      <c r="AC384" s="23"/>
      <c r="AD384" s="23"/>
      <c r="AE384" s="23"/>
      <c r="AF384" s="27" t="str">
        <f aca="true">IF($O384="","",IF(OR($AE384="Cancelled",$AE384="On hold",$AE384="Launched"),$AE384,IF(AND($Y384="Approved",OR($Z384="Yes",$Z384="N/A"),OR($AA384="Yes",$AA384="N/A"),OR($AB384="No",$AB384="N/A",AND($AB384="Yes",$AD384="Yes"))),"Ready",IF($O384&lt;TODAY(),"Overdue",IF($O384-TODAY()&lt;='Rules &amp; Guardrails'!$C$5,"At Risk","In Progress")))))</f>
        <v/>
      </c>
      <c r="AG384" s="28" t="str">
        <f aca="false">IF($O384="","",IF(OR($AE384="Launched",$AE384="Cancelled"),"",MID(IF($Y384&lt;&gt;"Approved",", Content approval","")&amp;IF(NOT(OR($Z384="Yes",$Z384="N/A")),", Assets","")&amp;IF(NOT(OR($AA384="Yes",$AA384="N/A")),", List","")&amp;IF($AB384="",", Ops decision",IF(AND($AB384="Yes",$AD384&lt;&gt;"Yes"),", Ops",""))&amp;IF($U384="",", Owner","")&amp;IF($K384="",", Segment",""),3,200)))</f>
        <v/>
      </c>
      <c r="AH384" s="29" t="str">
        <f aca="true">IF($O384="","",$O384-TODAY())</f>
        <v/>
      </c>
      <c r="AI384" s="26" t="str">
        <f aca="false">IF($O384="","",$O384-WEEKDAY($O384,3))</f>
        <v/>
      </c>
      <c r="AJ384" s="30" t="str">
        <f aca="false">IF($O384="","",DATE(YEAR($O384),MONTH($O384),1))</f>
        <v/>
      </c>
      <c r="AK384" s="31" t="str">
        <f aca="false">IF(OR($O384="",$K384=""),"",COUNTIFS('Comms Calendar'!$K$5:$K$504,$K384,'Comms Calendar'!$B$5:$B$504,$B384,'Comms Calendar'!$AI$5:$AI$504,$AI384,'Comms Calendar'!$AE$5:$AE$504,"&lt;&gt;Cancelled"))</f>
        <v/>
      </c>
      <c r="AL384" s="27" t="str">
        <f aca="false">IF($AK384="","",IF($AK384&gt;'Rules &amp; Guardrails'!$C$3,"Over cap","OK"))</f>
        <v/>
      </c>
      <c r="AM384" s="27" t="str">
        <f aca="false">IF(OR($O384="",$K384=""),"",IF(COUNTIFS('Comms Calendar'!$K$5:$K$504,$K384,'Comms Calendar'!$B$5:$B$504,$B384,'Comms Calendar'!$O$5:$O$504,$O384,'Comms Calendar'!$AE$5:$AE$504,"&lt;&gt;Cancelled")&gt;1,"Clash",""))</f>
        <v/>
      </c>
      <c r="AN384" s="27" t="str">
        <f aca="false">IF($O384="","",IF(IF($B384="Global",COUNTIF('Rules &amp; Guardrails'!$F$9:$F$60,$O384),COUNTIFS('Rules &amp; Guardrails'!$F$9:$F$60,$O384,'Rules &amp; Guardrails'!$G$9:$G$60,$B384)+COUNTIFS('Rules &amp; Guardrails'!$F$9:$F$60,$O384,'Rules &amp; Guardrails'!$G$9:$G$60,"Global"))&gt;0,"Blackout",""))</f>
        <v/>
      </c>
      <c r="AO384" s="6"/>
      <c r="AP384" s="25"/>
      <c r="AQ384" s="23"/>
      <c r="AR384" s="31" t="str">
        <f aca="false">IF($D384="","",IFERROR(VLOOKUP($D384,'Rules &amp; Guardrails'!$A$9:$D$24,2,0),"Other"))</f>
        <v/>
      </c>
      <c r="AS384" s="31" t="str">
        <f aca="false">IF($O384="","",$O384&amp;"|"&amp;$B384)</f>
        <v/>
      </c>
    </row>
    <row r="385" customFormat="false" ht="15" hidden="false" customHeight="false" outlineLevel="0" collapsed="false">
      <c r="A385" s="23"/>
      <c r="B385" s="23"/>
      <c r="C385" s="23"/>
      <c r="D385" s="23"/>
      <c r="E385" s="23"/>
      <c r="F385" s="23"/>
      <c r="G385" s="6"/>
      <c r="H385" s="6"/>
      <c r="I385" s="23"/>
      <c r="J385" s="23"/>
      <c r="K385" s="23"/>
      <c r="L385" s="6"/>
      <c r="M385" s="6"/>
      <c r="N385" s="24"/>
      <c r="O385" s="25"/>
      <c r="P385" s="23"/>
      <c r="Q385" s="23"/>
      <c r="R385" s="23"/>
      <c r="S385" s="23"/>
      <c r="T385" s="26" t="str">
        <f aca="false">IF(OR($O385="",$D385=""),"",WORKDAY($O385,-IFERROR(VLOOKUP($D385,'Rules &amp; Guardrails'!$A$9:$D$24,3,0),10)))</f>
        <v/>
      </c>
      <c r="U385" s="23"/>
      <c r="V385" s="23"/>
      <c r="W385" s="23"/>
      <c r="X385" s="6"/>
      <c r="Y385" s="23"/>
      <c r="Z385" s="23"/>
      <c r="AA385" s="23"/>
      <c r="AB385" s="23"/>
      <c r="AC385" s="23"/>
      <c r="AD385" s="23"/>
      <c r="AE385" s="23"/>
      <c r="AF385" s="27" t="str">
        <f aca="true">IF($O385="","",IF(OR($AE385="Cancelled",$AE385="On hold",$AE385="Launched"),$AE385,IF(AND($Y385="Approved",OR($Z385="Yes",$Z385="N/A"),OR($AA385="Yes",$AA385="N/A"),OR($AB385="No",$AB385="N/A",AND($AB385="Yes",$AD385="Yes"))),"Ready",IF($O385&lt;TODAY(),"Overdue",IF($O385-TODAY()&lt;='Rules &amp; Guardrails'!$C$5,"At Risk","In Progress")))))</f>
        <v/>
      </c>
      <c r="AG385" s="28" t="str">
        <f aca="false">IF($O385="","",IF(OR($AE385="Launched",$AE385="Cancelled"),"",MID(IF($Y385&lt;&gt;"Approved",", Content approval","")&amp;IF(NOT(OR($Z385="Yes",$Z385="N/A")),", Assets","")&amp;IF(NOT(OR($AA385="Yes",$AA385="N/A")),", List","")&amp;IF($AB385="",", Ops decision",IF(AND($AB385="Yes",$AD385&lt;&gt;"Yes"),", Ops",""))&amp;IF($U385="",", Owner","")&amp;IF($K385="",", Segment",""),3,200)))</f>
        <v/>
      </c>
      <c r="AH385" s="29" t="str">
        <f aca="true">IF($O385="","",$O385-TODAY())</f>
        <v/>
      </c>
      <c r="AI385" s="26" t="str">
        <f aca="false">IF($O385="","",$O385-WEEKDAY($O385,3))</f>
        <v/>
      </c>
      <c r="AJ385" s="30" t="str">
        <f aca="false">IF($O385="","",DATE(YEAR($O385),MONTH($O385),1))</f>
        <v/>
      </c>
      <c r="AK385" s="31" t="str">
        <f aca="false">IF(OR($O385="",$K385=""),"",COUNTIFS('Comms Calendar'!$K$5:$K$504,$K385,'Comms Calendar'!$B$5:$B$504,$B385,'Comms Calendar'!$AI$5:$AI$504,$AI385,'Comms Calendar'!$AE$5:$AE$504,"&lt;&gt;Cancelled"))</f>
        <v/>
      </c>
      <c r="AL385" s="27" t="str">
        <f aca="false">IF($AK385="","",IF($AK385&gt;'Rules &amp; Guardrails'!$C$3,"Over cap","OK"))</f>
        <v/>
      </c>
      <c r="AM385" s="27" t="str">
        <f aca="false">IF(OR($O385="",$K385=""),"",IF(COUNTIFS('Comms Calendar'!$K$5:$K$504,$K385,'Comms Calendar'!$B$5:$B$504,$B385,'Comms Calendar'!$O$5:$O$504,$O385,'Comms Calendar'!$AE$5:$AE$504,"&lt;&gt;Cancelled")&gt;1,"Clash",""))</f>
        <v/>
      </c>
      <c r="AN385" s="27" t="str">
        <f aca="false">IF($O385="","",IF(IF($B385="Global",COUNTIF('Rules &amp; Guardrails'!$F$9:$F$60,$O385),COUNTIFS('Rules &amp; Guardrails'!$F$9:$F$60,$O385,'Rules &amp; Guardrails'!$G$9:$G$60,$B385)+COUNTIFS('Rules &amp; Guardrails'!$F$9:$F$60,$O385,'Rules &amp; Guardrails'!$G$9:$G$60,"Global"))&gt;0,"Blackout",""))</f>
        <v/>
      </c>
      <c r="AO385" s="6"/>
      <c r="AP385" s="25"/>
      <c r="AQ385" s="23"/>
      <c r="AR385" s="31" t="str">
        <f aca="false">IF($D385="","",IFERROR(VLOOKUP($D385,'Rules &amp; Guardrails'!$A$9:$D$24,2,0),"Other"))</f>
        <v/>
      </c>
      <c r="AS385" s="31" t="str">
        <f aca="false">IF($O385="","",$O385&amp;"|"&amp;$B385)</f>
        <v/>
      </c>
    </row>
    <row r="386" customFormat="false" ht="15" hidden="false" customHeight="false" outlineLevel="0" collapsed="false">
      <c r="A386" s="23"/>
      <c r="B386" s="23"/>
      <c r="C386" s="23"/>
      <c r="D386" s="23"/>
      <c r="E386" s="23"/>
      <c r="F386" s="23"/>
      <c r="G386" s="6"/>
      <c r="H386" s="6"/>
      <c r="I386" s="23"/>
      <c r="J386" s="23"/>
      <c r="K386" s="23"/>
      <c r="L386" s="6"/>
      <c r="M386" s="6"/>
      <c r="N386" s="24"/>
      <c r="O386" s="25"/>
      <c r="P386" s="23"/>
      <c r="Q386" s="23"/>
      <c r="R386" s="23"/>
      <c r="S386" s="23"/>
      <c r="T386" s="26" t="str">
        <f aca="false">IF(OR($O386="",$D386=""),"",WORKDAY($O386,-IFERROR(VLOOKUP($D386,'Rules &amp; Guardrails'!$A$9:$D$24,3,0),10)))</f>
        <v/>
      </c>
      <c r="U386" s="23"/>
      <c r="V386" s="23"/>
      <c r="W386" s="23"/>
      <c r="X386" s="6"/>
      <c r="Y386" s="23"/>
      <c r="Z386" s="23"/>
      <c r="AA386" s="23"/>
      <c r="AB386" s="23"/>
      <c r="AC386" s="23"/>
      <c r="AD386" s="23"/>
      <c r="AE386" s="23"/>
      <c r="AF386" s="27" t="str">
        <f aca="true">IF($O386="","",IF(OR($AE386="Cancelled",$AE386="On hold",$AE386="Launched"),$AE386,IF(AND($Y386="Approved",OR($Z386="Yes",$Z386="N/A"),OR($AA386="Yes",$AA386="N/A"),OR($AB386="No",$AB386="N/A",AND($AB386="Yes",$AD386="Yes"))),"Ready",IF($O386&lt;TODAY(),"Overdue",IF($O386-TODAY()&lt;='Rules &amp; Guardrails'!$C$5,"At Risk","In Progress")))))</f>
        <v/>
      </c>
      <c r="AG386" s="28" t="str">
        <f aca="false">IF($O386="","",IF(OR($AE386="Launched",$AE386="Cancelled"),"",MID(IF($Y386&lt;&gt;"Approved",", Content approval","")&amp;IF(NOT(OR($Z386="Yes",$Z386="N/A")),", Assets","")&amp;IF(NOT(OR($AA386="Yes",$AA386="N/A")),", List","")&amp;IF($AB386="",", Ops decision",IF(AND($AB386="Yes",$AD386&lt;&gt;"Yes"),", Ops",""))&amp;IF($U386="",", Owner","")&amp;IF($K386="",", Segment",""),3,200)))</f>
        <v/>
      </c>
      <c r="AH386" s="29" t="str">
        <f aca="true">IF($O386="","",$O386-TODAY())</f>
        <v/>
      </c>
      <c r="AI386" s="26" t="str">
        <f aca="false">IF($O386="","",$O386-WEEKDAY($O386,3))</f>
        <v/>
      </c>
      <c r="AJ386" s="30" t="str">
        <f aca="false">IF($O386="","",DATE(YEAR($O386),MONTH($O386),1))</f>
        <v/>
      </c>
      <c r="AK386" s="31" t="str">
        <f aca="false">IF(OR($O386="",$K386=""),"",COUNTIFS('Comms Calendar'!$K$5:$K$504,$K386,'Comms Calendar'!$B$5:$B$504,$B386,'Comms Calendar'!$AI$5:$AI$504,$AI386,'Comms Calendar'!$AE$5:$AE$504,"&lt;&gt;Cancelled"))</f>
        <v/>
      </c>
      <c r="AL386" s="27" t="str">
        <f aca="false">IF($AK386="","",IF($AK386&gt;'Rules &amp; Guardrails'!$C$3,"Over cap","OK"))</f>
        <v/>
      </c>
      <c r="AM386" s="27" t="str">
        <f aca="false">IF(OR($O386="",$K386=""),"",IF(COUNTIFS('Comms Calendar'!$K$5:$K$504,$K386,'Comms Calendar'!$B$5:$B$504,$B386,'Comms Calendar'!$O$5:$O$504,$O386,'Comms Calendar'!$AE$5:$AE$504,"&lt;&gt;Cancelled")&gt;1,"Clash",""))</f>
        <v/>
      </c>
      <c r="AN386" s="27" t="str">
        <f aca="false">IF($O386="","",IF(IF($B386="Global",COUNTIF('Rules &amp; Guardrails'!$F$9:$F$60,$O386),COUNTIFS('Rules &amp; Guardrails'!$F$9:$F$60,$O386,'Rules &amp; Guardrails'!$G$9:$G$60,$B386)+COUNTIFS('Rules &amp; Guardrails'!$F$9:$F$60,$O386,'Rules &amp; Guardrails'!$G$9:$G$60,"Global"))&gt;0,"Blackout",""))</f>
        <v/>
      </c>
      <c r="AO386" s="6"/>
      <c r="AP386" s="25"/>
      <c r="AQ386" s="23"/>
      <c r="AR386" s="31" t="str">
        <f aca="false">IF($D386="","",IFERROR(VLOOKUP($D386,'Rules &amp; Guardrails'!$A$9:$D$24,2,0),"Other"))</f>
        <v/>
      </c>
      <c r="AS386" s="31" t="str">
        <f aca="false">IF($O386="","",$O386&amp;"|"&amp;$B386)</f>
        <v/>
      </c>
    </row>
    <row r="387" customFormat="false" ht="15" hidden="false" customHeight="false" outlineLevel="0" collapsed="false">
      <c r="A387" s="23"/>
      <c r="B387" s="23"/>
      <c r="C387" s="23"/>
      <c r="D387" s="23"/>
      <c r="E387" s="23"/>
      <c r="F387" s="23"/>
      <c r="G387" s="6"/>
      <c r="H387" s="6"/>
      <c r="I387" s="23"/>
      <c r="J387" s="23"/>
      <c r="K387" s="23"/>
      <c r="L387" s="6"/>
      <c r="M387" s="6"/>
      <c r="N387" s="24"/>
      <c r="O387" s="25"/>
      <c r="P387" s="23"/>
      <c r="Q387" s="23"/>
      <c r="R387" s="23"/>
      <c r="S387" s="23"/>
      <c r="T387" s="26" t="str">
        <f aca="false">IF(OR($O387="",$D387=""),"",WORKDAY($O387,-IFERROR(VLOOKUP($D387,'Rules &amp; Guardrails'!$A$9:$D$24,3,0),10)))</f>
        <v/>
      </c>
      <c r="U387" s="23"/>
      <c r="V387" s="23"/>
      <c r="W387" s="23"/>
      <c r="X387" s="6"/>
      <c r="Y387" s="23"/>
      <c r="Z387" s="23"/>
      <c r="AA387" s="23"/>
      <c r="AB387" s="23"/>
      <c r="AC387" s="23"/>
      <c r="AD387" s="23"/>
      <c r="AE387" s="23"/>
      <c r="AF387" s="27" t="str">
        <f aca="true">IF($O387="","",IF(OR($AE387="Cancelled",$AE387="On hold",$AE387="Launched"),$AE387,IF(AND($Y387="Approved",OR($Z387="Yes",$Z387="N/A"),OR($AA387="Yes",$AA387="N/A"),OR($AB387="No",$AB387="N/A",AND($AB387="Yes",$AD387="Yes"))),"Ready",IF($O387&lt;TODAY(),"Overdue",IF($O387-TODAY()&lt;='Rules &amp; Guardrails'!$C$5,"At Risk","In Progress")))))</f>
        <v/>
      </c>
      <c r="AG387" s="28" t="str">
        <f aca="false">IF($O387="","",IF(OR($AE387="Launched",$AE387="Cancelled"),"",MID(IF($Y387&lt;&gt;"Approved",", Content approval","")&amp;IF(NOT(OR($Z387="Yes",$Z387="N/A")),", Assets","")&amp;IF(NOT(OR($AA387="Yes",$AA387="N/A")),", List","")&amp;IF($AB387="",", Ops decision",IF(AND($AB387="Yes",$AD387&lt;&gt;"Yes"),", Ops",""))&amp;IF($U387="",", Owner","")&amp;IF($K387="",", Segment",""),3,200)))</f>
        <v/>
      </c>
      <c r="AH387" s="29" t="str">
        <f aca="true">IF($O387="","",$O387-TODAY())</f>
        <v/>
      </c>
      <c r="AI387" s="26" t="str">
        <f aca="false">IF($O387="","",$O387-WEEKDAY($O387,3))</f>
        <v/>
      </c>
      <c r="AJ387" s="30" t="str">
        <f aca="false">IF($O387="","",DATE(YEAR($O387),MONTH($O387),1))</f>
        <v/>
      </c>
      <c r="AK387" s="31" t="str">
        <f aca="false">IF(OR($O387="",$K387=""),"",COUNTIFS('Comms Calendar'!$K$5:$K$504,$K387,'Comms Calendar'!$B$5:$B$504,$B387,'Comms Calendar'!$AI$5:$AI$504,$AI387,'Comms Calendar'!$AE$5:$AE$504,"&lt;&gt;Cancelled"))</f>
        <v/>
      </c>
      <c r="AL387" s="27" t="str">
        <f aca="false">IF($AK387="","",IF($AK387&gt;'Rules &amp; Guardrails'!$C$3,"Over cap","OK"))</f>
        <v/>
      </c>
      <c r="AM387" s="27" t="str">
        <f aca="false">IF(OR($O387="",$K387=""),"",IF(COUNTIFS('Comms Calendar'!$K$5:$K$504,$K387,'Comms Calendar'!$B$5:$B$504,$B387,'Comms Calendar'!$O$5:$O$504,$O387,'Comms Calendar'!$AE$5:$AE$504,"&lt;&gt;Cancelled")&gt;1,"Clash",""))</f>
        <v/>
      </c>
      <c r="AN387" s="27" t="str">
        <f aca="false">IF($O387="","",IF(IF($B387="Global",COUNTIF('Rules &amp; Guardrails'!$F$9:$F$60,$O387),COUNTIFS('Rules &amp; Guardrails'!$F$9:$F$60,$O387,'Rules &amp; Guardrails'!$G$9:$G$60,$B387)+COUNTIFS('Rules &amp; Guardrails'!$F$9:$F$60,$O387,'Rules &amp; Guardrails'!$G$9:$G$60,"Global"))&gt;0,"Blackout",""))</f>
        <v/>
      </c>
      <c r="AO387" s="6"/>
      <c r="AP387" s="25"/>
      <c r="AQ387" s="23"/>
      <c r="AR387" s="31" t="str">
        <f aca="false">IF($D387="","",IFERROR(VLOOKUP($D387,'Rules &amp; Guardrails'!$A$9:$D$24,2,0),"Other"))</f>
        <v/>
      </c>
      <c r="AS387" s="31" t="str">
        <f aca="false">IF($O387="","",$O387&amp;"|"&amp;$B387)</f>
        <v/>
      </c>
    </row>
    <row r="388" customFormat="false" ht="15" hidden="false" customHeight="false" outlineLevel="0" collapsed="false">
      <c r="A388" s="23"/>
      <c r="B388" s="23"/>
      <c r="C388" s="23"/>
      <c r="D388" s="23"/>
      <c r="E388" s="23"/>
      <c r="F388" s="23"/>
      <c r="G388" s="6"/>
      <c r="H388" s="6"/>
      <c r="I388" s="23"/>
      <c r="J388" s="23"/>
      <c r="K388" s="23"/>
      <c r="L388" s="6"/>
      <c r="M388" s="6"/>
      <c r="N388" s="24"/>
      <c r="O388" s="25"/>
      <c r="P388" s="23"/>
      <c r="Q388" s="23"/>
      <c r="R388" s="23"/>
      <c r="S388" s="23"/>
      <c r="T388" s="26" t="str">
        <f aca="false">IF(OR($O388="",$D388=""),"",WORKDAY($O388,-IFERROR(VLOOKUP($D388,'Rules &amp; Guardrails'!$A$9:$D$24,3,0),10)))</f>
        <v/>
      </c>
      <c r="U388" s="23"/>
      <c r="V388" s="23"/>
      <c r="W388" s="23"/>
      <c r="X388" s="6"/>
      <c r="Y388" s="23"/>
      <c r="Z388" s="23"/>
      <c r="AA388" s="23"/>
      <c r="AB388" s="23"/>
      <c r="AC388" s="23"/>
      <c r="AD388" s="23"/>
      <c r="AE388" s="23"/>
      <c r="AF388" s="27" t="str">
        <f aca="true">IF($O388="","",IF(OR($AE388="Cancelled",$AE388="On hold",$AE388="Launched"),$AE388,IF(AND($Y388="Approved",OR($Z388="Yes",$Z388="N/A"),OR($AA388="Yes",$AA388="N/A"),OR($AB388="No",$AB388="N/A",AND($AB388="Yes",$AD388="Yes"))),"Ready",IF($O388&lt;TODAY(),"Overdue",IF($O388-TODAY()&lt;='Rules &amp; Guardrails'!$C$5,"At Risk","In Progress")))))</f>
        <v/>
      </c>
      <c r="AG388" s="28" t="str">
        <f aca="false">IF($O388="","",IF(OR($AE388="Launched",$AE388="Cancelled"),"",MID(IF($Y388&lt;&gt;"Approved",", Content approval","")&amp;IF(NOT(OR($Z388="Yes",$Z388="N/A")),", Assets","")&amp;IF(NOT(OR($AA388="Yes",$AA388="N/A")),", List","")&amp;IF($AB388="",", Ops decision",IF(AND($AB388="Yes",$AD388&lt;&gt;"Yes"),", Ops",""))&amp;IF($U388="",", Owner","")&amp;IF($K388="",", Segment",""),3,200)))</f>
        <v/>
      </c>
      <c r="AH388" s="29" t="str">
        <f aca="true">IF($O388="","",$O388-TODAY())</f>
        <v/>
      </c>
      <c r="AI388" s="26" t="str">
        <f aca="false">IF($O388="","",$O388-WEEKDAY($O388,3))</f>
        <v/>
      </c>
      <c r="AJ388" s="30" t="str">
        <f aca="false">IF($O388="","",DATE(YEAR($O388),MONTH($O388),1))</f>
        <v/>
      </c>
      <c r="AK388" s="31" t="str">
        <f aca="false">IF(OR($O388="",$K388=""),"",COUNTIFS('Comms Calendar'!$K$5:$K$504,$K388,'Comms Calendar'!$B$5:$B$504,$B388,'Comms Calendar'!$AI$5:$AI$504,$AI388,'Comms Calendar'!$AE$5:$AE$504,"&lt;&gt;Cancelled"))</f>
        <v/>
      </c>
      <c r="AL388" s="27" t="str">
        <f aca="false">IF($AK388="","",IF($AK388&gt;'Rules &amp; Guardrails'!$C$3,"Over cap","OK"))</f>
        <v/>
      </c>
      <c r="AM388" s="27" t="str">
        <f aca="false">IF(OR($O388="",$K388=""),"",IF(COUNTIFS('Comms Calendar'!$K$5:$K$504,$K388,'Comms Calendar'!$B$5:$B$504,$B388,'Comms Calendar'!$O$5:$O$504,$O388,'Comms Calendar'!$AE$5:$AE$504,"&lt;&gt;Cancelled")&gt;1,"Clash",""))</f>
        <v/>
      </c>
      <c r="AN388" s="27" t="str">
        <f aca="false">IF($O388="","",IF(IF($B388="Global",COUNTIF('Rules &amp; Guardrails'!$F$9:$F$60,$O388),COUNTIFS('Rules &amp; Guardrails'!$F$9:$F$60,$O388,'Rules &amp; Guardrails'!$G$9:$G$60,$B388)+COUNTIFS('Rules &amp; Guardrails'!$F$9:$F$60,$O388,'Rules &amp; Guardrails'!$G$9:$G$60,"Global"))&gt;0,"Blackout",""))</f>
        <v/>
      </c>
      <c r="AO388" s="6"/>
      <c r="AP388" s="25"/>
      <c r="AQ388" s="23"/>
      <c r="AR388" s="31" t="str">
        <f aca="false">IF($D388="","",IFERROR(VLOOKUP($D388,'Rules &amp; Guardrails'!$A$9:$D$24,2,0),"Other"))</f>
        <v/>
      </c>
      <c r="AS388" s="31" t="str">
        <f aca="false">IF($O388="","",$O388&amp;"|"&amp;$B388)</f>
        <v/>
      </c>
    </row>
    <row r="389" customFormat="false" ht="15" hidden="false" customHeight="false" outlineLevel="0" collapsed="false">
      <c r="A389" s="23"/>
      <c r="B389" s="23"/>
      <c r="C389" s="23"/>
      <c r="D389" s="23"/>
      <c r="E389" s="23"/>
      <c r="F389" s="23"/>
      <c r="G389" s="6"/>
      <c r="H389" s="6"/>
      <c r="I389" s="23"/>
      <c r="J389" s="23"/>
      <c r="K389" s="23"/>
      <c r="L389" s="6"/>
      <c r="M389" s="6"/>
      <c r="N389" s="24"/>
      <c r="O389" s="25"/>
      <c r="P389" s="23"/>
      <c r="Q389" s="23"/>
      <c r="R389" s="23"/>
      <c r="S389" s="23"/>
      <c r="T389" s="26" t="str">
        <f aca="false">IF(OR($O389="",$D389=""),"",WORKDAY($O389,-IFERROR(VLOOKUP($D389,'Rules &amp; Guardrails'!$A$9:$D$24,3,0),10)))</f>
        <v/>
      </c>
      <c r="U389" s="23"/>
      <c r="V389" s="23"/>
      <c r="W389" s="23"/>
      <c r="X389" s="6"/>
      <c r="Y389" s="23"/>
      <c r="Z389" s="23"/>
      <c r="AA389" s="23"/>
      <c r="AB389" s="23"/>
      <c r="AC389" s="23"/>
      <c r="AD389" s="23"/>
      <c r="AE389" s="23"/>
      <c r="AF389" s="27" t="str">
        <f aca="true">IF($O389="","",IF(OR($AE389="Cancelled",$AE389="On hold",$AE389="Launched"),$AE389,IF(AND($Y389="Approved",OR($Z389="Yes",$Z389="N/A"),OR($AA389="Yes",$AA389="N/A"),OR($AB389="No",$AB389="N/A",AND($AB389="Yes",$AD389="Yes"))),"Ready",IF($O389&lt;TODAY(),"Overdue",IF($O389-TODAY()&lt;='Rules &amp; Guardrails'!$C$5,"At Risk","In Progress")))))</f>
        <v/>
      </c>
      <c r="AG389" s="28" t="str">
        <f aca="false">IF($O389="","",IF(OR($AE389="Launched",$AE389="Cancelled"),"",MID(IF($Y389&lt;&gt;"Approved",", Content approval","")&amp;IF(NOT(OR($Z389="Yes",$Z389="N/A")),", Assets","")&amp;IF(NOT(OR($AA389="Yes",$AA389="N/A")),", List","")&amp;IF($AB389="",", Ops decision",IF(AND($AB389="Yes",$AD389&lt;&gt;"Yes"),", Ops",""))&amp;IF($U389="",", Owner","")&amp;IF($K389="",", Segment",""),3,200)))</f>
        <v/>
      </c>
      <c r="AH389" s="29" t="str">
        <f aca="true">IF($O389="","",$O389-TODAY())</f>
        <v/>
      </c>
      <c r="AI389" s="26" t="str">
        <f aca="false">IF($O389="","",$O389-WEEKDAY($O389,3))</f>
        <v/>
      </c>
      <c r="AJ389" s="30" t="str">
        <f aca="false">IF($O389="","",DATE(YEAR($O389),MONTH($O389),1))</f>
        <v/>
      </c>
      <c r="AK389" s="31" t="str">
        <f aca="false">IF(OR($O389="",$K389=""),"",COUNTIFS('Comms Calendar'!$K$5:$K$504,$K389,'Comms Calendar'!$B$5:$B$504,$B389,'Comms Calendar'!$AI$5:$AI$504,$AI389,'Comms Calendar'!$AE$5:$AE$504,"&lt;&gt;Cancelled"))</f>
        <v/>
      </c>
      <c r="AL389" s="27" t="str">
        <f aca="false">IF($AK389="","",IF($AK389&gt;'Rules &amp; Guardrails'!$C$3,"Over cap","OK"))</f>
        <v/>
      </c>
      <c r="AM389" s="27" t="str">
        <f aca="false">IF(OR($O389="",$K389=""),"",IF(COUNTIFS('Comms Calendar'!$K$5:$K$504,$K389,'Comms Calendar'!$B$5:$B$504,$B389,'Comms Calendar'!$O$5:$O$504,$O389,'Comms Calendar'!$AE$5:$AE$504,"&lt;&gt;Cancelled")&gt;1,"Clash",""))</f>
        <v/>
      </c>
      <c r="AN389" s="27" t="str">
        <f aca="false">IF($O389="","",IF(IF($B389="Global",COUNTIF('Rules &amp; Guardrails'!$F$9:$F$60,$O389),COUNTIFS('Rules &amp; Guardrails'!$F$9:$F$60,$O389,'Rules &amp; Guardrails'!$G$9:$G$60,$B389)+COUNTIFS('Rules &amp; Guardrails'!$F$9:$F$60,$O389,'Rules &amp; Guardrails'!$G$9:$G$60,"Global"))&gt;0,"Blackout",""))</f>
        <v/>
      </c>
      <c r="AO389" s="6"/>
      <c r="AP389" s="25"/>
      <c r="AQ389" s="23"/>
      <c r="AR389" s="31" t="str">
        <f aca="false">IF($D389="","",IFERROR(VLOOKUP($D389,'Rules &amp; Guardrails'!$A$9:$D$24,2,0),"Other"))</f>
        <v/>
      </c>
      <c r="AS389" s="31" t="str">
        <f aca="false">IF($O389="","",$O389&amp;"|"&amp;$B389)</f>
        <v/>
      </c>
    </row>
    <row r="390" customFormat="false" ht="15" hidden="false" customHeight="false" outlineLevel="0" collapsed="false">
      <c r="A390" s="23"/>
      <c r="B390" s="23"/>
      <c r="C390" s="23"/>
      <c r="D390" s="23"/>
      <c r="E390" s="23"/>
      <c r="F390" s="23"/>
      <c r="G390" s="6"/>
      <c r="H390" s="6"/>
      <c r="I390" s="23"/>
      <c r="J390" s="23"/>
      <c r="K390" s="23"/>
      <c r="L390" s="6"/>
      <c r="M390" s="6"/>
      <c r="N390" s="24"/>
      <c r="O390" s="25"/>
      <c r="P390" s="23"/>
      <c r="Q390" s="23"/>
      <c r="R390" s="23"/>
      <c r="S390" s="23"/>
      <c r="T390" s="26" t="str">
        <f aca="false">IF(OR($O390="",$D390=""),"",WORKDAY($O390,-IFERROR(VLOOKUP($D390,'Rules &amp; Guardrails'!$A$9:$D$24,3,0),10)))</f>
        <v/>
      </c>
      <c r="U390" s="23"/>
      <c r="V390" s="23"/>
      <c r="W390" s="23"/>
      <c r="X390" s="6"/>
      <c r="Y390" s="23"/>
      <c r="Z390" s="23"/>
      <c r="AA390" s="23"/>
      <c r="AB390" s="23"/>
      <c r="AC390" s="23"/>
      <c r="AD390" s="23"/>
      <c r="AE390" s="23"/>
      <c r="AF390" s="27" t="str">
        <f aca="true">IF($O390="","",IF(OR($AE390="Cancelled",$AE390="On hold",$AE390="Launched"),$AE390,IF(AND($Y390="Approved",OR($Z390="Yes",$Z390="N/A"),OR($AA390="Yes",$AA390="N/A"),OR($AB390="No",$AB390="N/A",AND($AB390="Yes",$AD390="Yes"))),"Ready",IF($O390&lt;TODAY(),"Overdue",IF($O390-TODAY()&lt;='Rules &amp; Guardrails'!$C$5,"At Risk","In Progress")))))</f>
        <v/>
      </c>
      <c r="AG390" s="28" t="str">
        <f aca="false">IF($O390="","",IF(OR($AE390="Launched",$AE390="Cancelled"),"",MID(IF($Y390&lt;&gt;"Approved",", Content approval","")&amp;IF(NOT(OR($Z390="Yes",$Z390="N/A")),", Assets","")&amp;IF(NOT(OR($AA390="Yes",$AA390="N/A")),", List","")&amp;IF($AB390="",", Ops decision",IF(AND($AB390="Yes",$AD390&lt;&gt;"Yes"),", Ops",""))&amp;IF($U390="",", Owner","")&amp;IF($K390="",", Segment",""),3,200)))</f>
        <v/>
      </c>
      <c r="AH390" s="29" t="str">
        <f aca="true">IF($O390="","",$O390-TODAY())</f>
        <v/>
      </c>
      <c r="AI390" s="26" t="str">
        <f aca="false">IF($O390="","",$O390-WEEKDAY($O390,3))</f>
        <v/>
      </c>
      <c r="AJ390" s="30" t="str">
        <f aca="false">IF($O390="","",DATE(YEAR($O390),MONTH($O390),1))</f>
        <v/>
      </c>
      <c r="AK390" s="31" t="str">
        <f aca="false">IF(OR($O390="",$K390=""),"",COUNTIFS('Comms Calendar'!$K$5:$K$504,$K390,'Comms Calendar'!$B$5:$B$504,$B390,'Comms Calendar'!$AI$5:$AI$504,$AI390,'Comms Calendar'!$AE$5:$AE$504,"&lt;&gt;Cancelled"))</f>
        <v/>
      </c>
      <c r="AL390" s="27" t="str">
        <f aca="false">IF($AK390="","",IF($AK390&gt;'Rules &amp; Guardrails'!$C$3,"Over cap","OK"))</f>
        <v/>
      </c>
      <c r="AM390" s="27" t="str">
        <f aca="false">IF(OR($O390="",$K390=""),"",IF(COUNTIFS('Comms Calendar'!$K$5:$K$504,$K390,'Comms Calendar'!$B$5:$B$504,$B390,'Comms Calendar'!$O$5:$O$504,$O390,'Comms Calendar'!$AE$5:$AE$504,"&lt;&gt;Cancelled")&gt;1,"Clash",""))</f>
        <v/>
      </c>
      <c r="AN390" s="27" t="str">
        <f aca="false">IF($O390="","",IF(IF($B390="Global",COUNTIF('Rules &amp; Guardrails'!$F$9:$F$60,$O390),COUNTIFS('Rules &amp; Guardrails'!$F$9:$F$60,$O390,'Rules &amp; Guardrails'!$G$9:$G$60,$B390)+COUNTIFS('Rules &amp; Guardrails'!$F$9:$F$60,$O390,'Rules &amp; Guardrails'!$G$9:$G$60,"Global"))&gt;0,"Blackout",""))</f>
        <v/>
      </c>
      <c r="AO390" s="6"/>
      <c r="AP390" s="25"/>
      <c r="AQ390" s="23"/>
      <c r="AR390" s="31" t="str">
        <f aca="false">IF($D390="","",IFERROR(VLOOKUP($D390,'Rules &amp; Guardrails'!$A$9:$D$24,2,0),"Other"))</f>
        <v/>
      </c>
      <c r="AS390" s="31" t="str">
        <f aca="false">IF($O390="","",$O390&amp;"|"&amp;$B390)</f>
        <v/>
      </c>
    </row>
    <row r="391" customFormat="false" ht="15" hidden="false" customHeight="false" outlineLevel="0" collapsed="false">
      <c r="A391" s="23"/>
      <c r="B391" s="23"/>
      <c r="C391" s="23"/>
      <c r="D391" s="23"/>
      <c r="E391" s="23"/>
      <c r="F391" s="23"/>
      <c r="G391" s="6"/>
      <c r="H391" s="6"/>
      <c r="I391" s="23"/>
      <c r="J391" s="23"/>
      <c r="K391" s="23"/>
      <c r="L391" s="6"/>
      <c r="M391" s="6"/>
      <c r="N391" s="24"/>
      <c r="O391" s="25"/>
      <c r="P391" s="23"/>
      <c r="Q391" s="23"/>
      <c r="R391" s="23"/>
      <c r="S391" s="23"/>
      <c r="T391" s="26" t="str">
        <f aca="false">IF(OR($O391="",$D391=""),"",WORKDAY($O391,-IFERROR(VLOOKUP($D391,'Rules &amp; Guardrails'!$A$9:$D$24,3,0),10)))</f>
        <v/>
      </c>
      <c r="U391" s="23"/>
      <c r="V391" s="23"/>
      <c r="W391" s="23"/>
      <c r="X391" s="6"/>
      <c r="Y391" s="23"/>
      <c r="Z391" s="23"/>
      <c r="AA391" s="23"/>
      <c r="AB391" s="23"/>
      <c r="AC391" s="23"/>
      <c r="AD391" s="23"/>
      <c r="AE391" s="23"/>
      <c r="AF391" s="27" t="str">
        <f aca="true">IF($O391="","",IF(OR($AE391="Cancelled",$AE391="On hold",$AE391="Launched"),$AE391,IF(AND($Y391="Approved",OR($Z391="Yes",$Z391="N/A"),OR($AA391="Yes",$AA391="N/A"),OR($AB391="No",$AB391="N/A",AND($AB391="Yes",$AD391="Yes"))),"Ready",IF($O391&lt;TODAY(),"Overdue",IF($O391-TODAY()&lt;='Rules &amp; Guardrails'!$C$5,"At Risk","In Progress")))))</f>
        <v/>
      </c>
      <c r="AG391" s="28" t="str">
        <f aca="false">IF($O391="","",IF(OR($AE391="Launched",$AE391="Cancelled"),"",MID(IF($Y391&lt;&gt;"Approved",", Content approval","")&amp;IF(NOT(OR($Z391="Yes",$Z391="N/A")),", Assets","")&amp;IF(NOT(OR($AA391="Yes",$AA391="N/A")),", List","")&amp;IF($AB391="",", Ops decision",IF(AND($AB391="Yes",$AD391&lt;&gt;"Yes"),", Ops",""))&amp;IF($U391="",", Owner","")&amp;IF($K391="",", Segment",""),3,200)))</f>
        <v/>
      </c>
      <c r="AH391" s="29" t="str">
        <f aca="true">IF($O391="","",$O391-TODAY())</f>
        <v/>
      </c>
      <c r="AI391" s="26" t="str">
        <f aca="false">IF($O391="","",$O391-WEEKDAY($O391,3))</f>
        <v/>
      </c>
      <c r="AJ391" s="30" t="str">
        <f aca="false">IF($O391="","",DATE(YEAR($O391),MONTH($O391),1))</f>
        <v/>
      </c>
      <c r="AK391" s="31" t="str">
        <f aca="false">IF(OR($O391="",$K391=""),"",COUNTIFS('Comms Calendar'!$K$5:$K$504,$K391,'Comms Calendar'!$B$5:$B$504,$B391,'Comms Calendar'!$AI$5:$AI$504,$AI391,'Comms Calendar'!$AE$5:$AE$504,"&lt;&gt;Cancelled"))</f>
        <v/>
      </c>
      <c r="AL391" s="27" t="str">
        <f aca="false">IF($AK391="","",IF($AK391&gt;'Rules &amp; Guardrails'!$C$3,"Over cap","OK"))</f>
        <v/>
      </c>
      <c r="AM391" s="27" t="str">
        <f aca="false">IF(OR($O391="",$K391=""),"",IF(COUNTIFS('Comms Calendar'!$K$5:$K$504,$K391,'Comms Calendar'!$B$5:$B$504,$B391,'Comms Calendar'!$O$5:$O$504,$O391,'Comms Calendar'!$AE$5:$AE$504,"&lt;&gt;Cancelled")&gt;1,"Clash",""))</f>
        <v/>
      </c>
      <c r="AN391" s="27" t="str">
        <f aca="false">IF($O391="","",IF(IF($B391="Global",COUNTIF('Rules &amp; Guardrails'!$F$9:$F$60,$O391),COUNTIFS('Rules &amp; Guardrails'!$F$9:$F$60,$O391,'Rules &amp; Guardrails'!$G$9:$G$60,$B391)+COUNTIFS('Rules &amp; Guardrails'!$F$9:$F$60,$O391,'Rules &amp; Guardrails'!$G$9:$G$60,"Global"))&gt;0,"Blackout",""))</f>
        <v/>
      </c>
      <c r="AO391" s="6"/>
      <c r="AP391" s="25"/>
      <c r="AQ391" s="23"/>
      <c r="AR391" s="31" t="str">
        <f aca="false">IF($D391="","",IFERROR(VLOOKUP($D391,'Rules &amp; Guardrails'!$A$9:$D$24,2,0),"Other"))</f>
        <v/>
      </c>
      <c r="AS391" s="31" t="str">
        <f aca="false">IF($O391="","",$O391&amp;"|"&amp;$B391)</f>
        <v/>
      </c>
    </row>
    <row r="392" customFormat="false" ht="15" hidden="false" customHeight="false" outlineLevel="0" collapsed="false">
      <c r="A392" s="23"/>
      <c r="B392" s="23"/>
      <c r="C392" s="23"/>
      <c r="D392" s="23"/>
      <c r="E392" s="23"/>
      <c r="F392" s="23"/>
      <c r="G392" s="6"/>
      <c r="H392" s="6"/>
      <c r="I392" s="23"/>
      <c r="J392" s="23"/>
      <c r="K392" s="23"/>
      <c r="L392" s="6"/>
      <c r="M392" s="6"/>
      <c r="N392" s="24"/>
      <c r="O392" s="25"/>
      <c r="P392" s="23"/>
      <c r="Q392" s="23"/>
      <c r="R392" s="23"/>
      <c r="S392" s="23"/>
      <c r="T392" s="26" t="str">
        <f aca="false">IF(OR($O392="",$D392=""),"",WORKDAY($O392,-IFERROR(VLOOKUP($D392,'Rules &amp; Guardrails'!$A$9:$D$24,3,0),10)))</f>
        <v/>
      </c>
      <c r="U392" s="23"/>
      <c r="V392" s="23"/>
      <c r="W392" s="23"/>
      <c r="X392" s="6"/>
      <c r="Y392" s="23"/>
      <c r="Z392" s="23"/>
      <c r="AA392" s="23"/>
      <c r="AB392" s="23"/>
      <c r="AC392" s="23"/>
      <c r="AD392" s="23"/>
      <c r="AE392" s="23"/>
      <c r="AF392" s="27" t="str">
        <f aca="true">IF($O392="","",IF(OR($AE392="Cancelled",$AE392="On hold",$AE392="Launched"),$AE392,IF(AND($Y392="Approved",OR($Z392="Yes",$Z392="N/A"),OR($AA392="Yes",$AA392="N/A"),OR($AB392="No",$AB392="N/A",AND($AB392="Yes",$AD392="Yes"))),"Ready",IF($O392&lt;TODAY(),"Overdue",IF($O392-TODAY()&lt;='Rules &amp; Guardrails'!$C$5,"At Risk","In Progress")))))</f>
        <v/>
      </c>
      <c r="AG392" s="28" t="str">
        <f aca="false">IF($O392="","",IF(OR($AE392="Launched",$AE392="Cancelled"),"",MID(IF($Y392&lt;&gt;"Approved",", Content approval","")&amp;IF(NOT(OR($Z392="Yes",$Z392="N/A")),", Assets","")&amp;IF(NOT(OR($AA392="Yes",$AA392="N/A")),", List","")&amp;IF($AB392="",", Ops decision",IF(AND($AB392="Yes",$AD392&lt;&gt;"Yes"),", Ops",""))&amp;IF($U392="",", Owner","")&amp;IF($K392="",", Segment",""),3,200)))</f>
        <v/>
      </c>
      <c r="AH392" s="29" t="str">
        <f aca="true">IF($O392="","",$O392-TODAY())</f>
        <v/>
      </c>
      <c r="AI392" s="26" t="str">
        <f aca="false">IF($O392="","",$O392-WEEKDAY($O392,3))</f>
        <v/>
      </c>
      <c r="AJ392" s="30" t="str">
        <f aca="false">IF($O392="","",DATE(YEAR($O392),MONTH($O392),1))</f>
        <v/>
      </c>
      <c r="AK392" s="31" t="str">
        <f aca="false">IF(OR($O392="",$K392=""),"",COUNTIFS('Comms Calendar'!$K$5:$K$504,$K392,'Comms Calendar'!$B$5:$B$504,$B392,'Comms Calendar'!$AI$5:$AI$504,$AI392,'Comms Calendar'!$AE$5:$AE$504,"&lt;&gt;Cancelled"))</f>
        <v/>
      </c>
      <c r="AL392" s="27" t="str">
        <f aca="false">IF($AK392="","",IF($AK392&gt;'Rules &amp; Guardrails'!$C$3,"Over cap","OK"))</f>
        <v/>
      </c>
      <c r="AM392" s="27" t="str">
        <f aca="false">IF(OR($O392="",$K392=""),"",IF(COUNTIFS('Comms Calendar'!$K$5:$K$504,$K392,'Comms Calendar'!$B$5:$B$504,$B392,'Comms Calendar'!$O$5:$O$504,$O392,'Comms Calendar'!$AE$5:$AE$504,"&lt;&gt;Cancelled")&gt;1,"Clash",""))</f>
        <v/>
      </c>
      <c r="AN392" s="27" t="str">
        <f aca="false">IF($O392="","",IF(IF($B392="Global",COUNTIF('Rules &amp; Guardrails'!$F$9:$F$60,$O392),COUNTIFS('Rules &amp; Guardrails'!$F$9:$F$60,$O392,'Rules &amp; Guardrails'!$G$9:$G$60,$B392)+COUNTIFS('Rules &amp; Guardrails'!$F$9:$F$60,$O392,'Rules &amp; Guardrails'!$G$9:$G$60,"Global"))&gt;0,"Blackout",""))</f>
        <v/>
      </c>
      <c r="AO392" s="6"/>
      <c r="AP392" s="25"/>
      <c r="AQ392" s="23"/>
      <c r="AR392" s="31" t="str">
        <f aca="false">IF($D392="","",IFERROR(VLOOKUP($D392,'Rules &amp; Guardrails'!$A$9:$D$24,2,0),"Other"))</f>
        <v/>
      </c>
      <c r="AS392" s="31" t="str">
        <f aca="false">IF($O392="","",$O392&amp;"|"&amp;$B392)</f>
        <v/>
      </c>
    </row>
    <row r="393" customFormat="false" ht="15" hidden="false" customHeight="false" outlineLevel="0" collapsed="false">
      <c r="A393" s="23"/>
      <c r="B393" s="23"/>
      <c r="C393" s="23"/>
      <c r="D393" s="23"/>
      <c r="E393" s="23"/>
      <c r="F393" s="23"/>
      <c r="G393" s="6"/>
      <c r="H393" s="6"/>
      <c r="I393" s="23"/>
      <c r="J393" s="23"/>
      <c r="K393" s="23"/>
      <c r="L393" s="6"/>
      <c r="M393" s="6"/>
      <c r="N393" s="24"/>
      <c r="O393" s="25"/>
      <c r="P393" s="23"/>
      <c r="Q393" s="23"/>
      <c r="R393" s="23"/>
      <c r="S393" s="23"/>
      <c r="T393" s="26" t="str">
        <f aca="false">IF(OR($O393="",$D393=""),"",WORKDAY($O393,-IFERROR(VLOOKUP($D393,'Rules &amp; Guardrails'!$A$9:$D$24,3,0),10)))</f>
        <v/>
      </c>
      <c r="U393" s="23"/>
      <c r="V393" s="23"/>
      <c r="W393" s="23"/>
      <c r="X393" s="6"/>
      <c r="Y393" s="23"/>
      <c r="Z393" s="23"/>
      <c r="AA393" s="23"/>
      <c r="AB393" s="23"/>
      <c r="AC393" s="23"/>
      <c r="AD393" s="23"/>
      <c r="AE393" s="23"/>
      <c r="AF393" s="27" t="str">
        <f aca="true">IF($O393="","",IF(OR($AE393="Cancelled",$AE393="On hold",$AE393="Launched"),$AE393,IF(AND($Y393="Approved",OR($Z393="Yes",$Z393="N/A"),OR($AA393="Yes",$AA393="N/A"),OR($AB393="No",$AB393="N/A",AND($AB393="Yes",$AD393="Yes"))),"Ready",IF($O393&lt;TODAY(),"Overdue",IF($O393-TODAY()&lt;='Rules &amp; Guardrails'!$C$5,"At Risk","In Progress")))))</f>
        <v/>
      </c>
      <c r="AG393" s="28" t="str">
        <f aca="false">IF($O393="","",IF(OR($AE393="Launched",$AE393="Cancelled"),"",MID(IF($Y393&lt;&gt;"Approved",", Content approval","")&amp;IF(NOT(OR($Z393="Yes",$Z393="N/A")),", Assets","")&amp;IF(NOT(OR($AA393="Yes",$AA393="N/A")),", List","")&amp;IF($AB393="",", Ops decision",IF(AND($AB393="Yes",$AD393&lt;&gt;"Yes"),", Ops",""))&amp;IF($U393="",", Owner","")&amp;IF($K393="",", Segment",""),3,200)))</f>
        <v/>
      </c>
      <c r="AH393" s="29" t="str">
        <f aca="true">IF($O393="","",$O393-TODAY())</f>
        <v/>
      </c>
      <c r="AI393" s="26" t="str">
        <f aca="false">IF($O393="","",$O393-WEEKDAY($O393,3))</f>
        <v/>
      </c>
      <c r="AJ393" s="30" t="str">
        <f aca="false">IF($O393="","",DATE(YEAR($O393),MONTH($O393),1))</f>
        <v/>
      </c>
      <c r="AK393" s="31" t="str">
        <f aca="false">IF(OR($O393="",$K393=""),"",COUNTIFS('Comms Calendar'!$K$5:$K$504,$K393,'Comms Calendar'!$B$5:$B$504,$B393,'Comms Calendar'!$AI$5:$AI$504,$AI393,'Comms Calendar'!$AE$5:$AE$504,"&lt;&gt;Cancelled"))</f>
        <v/>
      </c>
      <c r="AL393" s="27" t="str">
        <f aca="false">IF($AK393="","",IF($AK393&gt;'Rules &amp; Guardrails'!$C$3,"Over cap","OK"))</f>
        <v/>
      </c>
      <c r="AM393" s="27" t="str">
        <f aca="false">IF(OR($O393="",$K393=""),"",IF(COUNTIFS('Comms Calendar'!$K$5:$K$504,$K393,'Comms Calendar'!$B$5:$B$504,$B393,'Comms Calendar'!$O$5:$O$504,$O393,'Comms Calendar'!$AE$5:$AE$504,"&lt;&gt;Cancelled")&gt;1,"Clash",""))</f>
        <v/>
      </c>
      <c r="AN393" s="27" t="str">
        <f aca="false">IF($O393="","",IF(IF($B393="Global",COUNTIF('Rules &amp; Guardrails'!$F$9:$F$60,$O393),COUNTIFS('Rules &amp; Guardrails'!$F$9:$F$60,$O393,'Rules &amp; Guardrails'!$G$9:$G$60,$B393)+COUNTIFS('Rules &amp; Guardrails'!$F$9:$F$60,$O393,'Rules &amp; Guardrails'!$G$9:$G$60,"Global"))&gt;0,"Blackout",""))</f>
        <v/>
      </c>
      <c r="AO393" s="6"/>
      <c r="AP393" s="25"/>
      <c r="AQ393" s="23"/>
      <c r="AR393" s="31" t="str">
        <f aca="false">IF($D393="","",IFERROR(VLOOKUP($D393,'Rules &amp; Guardrails'!$A$9:$D$24,2,0),"Other"))</f>
        <v/>
      </c>
      <c r="AS393" s="31" t="str">
        <f aca="false">IF($O393="","",$O393&amp;"|"&amp;$B393)</f>
        <v/>
      </c>
    </row>
    <row r="394" customFormat="false" ht="15" hidden="false" customHeight="false" outlineLevel="0" collapsed="false">
      <c r="A394" s="23"/>
      <c r="B394" s="23"/>
      <c r="C394" s="23"/>
      <c r="D394" s="23"/>
      <c r="E394" s="23"/>
      <c r="F394" s="23"/>
      <c r="G394" s="6"/>
      <c r="H394" s="6"/>
      <c r="I394" s="23"/>
      <c r="J394" s="23"/>
      <c r="K394" s="23"/>
      <c r="L394" s="6"/>
      <c r="M394" s="6"/>
      <c r="N394" s="24"/>
      <c r="O394" s="25"/>
      <c r="P394" s="23"/>
      <c r="Q394" s="23"/>
      <c r="R394" s="23"/>
      <c r="S394" s="23"/>
      <c r="T394" s="26" t="str">
        <f aca="false">IF(OR($O394="",$D394=""),"",WORKDAY($O394,-IFERROR(VLOOKUP($D394,'Rules &amp; Guardrails'!$A$9:$D$24,3,0),10)))</f>
        <v/>
      </c>
      <c r="U394" s="23"/>
      <c r="V394" s="23"/>
      <c r="W394" s="23"/>
      <c r="X394" s="6"/>
      <c r="Y394" s="23"/>
      <c r="Z394" s="23"/>
      <c r="AA394" s="23"/>
      <c r="AB394" s="23"/>
      <c r="AC394" s="23"/>
      <c r="AD394" s="23"/>
      <c r="AE394" s="23"/>
      <c r="AF394" s="27" t="str">
        <f aca="true">IF($O394="","",IF(OR($AE394="Cancelled",$AE394="On hold",$AE394="Launched"),$AE394,IF(AND($Y394="Approved",OR($Z394="Yes",$Z394="N/A"),OR($AA394="Yes",$AA394="N/A"),OR($AB394="No",$AB394="N/A",AND($AB394="Yes",$AD394="Yes"))),"Ready",IF($O394&lt;TODAY(),"Overdue",IF($O394-TODAY()&lt;='Rules &amp; Guardrails'!$C$5,"At Risk","In Progress")))))</f>
        <v/>
      </c>
      <c r="AG394" s="28" t="str">
        <f aca="false">IF($O394="","",IF(OR($AE394="Launched",$AE394="Cancelled"),"",MID(IF($Y394&lt;&gt;"Approved",", Content approval","")&amp;IF(NOT(OR($Z394="Yes",$Z394="N/A")),", Assets","")&amp;IF(NOT(OR($AA394="Yes",$AA394="N/A")),", List","")&amp;IF($AB394="",", Ops decision",IF(AND($AB394="Yes",$AD394&lt;&gt;"Yes"),", Ops",""))&amp;IF($U394="",", Owner","")&amp;IF($K394="",", Segment",""),3,200)))</f>
        <v/>
      </c>
      <c r="AH394" s="29" t="str">
        <f aca="true">IF($O394="","",$O394-TODAY())</f>
        <v/>
      </c>
      <c r="AI394" s="26" t="str">
        <f aca="false">IF($O394="","",$O394-WEEKDAY($O394,3))</f>
        <v/>
      </c>
      <c r="AJ394" s="30" t="str">
        <f aca="false">IF($O394="","",DATE(YEAR($O394),MONTH($O394),1))</f>
        <v/>
      </c>
      <c r="AK394" s="31" t="str">
        <f aca="false">IF(OR($O394="",$K394=""),"",COUNTIFS('Comms Calendar'!$K$5:$K$504,$K394,'Comms Calendar'!$B$5:$B$504,$B394,'Comms Calendar'!$AI$5:$AI$504,$AI394,'Comms Calendar'!$AE$5:$AE$504,"&lt;&gt;Cancelled"))</f>
        <v/>
      </c>
      <c r="AL394" s="27" t="str">
        <f aca="false">IF($AK394="","",IF($AK394&gt;'Rules &amp; Guardrails'!$C$3,"Over cap","OK"))</f>
        <v/>
      </c>
      <c r="AM394" s="27" t="str">
        <f aca="false">IF(OR($O394="",$K394=""),"",IF(COUNTIFS('Comms Calendar'!$K$5:$K$504,$K394,'Comms Calendar'!$B$5:$B$504,$B394,'Comms Calendar'!$O$5:$O$504,$O394,'Comms Calendar'!$AE$5:$AE$504,"&lt;&gt;Cancelled")&gt;1,"Clash",""))</f>
        <v/>
      </c>
      <c r="AN394" s="27" t="str">
        <f aca="false">IF($O394="","",IF(IF($B394="Global",COUNTIF('Rules &amp; Guardrails'!$F$9:$F$60,$O394),COUNTIFS('Rules &amp; Guardrails'!$F$9:$F$60,$O394,'Rules &amp; Guardrails'!$G$9:$G$60,$B394)+COUNTIFS('Rules &amp; Guardrails'!$F$9:$F$60,$O394,'Rules &amp; Guardrails'!$G$9:$G$60,"Global"))&gt;0,"Blackout",""))</f>
        <v/>
      </c>
      <c r="AO394" s="6"/>
      <c r="AP394" s="25"/>
      <c r="AQ394" s="23"/>
      <c r="AR394" s="31" t="str">
        <f aca="false">IF($D394="","",IFERROR(VLOOKUP($D394,'Rules &amp; Guardrails'!$A$9:$D$24,2,0),"Other"))</f>
        <v/>
      </c>
      <c r="AS394" s="31" t="str">
        <f aca="false">IF($O394="","",$O394&amp;"|"&amp;$B394)</f>
        <v/>
      </c>
    </row>
    <row r="395" customFormat="false" ht="15" hidden="false" customHeight="false" outlineLevel="0" collapsed="false">
      <c r="A395" s="23"/>
      <c r="B395" s="23"/>
      <c r="C395" s="23"/>
      <c r="D395" s="23"/>
      <c r="E395" s="23"/>
      <c r="F395" s="23"/>
      <c r="G395" s="6"/>
      <c r="H395" s="6"/>
      <c r="I395" s="23"/>
      <c r="J395" s="23"/>
      <c r="K395" s="23"/>
      <c r="L395" s="6"/>
      <c r="M395" s="6"/>
      <c r="N395" s="24"/>
      <c r="O395" s="25"/>
      <c r="P395" s="23"/>
      <c r="Q395" s="23"/>
      <c r="R395" s="23"/>
      <c r="S395" s="23"/>
      <c r="T395" s="26" t="str">
        <f aca="false">IF(OR($O395="",$D395=""),"",WORKDAY($O395,-IFERROR(VLOOKUP($D395,'Rules &amp; Guardrails'!$A$9:$D$24,3,0),10)))</f>
        <v/>
      </c>
      <c r="U395" s="23"/>
      <c r="V395" s="23"/>
      <c r="W395" s="23"/>
      <c r="X395" s="6"/>
      <c r="Y395" s="23"/>
      <c r="Z395" s="23"/>
      <c r="AA395" s="23"/>
      <c r="AB395" s="23"/>
      <c r="AC395" s="23"/>
      <c r="AD395" s="23"/>
      <c r="AE395" s="23"/>
      <c r="AF395" s="27" t="str">
        <f aca="true">IF($O395="","",IF(OR($AE395="Cancelled",$AE395="On hold",$AE395="Launched"),$AE395,IF(AND($Y395="Approved",OR($Z395="Yes",$Z395="N/A"),OR($AA395="Yes",$AA395="N/A"),OR($AB395="No",$AB395="N/A",AND($AB395="Yes",$AD395="Yes"))),"Ready",IF($O395&lt;TODAY(),"Overdue",IF($O395-TODAY()&lt;='Rules &amp; Guardrails'!$C$5,"At Risk","In Progress")))))</f>
        <v/>
      </c>
      <c r="AG395" s="28" t="str">
        <f aca="false">IF($O395="","",IF(OR($AE395="Launched",$AE395="Cancelled"),"",MID(IF($Y395&lt;&gt;"Approved",", Content approval","")&amp;IF(NOT(OR($Z395="Yes",$Z395="N/A")),", Assets","")&amp;IF(NOT(OR($AA395="Yes",$AA395="N/A")),", List","")&amp;IF($AB395="",", Ops decision",IF(AND($AB395="Yes",$AD395&lt;&gt;"Yes"),", Ops",""))&amp;IF($U395="",", Owner","")&amp;IF($K395="",", Segment",""),3,200)))</f>
        <v/>
      </c>
      <c r="AH395" s="29" t="str">
        <f aca="true">IF($O395="","",$O395-TODAY())</f>
        <v/>
      </c>
      <c r="AI395" s="26" t="str">
        <f aca="false">IF($O395="","",$O395-WEEKDAY($O395,3))</f>
        <v/>
      </c>
      <c r="AJ395" s="30" t="str">
        <f aca="false">IF($O395="","",DATE(YEAR($O395),MONTH($O395),1))</f>
        <v/>
      </c>
      <c r="AK395" s="31" t="str">
        <f aca="false">IF(OR($O395="",$K395=""),"",COUNTIFS('Comms Calendar'!$K$5:$K$504,$K395,'Comms Calendar'!$B$5:$B$504,$B395,'Comms Calendar'!$AI$5:$AI$504,$AI395,'Comms Calendar'!$AE$5:$AE$504,"&lt;&gt;Cancelled"))</f>
        <v/>
      </c>
      <c r="AL395" s="27" t="str">
        <f aca="false">IF($AK395="","",IF($AK395&gt;'Rules &amp; Guardrails'!$C$3,"Over cap","OK"))</f>
        <v/>
      </c>
      <c r="AM395" s="27" t="str">
        <f aca="false">IF(OR($O395="",$K395=""),"",IF(COUNTIFS('Comms Calendar'!$K$5:$K$504,$K395,'Comms Calendar'!$B$5:$B$504,$B395,'Comms Calendar'!$O$5:$O$504,$O395,'Comms Calendar'!$AE$5:$AE$504,"&lt;&gt;Cancelled")&gt;1,"Clash",""))</f>
        <v/>
      </c>
      <c r="AN395" s="27" t="str">
        <f aca="false">IF($O395="","",IF(IF($B395="Global",COUNTIF('Rules &amp; Guardrails'!$F$9:$F$60,$O395),COUNTIFS('Rules &amp; Guardrails'!$F$9:$F$60,$O395,'Rules &amp; Guardrails'!$G$9:$G$60,$B395)+COUNTIFS('Rules &amp; Guardrails'!$F$9:$F$60,$O395,'Rules &amp; Guardrails'!$G$9:$G$60,"Global"))&gt;0,"Blackout",""))</f>
        <v/>
      </c>
      <c r="AO395" s="6"/>
      <c r="AP395" s="25"/>
      <c r="AQ395" s="23"/>
      <c r="AR395" s="31" t="str">
        <f aca="false">IF($D395="","",IFERROR(VLOOKUP($D395,'Rules &amp; Guardrails'!$A$9:$D$24,2,0),"Other"))</f>
        <v/>
      </c>
      <c r="AS395" s="31" t="str">
        <f aca="false">IF($O395="","",$O395&amp;"|"&amp;$B395)</f>
        <v/>
      </c>
    </row>
    <row r="396" customFormat="false" ht="15" hidden="false" customHeight="false" outlineLevel="0" collapsed="false">
      <c r="A396" s="23"/>
      <c r="B396" s="23"/>
      <c r="C396" s="23"/>
      <c r="D396" s="23"/>
      <c r="E396" s="23"/>
      <c r="F396" s="23"/>
      <c r="G396" s="6"/>
      <c r="H396" s="6"/>
      <c r="I396" s="23"/>
      <c r="J396" s="23"/>
      <c r="K396" s="23"/>
      <c r="L396" s="6"/>
      <c r="M396" s="6"/>
      <c r="N396" s="24"/>
      <c r="O396" s="25"/>
      <c r="P396" s="23"/>
      <c r="Q396" s="23"/>
      <c r="R396" s="23"/>
      <c r="S396" s="23"/>
      <c r="T396" s="26" t="str">
        <f aca="false">IF(OR($O396="",$D396=""),"",WORKDAY($O396,-IFERROR(VLOOKUP($D396,'Rules &amp; Guardrails'!$A$9:$D$24,3,0),10)))</f>
        <v/>
      </c>
      <c r="U396" s="23"/>
      <c r="V396" s="23"/>
      <c r="W396" s="23"/>
      <c r="X396" s="6"/>
      <c r="Y396" s="23"/>
      <c r="Z396" s="23"/>
      <c r="AA396" s="23"/>
      <c r="AB396" s="23"/>
      <c r="AC396" s="23"/>
      <c r="AD396" s="23"/>
      <c r="AE396" s="23"/>
      <c r="AF396" s="27" t="str">
        <f aca="true">IF($O396="","",IF(OR($AE396="Cancelled",$AE396="On hold",$AE396="Launched"),$AE396,IF(AND($Y396="Approved",OR($Z396="Yes",$Z396="N/A"),OR($AA396="Yes",$AA396="N/A"),OR($AB396="No",$AB396="N/A",AND($AB396="Yes",$AD396="Yes"))),"Ready",IF($O396&lt;TODAY(),"Overdue",IF($O396-TODAY()&lt;='Rules &amp; Guardrails'!$C$5,"At Risk","In Progress")))))</f>
        <v/>
      </c>
      <c r="AG396" s="28" t="str">
        <f aca="false">IF($O396="","",IF(OR($AE396="Launched",$AE396="Cancelled"),"",MID(IF($Y396&lt;&gt;"Approved",", Content approval","")&amp;IF(NOT(OR($Z396="Yes",$Z396="N/A")),", Assets","")&amp;IF(NOT(OR($AA396="Yes",$AA396="N/A")),", List","")&amp;IF($AB396="",", Ops decision",IF(AND($AB396="Yes",$AD396&lt;&gt;"Yes"),", Ops",""))&amp;IF($U396="",", Owner","")&amp;IF($K396="",", Segment",""),3,200)))</f>
        <v/>
      </c>
      <c r="AH396" s="29" t="str">
        <f aca="true">IF($O396="","",$O396-TODAY())</f>
        <v/>
      </c>
      <c r="AI396" s="26" t="str">
        <f aca="false">IF($O396="","",$O396-WEEKDAY($O396,3))</f>
        <v/>
      </c>
      <c r="AJ396" s="30" t="str">
        <f aca="false">IF($O396="","",DATE(YEAR($O396),MONTH($O396),1))</f>
        <v/>
      </c>
      <c r="AK396" s="31" t="str">
        <f aca="false">IF(OR($O396="",$K396=""),"",COUNTIFS('Comms Calendar'!$K$5:$K$504,$K396,'Comms Calendar'!$B$5:$B$504,$B396,'Comms Calendar'!$AI$5:$AI$504,$AI396,'Comms Calendar'!$AE$5:$AE$504,"&lt;&gt;Cancelled"))</f>
        <v/>
      </c>
      <c r="AL396" s="27" t="str">
        <f aca="false">IF($AK396="","",IF($AK396&gt;'Rules &amp; Guardrails'!$C$3,"Over cap","OK"))</f>
        <v/>
      </c>
      <c r="AM396" s="27" t="str">
        <f aca="false">IF(OR($O396="",$K396=""),"",IF(COUNTIFS('Comms Calendar'!$K$5:$K$504,$K396,'Comms Calendar'!$B$5:$B$504,$B396,'Comms Calendar'!$O$5:$O$504,$O396,'Comms Calendar'!$AE$5:$AE$504,"&lt;&gt;Cancelled")&gt;1,"Clash",""))</f>
        <v/>
      </c>
      <c r="AN396" s="27" t="str">
        <f aca="false">IF($O396="","",IF(IF($B396="Global",COUNTIF('Rules &amp; Guardrails'!$F$9:$F$60,$O396),COUNTIFS('Rules &amp; Guardrails'!$F$9:$F$60,$O396,'Rules &amp; Guardrails'!$G$9:$G$60,$B396)+COUNTIFS('Rules &amp; Guardrails'!$F$9:$F$60,$O396,'Rules &amp; Guardrails'!$G$9:$G$60,"Global"))&gt;0,"Blackout",""))</f>
        <v/>
      </c>
      <c r="AO396" s="6"/>
      <c r="AP396" s="25"/>
      <c r="AQ396" s="23"/>
      <c r="AR396" s="31" t="str">
        <f aca="false">IF($D396="","",IFERROR(VLOOKUP($D396,'Rules &amp; Guardrails'!$A$9:$D$24,2,0),"Other"))</f>
        <v/>
      </c>
      <c r="AS396" s="31" t="str">
        <f aca="false">IF($O396="","",$O396&amp;"|"&amp;$B396)</f>
        <v/>
      </c>
    </row>
    <row r="397" customFormat="false" ht="15" hidden="false" customHeight="false" outlineLevel="0" collapsed="false">
      <c r="A397" s="23"/>
      <c r="B397" s="23"/>
      <c r="C397" s="23"/>
      <c r="D397" s="23"/>
      <c r="E397" s="23"/>
      <c r="F397" s="23"/>
      <c r="G397" s="6"/>
      <c r="H397" s="6"/>
      <c r="I397" s="23"/>
      <c r="J397" s="23"/>
      <c r="K397" s="23"/>
      <c r="L397" s="6"/>
      <c r="M397" s="6"/>
      <c r="N397" s="24"/>
      <c r="O397" s="25"/>
      <c r="P397" s="23"/>
      <c r="Q397" s="23"/>
      <c r="R397" s="23"/>
      <c r="S397" s="23"/>
      <c r="T397" s="26" t="str">
        <f aca="false">IF(OR($O397="",$D397=""),"",WORKDAY($O397,-IFERROR(VLOOKUP($D397,'Rules &amp; Guardrails'!$A$9:$D$24,3,0),10)))</f>
        <v/>
      </c>
      <c r="U397" s="23"/>
      <c r="V397" s="23"/>
      <c r="W397" s="23"/>
      <c r="X397" s="6"/>
      <c r="Y397" s="23"/>
      <c r="Z397" s="23"/>
      <c r="AA397" s="23"/>
      <c r="AB397" s="23"/>
      <c r="AC397" s="23"/>
      <c r="AD397" s="23"/>
      <c r="AE397" s="23"/>
      <c r="AF397" s="27" t="str">
        <f aca="true">IF($O397="","",IF(OR($AE397="Cancelled",$AE397="On hold",$AE397="Launched"),$AE397,IF(AND($Y397="Approved",OR($Z397="Yes",$Z397="N/A"),OR($AA397="Yes",$AA397="N/A"),OR($AB397="No",$AB397="N/A",AND($AB397="Yes",$AD397="Yes"))),"Ready",IF($O397&lt;TODAY(),"Overdue",IF($O397-TODAY()&lt;='Rules &amp; Guardrails'!$C$5,"At Risk","In Progress")))))</f>
        <v/>
      </c>
      <c r="AG397" s="28" t="str">
        <f aca="false">IF($O397="","",IF(OR($AE397="Launched",$AE397="Cancelled"),"",MID(IF($Y397&lt;&gt;"Approved",", Content approval","")&amp;IF(NOT(OR($Z397="Yes",$Z397="N/A")),", Assets","")&amp;IF(NOT(OR($AA397="Yes",$AA397="N/A")),", List","")&amp;IF($AB397="",", Ops decision",IF(AND($AB397="Yes",$AD397&lt;&gt;"Yes"),", Ops",""))&amp;IF($U397="",", Owner","")&amp;IF($K397="",", Segment",""),3,200)))</f>
        <v/>
      </c>
      <c r="AH397" s="29" t="str">
        <f aca="true">IF($O397="","",$O397-TODAY())</f>
        <v/>
      </c>
      <c r="AI397" s="26" t="str">
        <f aca="false">IF($O397="","",$O397-WEEKDAY($O397,3))</f>
        <v/>
      </c>
      <c r="AJ397" s="30" t="str">
        <f aca="false">IF($O397="","",DATE(YEAR($O397),MONTH($O397),1))</f>
        <v/>
      </c>
      <c r="AK397" s="31" t="str">
        <f aca="false">IF(OR($O397="",$K397=""),"",COUNTIFS('Comms Calendar'!$K$5:$K$504,$K397,'Comms Calendar'!$B$5:$B$504,$B397,'Comms Calendar'!$AI$5:$AI$504,$AI397,'Comms Calendar'!$AE$5:$AE$504,"&lt;&gt;Cancelled"))</f>
        <v/>
      </c>
      <c r="AL397" s="27" t="str">
        <f aca="false">IF($AK397="","",IF($AK397&gt;'Rules &amp; Guardrails'!$C$3,"Over cap","OK"))</f>
        <v/>
      </c>
      <c r="AM397" s="27" t="str">
        <f aca="false">IF(OR($O397="",$K397=""),"",IF(COUNTIFS('Comms Calendar'!$K$5:$K$504,$K397,'Comms Calendar'!$B$5:$B$504,$B397,'Comms Calendar'!$O$5:$O$504,$O397,'Comms Calendar'!$AE$5:$AE$504,"&lt;&gt;Cancelled")&gt;1,"Clash",""))</f>
        <v/>
      </c>
      <c r="AN397" s="27" t="str">
        <f aca="false">IF($O397="","",IF(IF($B397="Global",COUNTIF('Rules &amp; Guardrails'!$F$9:$F$60,$O397),COUNTIFS('Rules &amp; Guardrails'!$F$9:$F$60,$O397,'Rules &amp; Guardrails'!$G$9:$G$60,$B397)+COUNTIFS('Rules &amp; Guardrails'!$F$9:$F$60,$O397,'Rules &amp; Guardrails'!$G$9:$G$60,"Global"))&gt;0,"Blackout",""))</f>
        <v/>
      </c>
      <c r="AO397" s="6"/>
      <c r="AP397" s="25"/>
      <c r="AQ397" s="23"/>
      <c r="AR397" s="31" t="str">
        <f aca="false">IF($D397="","",IFERROR(VLOOKUP($D397,'Rules &amp; Guardrails'!$A$9:$D$24,2,0),"Other"))</f>
        <v/>
      </c>
      <c r="AS397" s="31" t="str">
        <f aca="false">IF($O397="","",$O397&amp;"|"&amp;$B397)</f>
        <v/>
      </c>
    </row>
    <row r="398" customFormat="false" ht="15" hidden="false" customHeight="false" outlineLevel="0" collapsed="false">
      <c r="A398" s="23"/>
      <c r="B398" s="23"/>
      <c r="C398" s="23"/>
      <c r="D398" s="23"/>
      <c r="E398" s="23"/>
      <c r="F398" s="23"/>
      <c r="G398" s="6"/>
      <c r="H398" s="6"/>
      <c r="I398" s="23"/>
      <c r="J398" s="23"/>
      <c r="K398" s="23"/>
      <c r="L398" s="6"/>
      <c r="M398" s="6"/>
      <c r="N398" s="24"/>
      <c r="O398" s="25"/>
      <c r="P398" s="23"/>
      <c r="Q398" s="23"/>
      <c r="R398" s="23"/>
      <c r="S398" s="23"/>
      <c r="T398" s="26" t="str">
        <f aca="false">IF(OR($O398="",$D398=""),"",WORKDAY($O398,-IFERROR(VLOOKUP($D398,'Rules &amp; Guardrails'!$A$9:$D$24,3,0),10)))</f>
        <v/>
      </c>
      <c r="U398" s="23"/>
      <c r="V398" s="23"/>
      <c r="W398" s="23"/>
      <c r="X398" s="6"/>
      <c r="Y398" s="23"/>
      <c r="Z398" s="23"/>
      <c r="AA398" s="23"/>
      <c r="AB398" s="23"/>
      <c r="AC398" s="23"/>
      <c r="AD398" s="23"/>
      <c r="AE398" s="23"/>
      <c r="AF398" s="27" t="str">
        <f aca="true">IF($O398="","",IF(OR($AE398="Cancelled",$AE398="On hold",$AE398="Launched"),$AE398,IF(AND($Y398="Approved",OR($Z398="Yes",$Z398="N/A"),OR($AA398="Yes",$AA398="N/A"),OR($AB398="No",$AB398="N/A",AND($AB398="Yes",$AD398="Yes"))),"Ready",IF($O398&lt;TODAY(),"Overdue",IF($O398-TODAY()&lt;='Rules &amp; Guardrails'!$C$5,"At Risk","In Progress")))))</f>
        <v/>
      </c>
      <c r="AG398" s="28" t="str">
        <f aca="false">IF($O398="","",IF(OR($AE398="Launched",$AE398="Cancelled"),"",MID(IF($Y398&lt;&gt;"Approved",", Content approval","")&amp;IF(NOT(OR($Z398="Yes",$Z398="N/A")),", Assets","")&amp;IF(NOT(OR($AA398="Yes",$AA398="N/A")),", List","")&amp;IF($AB398="",", Ops decision",IF(AND($AB398="Yes",$AD398&lt;&gt;"Yes"),", Ops",""))&amp;IF($U398="",", Owner","")&amp;IF($K398="",", Segment",""),3,200)))</f>
        <v/>
      </c>
      <c r="AH398" s="29" t="str">
        <f aca="true">IF($O398="","",$O398-TODAY())</f>
        <v/>
      </c>
      <c r="AI398" s="26" t="str">
        <f aca="false">IF($O398="","",$O398-WEEKDAY($O398,3))</f>
        <v/>
      </c>
      <c r="AJ398" s="30" t="str">
        <f aca="false">IF($O398="","",DATE(YEAR($O398),MONTH($O398),1))</f>
        <v/>
      </c>
      <c r="AK398" s="31" t="str">
        <f aca="false">IF(OR($O398="",$K398=""),"",COUNTIFS('Comms Calendar'!$K$5:$K$504,$K398,'Comms Calendar'!$B$5:$B$504,$B398,'Comms Calendar'!$AI$5:$AI$504,$AI398,'Comms Calendar'!$AE$5:$AE$504,"&lt;&gt;Cancelled"))</f>
        <v/>
      </c>
      <c r="AL398" s="27" t="str">
        <f aca="false">IF($AK398="","",IF($AK398&gt;'Rules &amp; Guardrails'!$C$3,"Over cap","OK"))</f>
        <v/>
      </c>
      <c r="AM398" s="27" t="str">
        <f aca="false">IF(OR($O398="",$K398=""),"",IF(COUNTIFS('Comms Calendar'!$K$5:$K$504,$K398,'Comms Calendar'!$B$5:$B$504,$B398,'Comms Calendar'!$O$5:$O$504,$O398,'Comms Calendar'!$AE$5:$AE$504,"&lt;&gt;Cancelled")&gt;1,"Clash",""))</f>
        <v/>
      </c>
      <c r="AN398" s="27" t="str">
        <f aca="false">IF($O398="","",IF(IF($B398="Global",COUNTIF('Rules &amp; Guardrails'!$F$9:$F$60,$O398),COUNTIFS('Rules &amp; Guardrails'!$F$9:$F$60,$O398,'Rules &amp; Guardrails'!$G$9:$G$60,$B398)+COUNTIFS('Rules &amp; Guardrails'!$F$9:$F$60,$O398,'Rules &amp; Guardrails'!$G$9:$G$60,"Global"))&gt;0,"Blackout",""))</f>
        <v/>
      </c>
      <c r="AO398" s="6"/>
      <c r="AP398" s="25"/>
      <c r="AQ398" s="23"/>
      <c r="AR398" s="31" t="str">
        <f aca="false">IF($D398="","",IFERROR(VLOOKUP($D398,'Rules &amp; Guardrails'!$A$9:$D$24,2,0),"Other"))</f>
        <v/>
      </c>
      <c r="AS398" s="31" t="str">
        <f aca="false">IF($O398="","",$O398&amp;"|"&amp;$B398)</f>
        <v/>
      </c>
    </row>
    <row r="399" customFormat="false" ht="15" hidden="false" customHeight="false" outlineLevel="0" collapsed="false">
      <c r="A399" s="23"/>
      <c r="B399" s="23"/>
      <c r="C399" s="23"/>
      <c r="D399" s="23"/>
      <c r="E399" s="23"/>
      <c r="F399" s="23"/>
      <c r="G399" s="6"/>
      <c r="H399" s="6"/>
      <c r="I399" s="23"/>
      <c r="J399" s="23"/>
      <c r="K399" s="23"/>
      <c r="L399" s="6"/>
      <c r="M399" s="6"/>
      <c r="N399" s="24"/>
      <c r="O399" s="25"/>
      <c r="P399" s="23"/>
      <c r="Q399" s="23"/>
      <c r="R399" s="23"/>
      <c r="S399" s="23"/>
      <c r="T399" s="26" t="str">
        <f aca="false">IF(OR($O399="",$D399=""),"",WORKDAY($O399,-IFERROR(VLOOKUP($D399,'Rules &amp; Guardrails'!$A$9:$D$24,3,0),10)))</f>
        <v/>
      </c>
      <c r="U399" s="23"/>
      <c r="V399" s="23"/>
      <c r="W399" s="23"/>
      <c r="X399" s="6"/>
      <c r="Y399" s="23"/>
      <c r="Z399" s="23"/>
      <c r="AA399" s="23"/>
      <c r="AB399" s="23"/>
      <c r="AC399" s="23"/>
      <c r="AD399" s="23"/>
      <c r="AE399" s="23"/>
      <c r="AF399" s="27" t="str">
        <f aca="true">IF($O399="","",IF(OR($AE399="Cancelled",$AE399="On hold",$AE399="Launched"),$AE399,IF(AND($Y399="Approved",OR($Z399="Yes",$Z399="N/A"),OR($AA399="Yes",$AA399="N/A"),OR($AB399="No",$AB399="N/A",AND($AB399="Yes",$AD399="Yes"))),"Ready",IF($O399&lt;TODAY(),"Overdue",IF($O399-TODAY()&lt;='Rules &amp; Guardrails'!$C$5,"At Risk","In Progress")))))</f>
        <v/>
      </c>
      <c r="AG399" s="28" t="str">
        <f aca="false">IF($O399="","",IF(OR($AE399="Launched",$AE399="Cancelled"),"",MID(IF($Y399&lt;&gt;"Approved",", Content approval","")&amp;IF(NOT(OR($Z399="Yes",$Z399="N/A")),", Assets","")&amp;IF(NOT(OR($AA399="Yes",$AA399="N/A")),", List","")&amp;IF($AB399="",", Ops decision",IF(AND($AB399="Yes",$AD399&lt;&gt;"Yes"),", Ops",""))&amp;IF($U399="",", Owner","")&amp;IF($K399="",", Segment",""),3,200)))</f>
        <v/>
      </c>
      <c r="AH399" s="29" t="str">
        <f aca="true">IF($O399="","",$O399-TODAY())</f>
        <v/>
      </c>
      <c r="AI399" s="26" t="str">
        <f aca="false">IF($O399="","",$O399-WEEKDAY($O399,3))</f>
        <v/>
      </c>
      <c r="AJ399" s="30" t="str">
        <f aca="false">IF($O399="","",DATE(YEAR($O399),MONTH($O399),1))</f>
        <v/>
      </c>
      <c r="AK399" s="31" t="str">
        <f aca="false">IF(OR($O399="",$K399=""),"",COUNTIFS('Comms Calendar'!$K$5:$K$504,$K399,'Comms Calendar'!$B$5:$B$504,$B399,'Comms Calendar'!$AI$5:$AI$504,$AI399,'Comms Calendar'!$AE$5:$AE$504,"&lt;&gt;Cancelled"))</f>
        <v/>
      </c>
      <c r="AL399" s="27" t="str">
        <f aca="false">IF($AK399="","",IF($AK399&gt;'Rules &amp; Guardrails'!$C$3,"Over cap","OK"))</f>
        <v/>
      </c>
      <c r="AM399" s="27" t="str">
        <f aca="false">IF(OR($O399="",$K399=""),"",IF(COUNTIFS('Comms Calendar'!$K$5:$K$504,$K399,'Comms Calendar'!$B$5:$B$504,$B399,'Comms Calendar'!$O$5:$O$504,$O399,'Comms Calendar'!$AE$5:$AE$504,"&lt;&gt;Cancelled")&gt;1,"Clash",""))</f>
        <v/>
      </c>
      <c r="AN399" s="27" t="str">
        <f aca="false">IF($O399="","",IF(IF($B399="Global",COUNTIF('Rules &amp; Guardrails'!$F$9:$F$60,$O399),COUNTIFS('Rules &amp; Guardrails'!$F$9:$F$60,$O399,'Rules &amp; Guardrails'!$G$9:$G$60,$B399)+COUNTIFS('Rules &amp; Guardrails'!$F$9:$F$60,$O399,'Rules &amp; Guardrails'!$G$9:$G$60,"Global"))&gt;0,"Blackout",""))</f>
        <v/>
      </c>
      <c r="AO399" s="6"/>
      <c r="AP399" s="25"/>
      <c r="AQ399" s="23"/>
      <c r="AR399" s="31" t="str">
        <f aca="false">IF($D399="","",IFERROR(VLOOKUP($D399,'Rules &amp; Guardrails'!$A$9:$D$24,2,0),"Other"))</f>
        <v/>
      </c>
      <c r="AS399" s="31" t="str">
        <f aca="false">IF($O399="","",$O399&amp;"|"&amp;$B399)</f>
        <v/>
      </c>
    </row>
    <row r="400" customFormat="false" ht="15" hidden="false" customHeight="false" outlineLevel="0" collapsed="false">
      <c r="A400" s="23"/>
      <c r="B400" s="23"/>
      <c r="C400" s="23"/>
      <c r="D400" s="23"/>
      <c r="E400" s="23"/>
      <c r="F400" s="23"/>
      <c r="G400" s="6"/>
      <c r="H400" s="6"/>
      <c r="I400" s="23"/>
      <c r="J400" s="23"/>
      <c r="K400" s="23"/>
      <c r="L400" s="6"/>
      <c r="M400" s="6"/>
      <c r="N400" s="24"/>
      <c r="O400" s="25"/>
      <c r="P400" s="23"/>
      <c r="Q400" s="23"/>
      <c r="R400" s="23"/>
      <c r="S400" s="23"/>
      <c r="T400" s="26" t="str">
        <f aca="false">IF(OR($O400="",$D400=""),"",WORKDAY($O400,-IFERROR(VLOOKUP($D400,'Rules &amp; Guardrails'!$A$9:$D$24,3,0),10)))</f>
        <v/>
      </c>
      <c r="U400" s="23"/>
      <c r="V400" s="23"/>
      <c r="W400" s="23"/>
      <c r="X400" s="6"/>
      <c r="Y400" s="23"/>
      <c r="Z400" s="23"/>
      <c r="AA400" s="23"/>
      <c r="AB400" s="23"/>
      <c r="AC400" s="23"/>
      <c r="AD400" s="23"/>
      <c r="AE400" s="23"/>
      <c r="AF400" s="27" t="str">
        <f aca="true">IF($O400="","",IF(OR($AE400="Cancelled",$AE400="On hold",$AE400="Launched"),$AE400,IF(AND($Y400="Approved",OR($Z400="Yes",$Z400="N/A"),OR($AA400="Yes",$AA400="N/A"),OR($AB400="No",$AB400="N/A",AND($AB400="Yes",$AD400="Yes"))),"Ready",IF($O400&lt;TODAY(),"Overdue",IF($O400-TODAY()&lt;='Rules &amp; Guardrails'!$C$5,"At Risk","In Progress")))))</f>
        <v/>
      </c>
      <c r="AG400" s="28" t="str">
        <f aca="false">IF($O400="","",IF(OR($AE400="Launched",$AE400="Cancelled"),"",MID(IF($Y400&lt;&gt;"Approved",", Content approval","")&amp;IF(NOT(OR($Z400="Yes",$Z400="N/A")),", Assets","")&amp;IF(NOT(OR($AA400="Yes",$AA400="N/A")),", List","")&amp;IF($AB400="",", Ops decision",IF(AND($AB400="Yes",$AD400&lt;&gt;"Yes"),", Ops",""))&amp;IF($U400="",", Owner","")&amp;IF($K400="",", Segment",""),3,200)))</f>
        <v/>
      </c>
      <c r="AH400" s="29" t="str">
        <f aca="true">IF($O400="","",$O400-TODAY())</f>
        <v/>
      </c>
      <c r="AI400" s="26" t="str">
        <f aca="false">IF($O400="","",$O400-WEEKDAY($O400,3))</f>
        <v/>
      </c>
      <c r="AJ400" s="30" t="str">
        <f aca="false">IF($O400="","",DATE(YEAR($O400),MONTH($O400),1))</f>
        <v/>
      </c>
      <c r="AK400" s="31" t="str">
        <f aca="false">IF(OR($O400="",$K400=""),"",COUNTIFS('Comms Calendar'!$K$5:$K$504,$K400,'Comms Calendar'!$B$5:$B$504,$B400,'Comms Calendar'!$AI$5:$AI$504,$AI400,'Comms Calendar'!$AE$5:$AE$504,"&lt;&gt;Cancelled"))</f>
        <v/>
      </c>
      <c r="AL400" s="27" t="str">
        <f aca="false">IF($AK400="","",IF($AK400&gt;'Rules &amp; Guardrails'!$C$3,"Over cap","OK"))</f>
        <v/>
      </c>
      <c r="AM400" s="27" t="str">
        <f aca="false">IF(OR($O400="",$K400=""),"",IF(COUNTIFS('Comms Calendar'!$K$5:$K$504,$K400,'Comms Calendar'!$B$5:$B$504,$B400,'Comms Calendar'!$O$5:$O$504,$O400,'Comms Calendar'!$AE$5:$AE$504,"&lt;&gt;Cancelled")&gt;1,"Clash",""))</f>
        <v/>
      </c>
      <c r="AN400" s="27" t="str">
        <f aca="false">IF($O400="","",IF(IF($B400="Global",COUNTIF('Rules &amp; Guardrails'!$F$9:$F$60,$O400),COUNTIFS('Rules &amp; Guardrails'!$F$9:$F$60,$O400,'Rules &amp; Guardrails'!$G$9:$G$60,$B400)+COUNTIFS('Rules &amp; Guardrails'!$F$9:$F$60,$O400,'Rules &amp; Guardrails'!$G$9:$G$60,"Global"))&gt;0,"Blackout",""))</f>
        <v/>
      </c>
      <c r="AO400" s="6"/>
      <c r="AP400" s="25"/>
      <c r="AQ400" s="23"/>
      <c r="AR400" s="31" t="str">
        <f aca="false">IF($D400="","",IFERROR(VLOOKUP($D400,'Rules &amp; Guardrails'!$A$9:$D$24,2,0),"Other"))</f>
        <v/>
      </c>
      <c r="AS400" s="31" t="str">
        <f aca="false">IF($O400="","",$O400&amp;"|"&amp;$B400)</f>
        <v/>
      </c>
    </row>
    <row r="401" customFormat="false" ht="15" hidden="false" customHeight="false" outlineLevel="0" collapsed="false">
      <c r="A401" s="23"/>
      <c r="B401" s="23"/>
      <c r="C401" s="23"/>
      <c r="D401" s="23"/>
      <c r="E401" s="23"/>
      <c r="F401" s="23"/>
      <c r="G401" s="6"/>
      <c r="H401" s="6"/>
      <c r="I401" s="23"/>
      <c r="J401" s="23"/>
      <c r="K401" s="23"/>
      <c r="L401" s="6"/>
      <c r="M401" s="6"/>
      <c r="N401" s="24"/>
      <c r="O401" s="25"/>
      <c r="P401" s="23"/>
      <c r="Q401" s="23"/>
      <c r="R401" s="23"/>
      <c r="S401" s="23"/>
      <c r="T401" s="26" t="str">
        <f aca="false">IF(OR($O401="",$D401=""),"",WORKDAY($O401,-IFERROR(VLOOKUP($D401,'Rules &amp; Guardrails'!$A$9:$D$24,3,0),10)))</f>
        <v/>
      </c>
      <c r="U401" s="23"/>
      <c r="V401" s="23"/>
      <c r="W401" s="23"/>
      <c r="X401" s="6"/>
      <c r="Y401" s="23"/>
      <c r="Z401" s="23"/>
      <c r="AA401" s="23"/>
      <c r="AB401" s="23"/>
      <c r="AC401" s="23"/>
      <c r="AD401" s="23"/>
      <c r="AE401" s="23"/>
      <c r="AF401" s="27" t="str">
        <f aca="true">IF($O401="","",IF(OR($AE401="Cancelled",$AE401="On hold",$AE401="Launched"),$AE401,IF(AND($Y401="Approved",OR($Z401="Yes",$Z401="N/A"),OR($AA401="Yes",$AA401="N/A"),OR($AB401="No",$AB401="N/A",AND($AB401="Yes",$AD401="Yes"))),"Ready",IF($O401&lt;TODAY(),"Overdue",IF($O401-TODAY()&lt;='Rules &amp; Guardrails'!$C$5,"At Risk","In Progress")))))</f>
        <v/>
      </c>
      <c r="AG401" s="28" t="str">
        <f aca="false">IF($O401="","",IF(OR($AE401="Launched",$AE401="Cancelled"),"",MID(IF($Y401&lt;&gt;"Approved",", Content approval","")&amp;IF(NOT(OR($Z401="Yes",$Z401="N/A")),", Assets","")&amp;IF(NOT(OR($AA401="Yes",$AA401="N/A")),", List","")&amp;IF($AB401="",", Ops decision",IF(AND($AB401="Yes",$AD401&lt;&gt;"Yes"),", Ops",""))&amp;IF($U401="",", Owner","")&amp;IF($K401="",", Segment",""),3,200)))</f>
        <v/>
      </c>
      <c r="AH401" s="29" t="str">
        <f aca="true">IF($O401="","",$O401-TODAY())</f>
        <v/>
      </c>
      <c r="AI401" s="26" t="str">
        <f aca="false">IF($O401="","",$O401-WEEKDAY($O401,3))</f>
        <v/>
      </c>
      <c r="AJ401" s="30" t="str">
        <f aca="false">IF($O401="","",DATE(YEAR($O401),MONTH($O401),1))</f>
        <v/>
      </c>
      <c r="AK401" s="31" t="str">
        <f aca="false">IF(OR($O401="",$K401=""),"",COUNTIFS('Comms Calendar'!$K$5:$K$504,$K401,'Comms Calendar'!$B$5:$B$504,$B401,'Comms Calendar'!$AI$5:$AI$504,$AI401,'Comms Calendar'!$AE$5:$AE$504,"&lt;&gt;Cancelled"))</f>
        <v/>
      </c>
      <c r="AL401" s="27" t="str">
        <f aca="false">IF($AK401="","",IF($AK401&gt;'Rules &amp; Guardrails'!$C$3,"Over cap","OK"))</f>
        <v/>
      </c>
      <c r="AM401" s="27" t="str">
        <f aca="false">IF(OR($O401="",$K401=""),"",IF(COUNTIFS('Comms Calendar'!$K$5:$K$504,$K401,'Comms Calendar'!$B$5:$B$504,$B401,'Comms Calendar'!$O$5:$O$504,$O401,'Comms Calendar'!$AE$5:$AE$504,"&lt;&gt;Cancelled")&gt;1,"Clash",""))</f>
        <v/>
      </c>
      <c r="AN401" s="27" t="str">
        <f aca="false">IF($O401="","",IF(IF($B401="Global",COUNTIF('Rules &amp; Guardrails'!$F$9:$F$60,$O401),COUNTIFS('Rules &amp; Guardrails'!$F$9:$F$60,$O401,'Rules &amp; Guardrails'!$G$9:$G$60,$B401)+COUNTIFS('Rules &amp; Guardrails'!$F$9:$F$60,$O401,'Rules &amp; Guardrails'!$G$9:$G$60,"Global"))&gt;0,"Blackout",""))</f>
        <v/>
      </c>
      <c r="AO401" s="6"/>
      <c r="AP401" s="25"/>
      <c r="AQ401" s="23"/>
      <c r="AR401" s="31" t="str">
        <f aca="false">IF($D401="","",IFERROR(VLOOKUP($D401,'Rules &amp; Guardrails'!$A$9:$D$24,2,0),"Other"))</f>
        <v/>
      </c>
      <c r="AS401" s="31" t="str">
        <f aca="false">IF($O401="","",$O401&amp;"|"&amp;$B401)</f>
        <v/>
      </c>
    </row>
    <row r="402" customFormat="false" ht="15" hidden="false" customHeight="false" outlineLevel="0" collapsed="false">
      <c r="A402" s="23"/>
      <c r="B402" s="23"/>
      <c r="C402" s="23"/>
      <c r="D402" s="23"/>
      <c r="E402" s="23"/>
      <c r="F402" s="23"/>
      <c r="G402" s="6"/>
      <c r="H402" s="6"/>
      <c r="I402" s="23"/>
      <c r="J402" s="23"/>
      <c r="K402" s="23"/>
      <c r="L402" s="6"/>
      <c r="M402" s="6"/>
      <c r="N402" s="24"/>
      <c r="O402" s="25"/>
      <c r="P402" s="23"/>
      <c r="Q402" s="23"/>
      <c r="R402" s="23"/>
      <c r="S402" s="23"/>
      <c r="T402" s="26" t="str">
        <f aca="false">IF(OR($O402="",$D402=""),"",WORKDAY($O402,-IFERROR(VLOOKUP($D402,'Rules &amp; Guardrails'!$A$9:$D$24,3,0),10)))</f>
        <v/>
      </c>
      <c r="U402" s="23"/>
      <c r="V402" s="23"/>
      <c r="W402" s="23"/>
      <c r="X402" s="6"/>
      <c r="Y402" s="23"/>
      <c r="Z402" s="23"/>
      <c r="AA402" s="23"/>
      <c r="AB402" s="23"/>
      <c r="AC402" s="23"/>
      <c r="AD402" s="23"/>
      <c r="AE402" s="23"/>
      <c r="AF402" s="27" t="str">
        <f aca="true">IF($O402="","",IF(OR($AE402="Cancelled",$AE402="On hold",$AE402="Launched"),$AE402,IF(AND($Y402="Approved",OR($Z402="Yes",$Z402="N/A"),OR($AA402="Yes",$AA402="N/A"),OR($AB402="No",$AB402="N/A",AND($AB402="Yes",$AD402="Yes"))),"Ready",IF($O402&lt;TODAY(),"Overdue",IF($O402-TODAY()&lt;='Rules &amp; Guardrails'!$C$5,"At Risk","In Progress")))))</f>
        <v/>
      </c>
      <c r="AG402" s="28" t="str">
        <f aca="false">IF($O402="","",IF(OR($AE402="Launched",$AE402="Cancelled"),"",MID(IF($Y402&lt;&gt;"Approved",", Content approval","")&amp;IF(NOT(OR($Z402="Yes",$Z402="N/A")),", Assets","")&amp;IF(NOT(OR($AA402="Yes",$AA402="N/A")),", List","")&amp;IF($AB402="",", Ops decision",IF(AND($AB402="Yes",$AD402&lt;&gt;"Yes"),", Ops",""))&amp;IF($U402="",", Owner","")&amp;IF($K402="",", Segment",""),3,200)))</f>
        <v/>
      </c>
      <c r="AH402" s="29" t="str">
        <f aca="true">IF($O402="","",$O402-TODAY())</f>
        <v/>
      </c>
      <c r="AI402" s="26" t="str">
        <f aca="false">IF($O402="","",$O402-WEEKDAY($O402,3))</f>
        <v/>
      </c>
      <c r="AJ402" s="30" t="str">
        <f aca="false">IF($O402="","",DATE(YEAR($O402),MONTH($O402),1))</f>
        <v/>
      </c>
      <c r="AK402" s="31" t="str">
        <f aca="false">IF(OR($O402="",$K402=""),"",COUNTIFS('Comms Calendar'!$K$5:$K$504,$K402,'Comms Calendar'!$B$5:$B$504,$B402,'Comms Calendar'!$AI$5:$AI$504,$AI402,'Comms Calendar'!$AE$5:$AE$504,"&lt;&gt;Cancelled"))</f>
        <v/>
      </c>
      <c r="AL402" s="27" t="str">
        <f aca="false">IF($AK402="","",IF($AK402&gt;'Rules &amp; Guardrails'!$C$3,"Over cap","OK"))</f>
        <v/>
      </c>
      <c r="AM402" s="27" t="str">
        <f aca="false">IF(OR($O402="",$K402=""),"",IF(COUNTIFS('Comms Calendar'!$K$5:$K$504,$K402,'Comms Calendar'!$B$5:$B$504,$B402,'Comms Calendar'!$O$5:$O$504,$O402,'Comms Calendar'!$AE$5:$AE$504,"&lt;&gt;Cancelled")&gt;1,"Clash",""))</f>
        <v/>
      </c>
      <c r="AN402" s="27" t="str">
        <f aca="false">IF($O402="","",IF(IF($B402="Global",COUNTIF('Rules &amp; Guardrails'!$F$9:$F$60,$O402),COUNTIFS('Rules &amp; Guardrails'!$F$9:$F$60,$O402,'Rules &amp; Guardrails'!$G$9:$G$60,$B402)+COUNTIFS('Rules &amp; Guardrails'!$F$9:$F$60,$O402,'Rules &amp; Guardrails'!$G$9:$G$60,"Global"))&gt;0,"Blackout",""))</f>
        <v/>
      </c>
      <c r="AO402" s="6"/>
      <c r="AP402" s="25"/>
      <c r="AQ402" s="23"/>
      <c r="AR402" s="31" t="str">
        <f aca="false">IF($D402="","",IFERROR(VLOOKUP($D402,'Rules &amp; Guardrails'!$A$9:$D$24,2,0),"Other"))</f>
        <v/>
      </c>
      <c r="AS402" s="31" t="str">
        <f aca="false">IF($O402="","",$O402&amp;"|"&amp;$B402)</f>
        <v/>
      </c>
    </row>
    <row r="403" customFormat="false" ht="15" hidden="false" customHeight="false" outlineLevel="0" collapsed="false">
      <c r="A403" s="23"/>
      <c r="B403" s="23"/>
      <c r="C403" s="23"/>
      <c r="D403" s="23"/>
      <c r="E403" s="23"/>
      <c r="F403" s="23"/>
      <c r="G403" s="6"/>
      <c r="H403" s="6"/>
      <c r="I403" s="23"/>
      <c r="J403" s="23"/>
      <c r="K403" s="23"/>
      <c r="L403" s="6"/>
      <c r="M403" s="6"/>
      <c r="N403" s="24"/>
      <c r="O403" s="25"/>
      <c r="P403" s="23"/>
      <c r="Q403" s="23"/>
      <c r="R403" s="23"/>
      <c r="S403" s="23"/>
      <c r="T403" s="26" t="str">
        <f aca="false">IF(OR($O403="",$D403=""),"",WORKDAY($O403,-IFERROR(VLOOKUP($D403,'Rules &amp; Guardrails'!$A$9:$D$24,3,0),10)))</f>
        <v/>
      </c>
      <c r="U403" s="23"/>
      <c r="V403" s="23"/>
      <c r="W403" s="23"/>
      <c r="X403" s="6"/>
      <c r="Y403" s="23"/>
      <c r="Z403" s="23"/>
      <c r="AA403" s="23"/>
      <c r="AB403" s="23"/>
      <c r="AC403" s="23"/>
      <c r="AD403" s="23"/>
      <c r="AE403" s="23"/>
      <c r="AF403" s="27" t="str">
        <f aca="true">IF($O403="","",IF(OR($AE403="Cancelled",$AE403="On hold",$AE403="Launched"),$AE403,IF(AND($Y403="Approved",OR($Z403="Yes",$Z403="N/A"),OR($AA403="Yes",$AA403="N/A"),OR($AB403="No",$AB403="N/A",AND($AB403="Yes",$AD403="Yes"))),"Ready",IF($O403&lt;TODAY(),"Overdue",IF($O403-TODAY()&lt;='Rules &amp; Guardrails'!$C$5,"At Risk","In Progress")))))</f>
        <v/>
      </c>
      <c r="AG403" s="28" t="str">
        <f aca="false">IF($O403="","",IF(OR($AE403="Launched",$AE403="Cancelled"),"",MID(IF($Y403&lt;&gt;"Approved",", Content approval","")&amp;IF(NOT(OR($Z403="Yes",$Z403="N/A")),", Assets","")&amp;IF(NOT(OR($AA403="Yes",$AA403="N/A")),", List","")&amp;IF($AB403="",", Ops decision",IF(AND($AB403="Yes",$AD403&lt;&gt;"Yes"),", Ops",""))&amp;IF($U403="",", Owner","")&amp;IF($K403="",", Segment",""),3,200)))</f>
        <v/>
      </c>
      <c r="AH403" s="29" t="str">
        <f aca="true">IF($O403="","",$O403-TODAY())</f>
        <v/>
      </c>
      <c r="AI403" s="26" t="str">
        <f aca="false">IF($O403="","",$O403-WEEKDAY($O403,3))</f>
        <v/>
      </c>
      <c r="AJ403" s="30" t="str">
        <f aca="false">IF($O403="","",DATE(YEAR($O403),MONTH($O403),1))</f>
        <v/>
      </c>
      <c r="AK403" s="31" t="str">
        <f aca="false">IF(OR($O403="",$K403=""),"",COUNTIFS('Comms Calendar'!$K$5:$K$504,$K403,'Comms Calendar'!$B$5:$B$504,$B403,'Comms Calendar'!$AI$5:$AI$504,$AI403,'Comms Calendar'!$AE$5:$AE$504,"&lt;&gt;Cancelled"))</f>
        <v/>
      </c>
      <c r="AL403" s="27" t="str">
        <f aca="false">IF($AK403="","",IF($AK403&gt;'Rules &amp; Guardrails'!$C$3,"Over cap","OK"))</f>
        <v/>
      </c>
      <c r="AM403" s="27" t="str">
        <f aca="false">IF(OR($O403="",$K403=""),"",IF(COUNTIFS('Comms Calendar'!$K$5:$K$504,$K403,'Comms Calendar'!$B$5:$B$504,$B403,'Comms Calendar'!$O$5:$O$504,$O403,'Comms Calendar'!$AE$5:$AE$504,"&lt;&gt;Cancelled")&gt;1,"Clash",""))</f>
        <v/>
      </c>
      <c r="AN403" s="27" t="str">
        <f aca="false">IF($O403="","",IF(IF($B403="Global",COUNTIF('Rules &amp; Guardrails'!$F$9:$F$60,$O403),COUNTIFS('Rules &amp; Guardrails'!$F$9:$F$60,$O403,'Rules &amp; Guardrails'!$G$9:$G$60,$B403)+COUNTIFS('Rules &amp; Guardrails'!$F$9:$F$60,$O403,'Rules &amp; Guardrails'!$G$9:$G$60,"Global"))&gt;0,"Blackout",""))</f>
        <v/>
      </c>
      <c r="AO403" s="6"/>
      <c r="AP403" s="25"/>
      <c r="AQ403" s="23"/>
      <c r="AR403" s="31" t="str">
        <f aca="false">IF($D403="","",IFERROR(VLOOKUP($D403,'Rules &amp; Guardrails'!$A$9:$D$24,2,0),"Other"))</f>
        <v/>
      </c>
      <c r="AS403" s="31" t="str">
        <f aca="false">IF($O403="","",$O403&amp;"|"&amp;$B403)</f>
        <v/>
      </c>
    </row>
    <row r="404" customFormat="false" ht="15" hidden="false" customHeight="false" outlineLevel="0" collapsed="false">
      <c r="A404" s="23"/>
      <c r="B404" s="23"/>
      <c r="C404" s="23"/>
      <c r="D404" s="23"/>
      <c r="E404" s="23"/>
      <c r="F404" s="23"/>
      <c r="G404" s="6"/>
      <c r="H404" s="6"/>
      <c r="I404" s="23"/>
      <c r="J404" s="23"/>
      <c r="K404" s="23"/>
      <c r="L404" s="6"/>
      <c r="M404" s="6"/>
      <c r="N404" s="24"/>
      <c r="O404" s="25"/>
      <c r="P404" s="23"/>
      <c r="Q404" s="23"/>
      <c r="R404" s="23"/>
      <c r="S404" s="23"/>
      <c r="T404" s="26" t="str">
        <f aca="false">IF(OR($O404="",$D404=""),"",WORKDAY($O404,-IFERROR(VLOOKUP($D404,'Rules &amp; Guardrails'!$A$9:$D$24,3,0),10)))</f>
        <v/>
      </c>
      <c r="U404" s="23"/>
      <c r="V404" s="23"/>
      <c r="W404" s="23"/>
      <c r="X404" s="6"/>
      <c r="Y404" s="23"/>
      <c r="Z404" s="23"/>
      <c r="AA404" s="23"/>
      <c r="AB404" s="23"/>
      <c r="AC404" s="23"/>
      <c r="AD404" s="23"/>
      <c r="AE404" s="23"/>
      <c r="AF404" s="27" t="str">
        <f aca="true">IF($O404="","",IF(OR($AE404="Cancelled",$AE404="On hold",$AE404="Launched"),$AE404,IF(AND($Y404="Approved",OR($Z404="Yes",$Z404="N/A"),OR($AA404="Yes",$AA404="N/A"),OR($AB404="No",$AB404="N/A",AND($AB404="Yes",$AD404="Yes"))),"Ready",IF($O404&lt;TODAY(),"Overdue",IF($O404-TODAY()&lt;='Rules &amp; Guardrails'!$C$5,"At Risk","In Progress")))))</f>
        <v/>
      </c>
      <c r="AG404" s="28" t="str">
        <f aca="false">IF($O404="","",IF(OR($AE404="Launched",$AE404="Cancelled"),"",MID(IF($Y404&lt;&gt;"Approved",", Content approval","")&amp;IF(NOT(OR($Z404="Yes",$Z404="N/A")),", Assets","")&amp;IF(NOT(OR($AA404="Yes",$AA404="N/A")),", List","")&amp;IF($AB404="",", Ops decision",IF(AND($AB404="Yes",$AD404&lt;&gt;"Yes"),", Ops",""))&amp;IF($U404="",", Owner","")&amp;IF($K404="",", Segment",""),3,200)))</f>
        <v/>
      </c>
      <c r="AH404" s="29" t="str">
        <f aca="true">IF($O404="","",$O404-TODAY())</f>
        <v/>
      </c>
      <c r="AI404" s="26" t="str">
        <f aca="false">IF($O404="","",$O404-WEEKDAY($O404,3))</f>
        <v/>
      </c>
      <c r="AJ404" s="30" t="str">
        <f aca="false">IF($O404="","",DATE(YEAR($O404),MONTH($O404),1))</f>
        <v/>
      </c>
      <c r="AK404" s="31" t="str">
        <f aca="false">IF(OR($O404="",$K404=""),"",COUNTIFS('Comms Calendar'!$K$5:$K$504,$K404,'Comms Calendar'!$B$5:$B$504,$B404,'Comms Calendar'!$AI$5:$AI$504,$AI404,'Comms Calendar'!$AE$5:$AE$504,"&lt;&gt;Cancelled"))</f>
        <v/>
      </c>
      <c r="AL404" s="27" t="str">
        <f aca="false">IF($AK404="","",IF($AK404&gt;'Rules &amp; Guardrails'!$C$3,"Over cap","OK"))</f>
        <v/>
      </c>
      <c r="AM404" s="27" t="str">
        <f aca="false">IF(OR($O404="",$K404=""),"",IF(COUNTIFS('Comms Calendar'!$K$5:$K$504,$K404,'Comms Calendar'!$B$5:$B$504,$B404,'Comms Calendar'!$O$5:$O$504,$O404,'Comms Calendar'!$AE$5:$AE$504,"&lt;&gt;Cancelled")&gt;1,"Clash",""))</f>
        <v/>
      </c>
      <c r="AN404" s="27" t="str">
        <f aca="false">IF($O404="","",IF(IF($B404="Global",COUNTIF('Rules &amp; Guardrails'!$F$9:$F$60,$O404),COUNTIFS('Rules &amp; Guardrails'!$F$9:$F$60,$O404,'Rules &amp; Guardrails'!$G$9:$G$60,$B404)+COUNTIFS('Rules &amp; Guardrails'!$F$9:$F$60,$O404,'Rules &amp; Guardrails'!$G$9:$G$60,"Global"))&gt;0,"Blackout",""))</f>
        <v/>
      </c>
      <c r="AO404" s="6"/>
      <c r="AP404" s="25"/>
      <c r="AQ404" s="23"/>
      <c r="AR404" s="31" t="str">
        <f aca="false">IF($D404="","",IFERROR(VLOOKUP($D404,'Rules &amp; Guardrails'!$A$9:$D$24,2,0),"Other"))</f>
        <v/>
      </c>
      <c r="AS404" s="31" t="str">
        <f aca="false">IF($O404="","",$O404&amp;"|"&amp;$B404)</f>
        <v/>
      </c>
    </row>
    <row r="405" customFormat="false" ht="15" hidden="false" customHeight="false" outlineLevel="0" collapsed="false">
      <c r="A405" s="23"/>
      <c r="B405" s="23"/>
      <c r="C405" s="23"/>
      <c r="D405" s="23"/>
      <c r="E405" s="23"/>
      <c r="F405" s="23"/>
      <c r="G405" s="6"/>
      <c r="H405" s="6"/>
      <c r="I405" s="23"/>
      <c r="J405" s="23"/>
      <c r="K405" s="23"/>
      <c r="L405" s="6"/>
      <c r="M405" s="6"/>
      <c r="N405" s="24"/>
      <c r="O405" s="25"/>
      <c r="P405" s="23"/>
      <c r="Q405" s="23"/>
      <c r="R405" s="23"/>
      <c r="S405" s="23"/>
      <c r="T405" s="26" t="str">
        <f aca="false">IF(OR($O405="",$D405=""),"",WORKDAY($O405,-IFERROR(VLOOKUP($D405,'Rules &amp; Guardrails'!$A$9:$D$24,3,0),10)))</f>
        <v/>
      </c>
      <c r="U405" s="23"/>
      <c r="V405" s="23"/>
      <c r="W405" s="23"/>
      <c r="X405" s="6"/>
      <c r="Y405" s="23"/>
      <c r="Z405" s="23"/>
      <c r="AA405" s="23"/>
      <c r="AB405" s="23"/>
      <c r="AC405" s="23"/>
      <c r="AD405" s="23"/>
      <c r="AE405" s="23"/>
      <c r="AF405" s="27" t="str">
        <f aca="true">IF($O405="","",IF(OR($AE405="Cancelled",$AE405="On hold",$AE405="Launched"),$AE405,IF(AND($Y405="Approved",OR($Z405="Yes",$Z405="N/A"),OR($AA405="Yes",$AA405="N/A"),OR($AB405="No",$AB405="N/A",AND($AB405="Yes",$AD405="Yes"))),"Ready",IF($O405&lt;TODAY(),"Overdue",IF($O405-TODAY()&lt;='Rules &amp; Guardrails'!$C$5,"At Risk","In Progress")))))</f>
        <v/>
      </c>
      <c r="AG405" s="28" t="str">
        <f aca="false">IF($O405="","",IF(OR($AE405="Launched",$AE405="Cancelled"),"",MID(IF($Y405&lt;&gt;"Approved",", Content approval","")&amp;IF(NOT(OR($Z405="Yes",$Z405="N/A")),", Assets","")&amp;IF(NOT(OR($AA405="Yes",$AA405="N/A")),", List","")&amp;IF($AB405="",", Ops decision",IF(AND($AB405="Yes",$AD405&lt;&gt;"Yes"),", Ops",""))&amp;IF($U405="",", Owner","")&amp;IF($K405="",", Segment",""),3,200)))</f>
        <v/>
      </c>
      <c r="AH405" s="29" t="str">
        <f aca="true">IF($O405="","",$O405-TODAY())</f>
        <v/>
      </c>
      <c r="AI405" s="26" t="str">
        <f aca="false">IF($O405="","",$O405-WEEKDAY($O405,3))</f>
        <v/>
      </c>
      <c r="AJ405" s="30" t="str">
        <f aca="false">IF($O405="","",DATE(YEAR($O405),MONTH($O405),1))</f>
        <v/>
      </c>
      <c r="AK405" s="31" t="str">
        <f aca="false">IF(OR($O405="",$K405=""),"",COUNTIFS('Comms Calendar'!$K$5:$K$504,$K405,'Comms Calendar'!$B$5:$B$504,$B405,'Comms Calendar'!$AI$5:$AI$504,$AI405,'Comms Calendar'!$AE$5:$AE$504,"&lt;&gt;Cancelled"))</f>
        <v/>
      </c>
      <c r="AL405" s="27" t="str">
        <f aca="false">IF($AK405="","",IF($AK405&gt;'Rules &amp; Guardrails'!$C$3,"Over cap","OK"))</f>
        <v/>
      </c>
      <c r="AM405" s="27" t="str">
        <f aca="false">IF(OR($O405="",$K405=""),"",IF(COUNTIFS('Comms Calendar'!$K$5:$K$504,$K405,'Comms Calendar'!$B$5:$B$504,$B405,'Comms Calendar'!$O$5:$O$504,$O405,'Comms Calendar'!$AE$5:$AE$504,"&lt;&gt;Cancelled")&gt;1,"Clash",""))</f>
        <v/>
      </c>
      <c r="AN405" s="27" t="str">
        <f aca="false">IF($O405="","",IF(IF($B405="Global",COUNTIF('Rules &amp; Guardrails'!$F$9:$F$60,$O405),COUNTIFS('Rules &amp; Guardrails'!$F$9:$F$60,$O405,'Rules &amp; Guardrails'!$G$9:$G$60,$B405)+COUNTIFS('Rules &amp; Guardrails'!$F$9:$F$60,$O405,'Rules &amp; Guardrails'!$G$9:$G$60,"Global"))&gt;0,"Blackout",""))</f>
        <v/>
      </c>
      <c r="AO405" s="6"/>
      <c r="AP405" s="25"/>
      <c r="AQ405" s="23"/>
      <c r="AR405" s="31" t="str">
        <f aca="false">IF($D405="","",IFERROR(VLOOKUP($D405,'Rules &amp; Guardrails'!$A$9:$D$24,2,0),"Other"))</f>
        <v/>
      </c>
      <c r="AS405" s="31" t="str">
        <f aca="false">IF($O405="","",$O405&amp;"|"&amp;$B405)</f>
        <v/>
      </c>
    </row>
    <row r="406" customFormat="false" ht="15" hidden="false" customHeight="false" outlineLevel="0" collapsed="false">
      <c r="A406" s="23"/>
      <c r="B406" s="23"/>
      <c r="C406" s="23"/>
      <c r="D406" s="23"/>
      <c r="E406" s="23"/>
      <c r="F406" s="23"/>
      <c r="G406" s="6"/>
      <c r="H406" s="6"/>
      <c r="I406" s="23"/>
      <c r="J406" s="23"/>
      <c r="K406" s="23"/>
      <c r="L406" s="6"/>
      <c r="M406" s="6"/>
      <c r="N406" s="24"/>
      <c r="O406" s="25"/>
      <c r="P406" s="23"/>
      <c r="Q406" s="23"/>
      <c r="R406" s="23"/>
      <c r="S406" s="23"/>
      <c r="T406" s="26" t="str">
        <f aca="false">IF(OR($O406="",$D406=""),"",WORKDAY($O406,-IFERROR(VLOOKUP($D406,'Rules &amp; Guardrails'!$A$9:$D$24,3,0),10)))</f>
        <v/>
      </c>
      <c r="U406" s="23"/>
      <c r="V406" s="23"/>
      <c r="W406" s="23"/>
      <c r="X406" s="6"/>
      <c r="Y406" s="23"/>
      <c r="Z406" s="23"/>
      <c r="AA406" s="23"/>
      <c r="AB406" s="23"/>
      <c r="AC406" s="23"/>
      <c r="AD406" s="23"/>
      <c r="AE406" s="23"/>
      <c r="AF406" s="27" t="str">
        <f aca="true">IF($O406="","",IF(OR($AE406="Cancelled",$AE406="On hold",$AE406="Launched"),$AE406,IF(AND($Y406="Approved",OR($Z406="Yes",$Z406="N/A"),OR($AA406="Yes",$AA406="N/A"),OR($AB406="No",$AB406="N/A",AND($AB406="Yes",$AD406="Yes"))),"Ready",IF($O406&lt;TODAY(),"Overdue",IF($O406-TODAY()&lt;='Rules &amp; Guardrails'!$C$5,"At Risk","In Progress")))))</f>
        <v/>
      </c>
      <c r="AG406" s="28" t="str">
        <f aca="false">IF($O406="","",IF(OR($AE406="Launched",$AE406="Cancelled"),"",MID(IF($Y406&lt;&gt;"Approved",", Content approval","")&amp;IF(NOT(OR($Z406="Yes",$Z406="N/A")),", Assets","")&amp;IF(NOT(OR($AA406="Yes",$AA406="N/A")),", List","")&amp;IF($AB406="",", Ops decision",IF(AND($AB406="Yes",$AD406&lt;&gt;"Yes"),", Ops",""))&amp;IF($U406="",", Owner","")&amp;IF($K406="",", Segment",""),3,200)))</f>
        <v/>
      </c>
      <c r="AH406" s="29" t="str">
        <f aca="true">IF($O406="","",$O406-TODAY())</f>
        <v/>
      </c>
      <c r="AI406" s="26" t="str">
        <f aca="false">IF($O406="","",$O406-WEEKDAY($O406,3))</f>
        <v/>
      </c>
      <c r="AJ406" s="30" t="str">
        <f aca="false">IF($O406="","",DATE(YEAR($O406),MONTH($O406),1))</f>
        <v/>
      </c>
      <c r="AK406" s="31" t="str">
        <f aca="false">IF(OR($O406="",$K406=""),"",COUNTIFS('Comms Calendar'!$K$5:$K$504,$K406,'Comms Calendar'!$B$5:$B$504,$B406,'Comms Calendar'!$AI$5:$AI$504,$AI406,'Comms Calendar'!$AE$5:$AE$504,"&lt;&gt;Cancelled"))</f>
        <v/>
      </c>
      <c r="AL406" s="27" t="str">
        <f aca="false">IF($AK406="","",IF($AK406&gt;'Rules &amp; Guardrails'!$C$3,"Over cap","OK"))</f>
        <v/>
      </c>
      <c r="AM406" s="27" t="str">
        <f aca="false">IF(OR($O406="",$K406=""),"",IF(COUNTIFS('Comms Calendar'!$K$5:$K$504,$K406,'Comms Calendar'!$B$5:$B$504,$B406,'Comms Calendar'!$O$5:$O$504,$O406,'Comms Calendar'!$AE$5:$AE$504,"&lt;&gt;Cancelled")&gt;1,"Clash",""))</f>
        <v/>
      </c>
      <c r="AN406" s="27" t="str">
        <f aca="false">IF($O406="","",IF(IF($B406="Global",COUNTIF('Rules &amp; Guardrails'!$F$9:$F$60,$O406),COUNTIFS('Rules &amp; Guardrails'!$F$9:$F$60,$O406,'Rules &amp; Guardrails'!$G$9:$G$60,$B406)+COUNTIFS('Rules &amp; Guardrails'!$F$9:$F$60,$O406,'Rules &amp; Guardrails'!$G$9:$G$60,"Global"))&gt;0,"Blackout",""))</f>
        <v/>
      </c>
      <c r="AO406" s="6"/>
      <c r="AP406" s="25"/>
      <c r="AQ406" s="23"/>
      <c r="AR406" s="31" t="str">
        <f aca="false">IF($D406="","",IFERROR(VLOOKUP($D406,'Rules &amp; Guardrails'!$A$9:$D$24,2,0),"Other"))</f>
        <v/>
      </c>
      <c r="AS406" s="31" t="str">
        <f aca="false">IF($O406="","",$O406&amp;"|"&amp;$B406)</f>
        <v/>
      </c>
    </row>
    <row r="407" customFormat="false" ht="15" hidden="false" customHeight="false" outlineLevel="0" collapsed="false">
      <c r="A407" s="23"/>
      <c r="B407" s="23"/>
      <c r="C407" s="23"/>
      <c r="D407" s="23"/>
      <c r="E407" s="23"/>
      <c r="F407" s="23"/>
      <c r="G407" s="6"/>
      <c r="H407" s="6"/>
      <c r="I407" s="23"/>
      <c r="J407" s="23"/>
      <c r="K407" s="23"/>
      <c r="L407" s="6"/>
      <c r="M407" s="6"/>
      <c r="N407" s="24"/>
      <c r="O407" s="25"/>
      <c r="P407" s="23"/>
      <c r="Q407" s="23"/>
      <c r="R407" s="23"/>
      <c r="S407" s="23"/>
      <c r="T407" s="26" t="str">
        <f aca="false">IF(OR($O407="",$D407=""),"",WORKDAY($O407,-IFERROR(VLOOKUP($D407,'Rules &amp; Guardrails'!$A$9:$D$24,3,0),10)))</f>
        <v/>
      </c>
      <c r="U407" s="23"/>
      <c r="V407" s="23"/>
      <c r="W407" s="23"/>
      <c r="X407" s="6"/>
      <c r="Y407" s="23"/>
      <c r="Z407" s="23"/>
      <c r="AA407" s="23"/>
      <c r="AB407" s="23"/>
      <c r="AC407" s="23"/>
      <c r="AD407" s="23"/>
      <c r="AE407" s="23"/>
      <c r="AF407" s="27" t="str">
        <f aca="true">IF($O407="","",IF(OR($AE407="Cancelled",$AE407="On hold",$AE407="Launched"),$AE407,IF(AND($Y407="Approved",OR($Z407="Yes",$Z407="N/A"),OR($AA407="Yes",$AA407="N/A"),OR($AB407="No",$AB407="N/A",AND($AB407="Yes",$AD407="Yes"))),"Ready",IF($O407&lt;TODAY(),"Overdue",IF($O407-TODAY()&lt;='Rules &amp; Guardrails'!$C$5,"At Risk","In Progress")))))</f>
        <v/>
      </c>
      <c r="AG407" s="28" t="str">
        <f aca="false">IF($O407="","",IF(OR($AE407="Launched",$AE407="Cancelled"),"",MID(IF($Y407&lt;&gt;"Approved",", Content approval","")&amp;IF(NOT(OR($Z407="Yes",$Z407="N/A")),", Assets","")&amp;IF(NOT(OR($AA407="Yes",$AA407="N/A")),", List","")&amp;IF($AB407="",", Ops decision",IF(AND($AB407="Yes",$AD407&lt;&gt;"Yes"),", Ops",""))&amp;IF($U407="",", Owner","")&amp;IF($K407="",", Segment",""),3,200)))</f>
        <v/>
      </c>
      <c r="AH407" s="29" t="str">
        <f aca="true">IF($O407="","",$O407-TODAY())</f>
        <v/>
      </c>
      <c r="AI407" s="26" t="str">
        <f aca="false">IF($O407="","",$O407-WEEKDAY($O407,3))</f>
        <v/>
      </c>
      <c r="AJ407" s="30" t="str">
        <f aca="false">IF($O407="","",DATE(YEAR($O407),MONTH($O407),1))</f>
        <v/>
      </c>
      <c r="AK407" s="31" t="str">
        <f aca="false">IF(OR($O407="",$K407=""),"",COUNTIFS('Comms Calendar'!$K$5:$K$504,$K407,'Comms Calendar'!$B$5:$B$504,$B407,'Comms Calendar'!$AI$5:$AI$504,$AI407,'Comms Calendar'!$AE$5:$AE$504,"&lt;&gt;Cancelled"))</f>
        <v/>
      </c>
      <c r="AL407" s="27" t="str">
        <f aca="false">IF($AK407="","",IF($AK407&gt;'Rules &amp; Guardrails'!$C$3,"Over cap","OK"))</f>
        <v/>
      </c>
      <c r="AM407" s="27" t="str">
        <f aca="false">IF(OR($O407="",$K407=""),"",IF(COUNTIFS('Comms Calendar'!$K$5:$K$504,$K407,'Comms Calendar'!$B$5:$B$504,$B407,'Comms Calendar'!$O$5:$O$504,$O407,'Comms Calendar'!$AE$5:$AE$504,"&lt;&gt;Cancelled")&gt;1,"Clash",""))</f>
        <v/>
      </c>
      <c r="AN407" s="27" t="str">
        <f aca="false">IF($O407="","",IF(IF($B407="Global",COUNTIF('Rules &amp; Guardrails'!$F$9:$F$60,$O407),COUNTIFS('Rules &amp; Guardrails'!$F$9:$F$60,$O407,'Rules &amp; Guardrails'!$G$9:$G$60,$B407)+COUNTIFS('Rules &amp; Guardrails'!$F$9:$F$60,$O407,'Rules &amp; Guardrails'!$G$9:$G$60,"Global"))&gt;0,"Blackout",""))</f>
        <v/>
      </c>
      <c r="AO407" s="6"/>
      <c r="AP407" s="25"/>
      <c r="AQ407" s="23"/>
      <c r="AR407" s="31" t="str">
        <f aca="false">IF($D407="","",IFERROR(VLOOKUP($D407,'Rules &amp; Guardrails'!$A$9:$D$24,2,0),"Other"))</f>
        <v/>
      </c>
      <c r="AS407" s="31" t="str">
        <f aca="false">IF($O407="","",$O407&amp;"|"&amp;$B407)</f>
        <v/>
      </c>
    </row>
    <row r="408" customFormat="false" ht="15" hidden="false" customHeight="false" outlineLevel="0" collapsed="false">
      <c r="A408" s="23"/>
      <c r="B408" s="23"/>
      <c r="C408" s="23"/>
      <c r="D408" s="23"/>
      <c r="E408" s="23"/>
      <c r="F408" s="23"/>
      <c r="G408" s="6"/>
      <c r="H408" s="6"/>
      <c r="I408" s="23"/>
      <c r="J408" s="23"/>
      <c r="K408" s="23"/>
      <c r="L408" s="6"/>
      <c r="M408" s="6"/>
      <c r="N408" s="24"/>
      <c r="O408" s="25"/>
      <c r="P408" s="23"/>
      <c r="Q408" s="23"/>
      <c r="R408" s="23"/>
      <c r="S408" s="23"/>
      <c r="T408" s="26" t="str">
        <f aca="false">IF(OR($O408="",$D408=""),"",WORKDAY($O408,-IFERROR(VLOOKUP($D408,'Rules &amp; Guardrails'!$A$9:$D$24,3,0),10)))</f>
        <v/>
      </c>
      <c r="U408" s="23"/>
      <c r="V408" s="23"/>
      <c r="W408" s="23"/>
      <c r="X408" s="6"/>
      <c r="Y408" s="23"/>
      <c r="Z408" s="23"/>
      <c r="AA408" s="23"/>
      <c r="AB408" s="23"/>
      <c r="AC408" s="23"/>
      <c r="AD408" s="23"/>
      <c r="AE408" s="23"/>
      <c r="AF408" s="27" t="str">
        <f aca="true">IF($O408="","",IF(OR($AE408="Cancelled",$AE408="On hold",$AE408="Launched"),$AE408,IF(AND($Y408="Approved",OR($Z408="Yes",$Z408="N/A"),OR($AA408="Yes",$AA408="N/A"),OR($AB408="No",$AB408="N/A",AND($AB408="Yes",$AD408="Yes"))),"Ready",IF($O408&lt;TODAY(),"Overdue",IF($O408-TODAY()&lt;='Rules &amp; Guardrails'!$C$5,"At Risk","In Progress")))))</f>
        <v/>
      </c>
      <c r="AG408" s="28" t="str">
        <f aca="false">IF($O408="","",IF(OR($AE408="Launched",$AE408="Cancelled"),"",MID(IF($Y408&lt;&gt;"Approved",", Content approval","")&amp;IF(NOT(OR($Z408="Yes",$Z408="N/A")),", Assets","")&amp;IF(NOT(OR($AA408="Yes",$AA408="N/A")),", List","")&amp;IF($AB408="",", Ops decision",IF(AND($AB408="Yes",$AD408&lt;&gt;"Yes"),", Ops",""))&amp;IF($U408="",", Owner","")&amp;IF($K408="",", Segment",""),3,200)))</f>
        <v/>
      </c>
      <c r="AH408" s="29" t="str">
        <f aca="true">IF($O408="","",$O408-TODAY())</f>
        <v/>
      </c>
      <c r="AI408" s="26" t="str">
        <f aca="false">IF($O408="","",$O408-WEEKDAY($O408,3))</f>
        <v/>
      </c>
      <c r="AJ408" s="30" t="str">
        <f aca="false">IF($O408="","",DATE(YEAR($O408),MONTH($O408),1))</f>
        <v/>
      </c>
      <c r="AK408" s="31" t="str">
        <f aca="false">IF(OR($O408="",$K408=""),"",COUNTIFS('Comms Calendar'!$K$5:$K$504,$K408,'Comms Calendar'!$B$5:$B$504,$B408,'Comms Calendar'!$AI$5:$AI$504,$AI408,'Comms Calendar'!$AE$5:$AE$504,"&lt;&gt;Cancelled"))</f>
        <v/>
      </c>
      <c r="AL408" s="27" t="str">
        <f aca="false">IF($AK408="","",IF($AK408&gt;'Rules &amp; Guardrails'!$C$3,"Over cap","OK"))</f>
        <v/>
      </c>
      <c r="AM408" s="27" t="str">
        <f aca="false">IF(OR($O408="",$K408=""),"",IF(COUNTIFS('Comms Calendar'!$K$5:$K$504,$K408,'Comms Calendar'!$B$5:$B$504,$B408,'Comms Calendar'!$O$5:$O$504,$O408,'Comms Calendar'!$AE$5:$AE$504,"&lt;&gt;Cancelled")&gt;1,"Clash",""))</f>
        <v/>
      </c>
      <c r="AN408" s="27" t="str">
        <f aca="false">IF($O408="","",IF(IF($B408="Global",COUNTIF('Rules &amp; Guardrails'!$F$9:$F$60,$O408),COUNTIFS('Rules &amp; Guardrails'!$F$9:$F$60,$O408,'Rules &amp; Guardrails'!$G$9:$G$60,$B408)+COUNTIFS('Rules &amp; Guardrails'!$F$9:$F$60,$O408,'Rules &amp; Guardrails'!$G$9:$G$60,"Global"))&gt;0,"Blackout",""))</f>
        <v/>
      </c>
      <c r="AO408" s="6"/>
      <c r="AP408" s="25"/>
      <c r="AQ408" s="23"/>
      <c r="AR408" s="31" t="str">
        <f aca="false">IF($D408="","",IFERROR(VLOOKUP($D408,'Rules &amp; Guardrails'!$A$9:$D$24,2,0),"Other"))</f>
        <v/>
      </c>
      <c r="AS408" s="31" t="str">
        <f aca="false">IF($O408="","",$O408&amp;"|"&amp;$B408)</f>
        <v/>
      </c>
    </row>
    <row r="409" customFormat="false" ht="15" hidden="false" customHeight="false" outlineLevel="0" collapsed="false">
      <c r="A409" s="23"/>
      <c r="B409" s="23"/>
      <c r="C409" s="23"/>
      <c r="D409" s="23"/>
      <c r="E409" s="23"/>
      <c r="F409" s="23"/>
      <c r="G409" s="6"/>
      <c r="H409" s="6"/>
      <c r="I409" s="23"/>
      <c r="J409" s="23"/>
      <c r="K409" s="23"/>
      <c r="L409" s="6"/>
      <c r="M409" s="6"/>
      <c r="N409" s="24"/>
      <c r="O409" s="25"/>
      <c r="P409" s="23"/>
      <c r="Q409" s="23"/>
      <c r="R409" s="23"/>
      <c r="S409" s="23"/>
      <c r="T409" s="26" t="str">
        <f aca="false">IF(OR($O409="",$D409=""),"",WORKDAY($O409,-IFERROR(VLOOKUP($D409,'Rules &amp; Guardrails'!$A$9:$D$24,3,0),10)))</f>
        <v/>
      </c>
      <c r="U409" s="23"/>
      <c r="V409" s="23"/>
      <c r="W409" s="23"/>
      <c r="X409" s="6"/>
      <c r="Y409" s="23"/>
      <c r="Z409" s="23"/>
      <c r="AA409" s="23"/>
      <c r="AB409" s="23"/>
      <c r="AC409" s="23"/>
      <c r="AD409" s="23"/>
      <c r="AE409" s="23"/>
      <c r="AF409" s="27" t="str">
        <f aca="true">IF($O409="","",IF(OR($AE409="Cancelled",$AE409="On hold",$AE409="Launched"),$AE409,IF(AND($Y409="Approved",OR($Z409="Yes",$Z409="N/A"),OR($AA409="Yes",$AA409="N/A"),OR($AB409="No",$AB409="N/A",AND($AB409="Yes",$AD409="Yes"))),"Ready",IF($O409&lt;TODAY(),"Overdue",IF($O409-TODAY()&lt;='Rules &amp; Guardrails'!$C$5,"At Risk","In Progress")))))</f>
        <v/>
      </c>
      <c r="AG409" s="28" t="str">
        <f aca="false">IF($O409="","",IF(OR($AE409="Launched",$AE409="Cancelled"),"",MID(IF($Y409&lt;&gt;"Approved",", Content approval","")&amp;IF(NOT(OR($Z409="Yes",$Z409="N/A")),", Assets","")&amp;IF(NOT(OR($AA409="Yes",$AA409="N/A")),", List","")&amp;IF($AB409="",", Ops decision",IF(AND($AB409="Yes",$AD409&lt;&gt;"Yes"),", Ops",""))&amp;IF($U409="",", Owner","")&amp;IF($K409="",", Segment",""),3,200)))</f>
        <v/>
      </c>
      <c r="AH409" s="29" t="str">
        <f aca="true">IF($O409="","",$O409-TODAY())</f>
        <v/>
      </c>
      <c r="AI409" s="26" t="str">
        <f aca="false">IF($O409="","",$O409-WEEKDAY($O409,3))</f>
        <v/>
      </c>
      <c r="AJ409" s="30" t="str">
        <f aca="false">IF($O409="","",DATE(YEAR($O409),MONTH($O409),1))</f>
        <v/>
      </c>
      <c r="AK409" s="31" t="str">
        <f aca="false">IF(OR($O409="",$K409=""),"",COUNTIFS('Comms Calendar'!$K$5:$K$504,$K409,'Comms Calendar'!$B$5:$B$504,$B409,'Comms Calendar'!$AI$5:$AI$504,$AI409,'Comms Calendar'!$AE$5:$AE$504,"&lt;&gt;Cancelled"))</f>
        <v/>
      </c>
      <c r="AL409" s="27" t="str">
        <f aca="false">IF($AK409="","",IF($AK409&gt;'Rules &amp; Guardrails'!$C$3,"Over cap","OK"))</f>
        <v/>
      </c>
      <c r="AM409" s="27" t="str">
        <f aca="false">IF(OR($O409="",$K409=""),"",IF(COUNTIFS('Comms Calendar'!$K$5:$K$504,$K409,'Comms Calendar'!$B$5:$B$504,$B409,'Comms Calendar'!$O$5:$O$504,$O409,'Comms Calendar'!$AE$5:$AE$504,"&lt;&gt;Cancelled")&gt;1,"Clash",""))</f>
        <v/>
      </c>
      <c r="AN409" s="27" t="str">
        <f aca="false">IF($O409="","",IF(IF($B409="Global",COUNTIF('Rules &amp; Guardrails'!$F$9:$F$60,$O409),COUNTIFS('Rules &amp; Guardrails'!$F$9:$F$60,$O409,'Rules &amp; Guardrails'!$G$9:$G$60,$B409)+COUNTIFS('Rules &amp; Guardrails'!$F$9:$F$60,$O409,'Rules &amp; Guardrails'!$G$9:$G$60,"Global"))&gt;0,"Blackout",""))</f>
        <v/>
      </c>
      <c r="AO409" s="6"/>
      <c r="AP409" s="25"/>
      <c r="AQ409" s="23"/>
      <c r="AR409" s="31" t="str">
        <f aca="false">IF($D409="","",IFERROR(VLOOKUP($D409,'Rules &amp; Guardrails'!$A$9:$D$24,2,0),"Other"))</f>
        <v/>
      </c>
      <c r="AS409" s="31" t="str">
        <f aca="false">IF($O409="","",$O409&amp;"|"&amp;$B409)</f>
        <v/>
      </c>
    </row>
    <row r="410" customFormat="false" ht="15" hidden="false" customHeight="false" outlineLevel="0" collapsed="false">
      <c r="A410" s="23"/>
      <c r="B410" s="23"/>
      <c r="C410" s="23"/>
      <c r="D410" s="23"/>
      <c r="E410" s="23"/>
      <c r="F410" s="23"/>
      <c r="G410" s="6"/>
      <c r="H410" s="6"/>
      <c r="I410" s="23"/>
      <c r="J410" s="23"/>
      <c r="K410" s="23"/>
      <c r="L410" s="6"/>
      <c r="M410" s="6"/>
      <c r="N410" s="24"/>
      <c r="O410" s="25"/>
      <c r="P410" s="23"/>
      <c r="Q410" s="23"/>
      <c r="R410" s="23"/>
      <c r="S410" s="23"/>
      <c r="T410" s="26" t="str">
        <f aca="false">IF(OR($O410="",$D410=""),"",WORKDAY($O410,-IFERROR(VLOOKUP($D410,'Rules &amp; Guardrails'!$A$9:$D$24,3,0),10)))</f>
        <v/>
      </c>
      <c r="U410" s="23"/>
      <c r="V410" s="23"/>
      <c r="W410" s="23"/>
      <c r="X410" s="6"/>
      <c r="Y410" s="23"/>
      <c r="Z410" s="23"/>
      <c r="AA410" s="23"/>
      <c r="AB410" s="23"/>
      <c r="AC410" s="23"/>
      <c r="AD410" s="23"/>
      <c r="AE410" s="23"/>
      <c r="AF410" s="27" t="str">
        <f aca="true">IF($O410="","",IF(OR($AE410="Cancelled",$AE410="On hold",$AE410="Launched"),$AE410,IF(AND($Y410="Approved",OR($Z410="Yes",$Z410="N/A"),OR($AA410="Yes",$AA410="N/A"),OR($AB410="No",$AB410="N/A",AND($AB410="Yes",$AD410="Yes"))),"Ready",IF($O410&lt;TODAY(),"Overdue",IF($O410-TODAY()&lt;='Rules &amp; Guardrails'!$C$5,"At Risk","In Progress")))))</f>
        <v/>
      </c>
      <c r="AG410" s="28" t="str">
        <f aca="false">IF($O410="","",IF(OR($AE410="Launched",$AE410="Cancelled"),"",MID(IF($Y410&lt;&gt;"Approved",", Content approval","")&amp;IF(NOT(OR($Z410="Yes",$Z410="N/A")),", Assets","")&amp;IF(NOT(OR($AA410="Yes",$AA410="N/A")),", List","")&amp;IF($AB410="",", Ops decision",IF(AND($AB410="Yes",$AD410&lt;&gt;"Yes"),", Ops",""))&amp;IF($U410="",", Owner","")&amp;IF($K410="",", Segment",""),3,200)))</f>
        <v/>
      </c>
      <c r="AH410" s="29" t="str">
        <f aca="true">IF($O410="","",$O410-TODAY())</f>
        <v/>
      </c>
      <c r="AI410" s="26" t="str">
        <f aca="false">IF($O410="","",$O410-WEEKDAY($O410,3))</f>
        <v/>
      </c>
      <c r="AJ410" s="30" t="str">
        <f aca="false">IF($O410="","",DATE(YEAR($O410),MONTH($O410),1))</f>
        <v/>
      </c>
      <c r="AK410" s="31" t="str">
        <f aca="false">IF(OR($O410="",$K410=""),"",COUNTIFS('Comms Calendar'!$K$5:$K$504,$K410,'Comms Calendar'!$B$5:$B$504,$B410,'Comms Calendar'!$AI$5:$AI$504,$AI410,'Comms Calendar'!$AE$5:$AE$504,"&lt;&gt;Cancelled"))</f>
        <v/>
      </c>
      <c r="AL410" s="27" t="str">
        <f aca="false">IF($AK410="","",IF($AK410&gt;'Rules &amp; Guardrails'!$C$3,"Over cap","OK"))</f>
        <v/>
      </c>
      <c r="AM410" s="27" t="str">
        <f aca="false">IF(OR($O410="",$K410=""),"",IF(COUNTIFS('Comms Calendar'!$K$5:$K$504,$K410,'Comms Calendar'!$B$5:$B$504,$B410,'Comms Calendar'!$O$5:$O$504,$O410,'Comms Calendar'!$AE$5:$AE$504,"&lt;&gt;Cancelled")&gt;1,"Clash",""))</f>
        <v/>
      </c>
      <c r="AN410" s="27" t="str">
        <f aca="false">IF($O410="","",IF(IF($B410="Global",COUNTIF('Rules &amp; Guardrails'!$F$9:$F$60,$O410),COUNTIFS('Rules &amp; Guardrails'!$F$9:$F$60,$O410,'Rules &amp; Guardrails'!$G$9:$G$60,$B410)+COUNTIFS('Rules &amp; Guardrails'!$F$9:$F$60,$O410,'Rules &amp; Guardrails'!$G$9:$G$60,"Global"))&gt;0,"Blackout",""))</f>
        <v/>
      </c>
      <c r="AO410" s="6"/>
      <c r="AP410" s="25"/>
      <c r="AQ410" s="23"/>
      <c r="AR410" s="31" t="str">
        <f aca="false">IF($D410="","",IFERROR(VLOOKUP($D410,'Rules &amp; Guardrails'!$A$9:$D$24,2,0),"Other"))</f>
        <v/>
      </c>
      <c r="AS410" s="31" t="str">
        <f aca="false">IF($O410="","",$O410&amp;"|"&amp;$B410)</f>
        <v/>
      </c>
    </row>
    <row r="411" customFormat="false" ht="15" hidden="false" customHeight="false" outlineLevel="0" collapsed="false">
      <c r="A411" s="23"/>
      <c r="B411" s="23"/>
      <c r="C411" s="23"/>
      <c r="D411" s="23"/>
      <c r="E411" s="23"/>
      <c r="F411" s="23"/>
      <c r="G411" s="6"/>
      <c r="H411" s="6"/>
      <c r="I411" s="23"/>
      <c r="J411" s="23"/>
      <c r="K411" s="23"/>
      <c r="L411" s="6"/>
      <c r="M411" s="6"/>
      <c r="N411" s="24"/>
      <c r="O411" s="25"/>
      <c r="P411" s="23"/>
      <c r="Q411" s="23"/>
      <c r="R411" s="23"/>
      <c r="S411" s="23"/>
      <c r="T411" s="26" t="str">
        <f aca="false">IF(OR($O411="",$D411=""),"",WORKDAY($O411,-IFERROR(VLOOKUP($D411,'Rules &amp; Guardrails'!$A$9:$D$24,3,0),10)))</f>
        <v/>
      </c>
      <c r="U411" s="23"/>
      <c r="V411" s="23"/>
      <c r="W411" s="23"/>
      <c r="X411" s="6"/>
      <c r="Y411" s="23"/>
      <c r="Z411" s="23"/>
      <c r="AA411" s="23"/>
      <c r="AB411" s="23"/>
      <c r="AC411" s="23"/>
      <c r="AD411" s="23"/>
      <c r="AE411" s="23"/>
      <c r="AF411" s="27" t="str">
        <f aca="true">IF($O411="","",IF(OR($AE411="Cancelled",$AE411="On hold",$AE411="Launched"),$AE411,IF(AND($Y411="Approved",OR($Z411="Yes",$Z411="N/A"),OR($AA411="Yes",$AA411="N/A"),OR($AB411="No",$AB411="N/A",AND($AB411="Yes",$AD411="Yes"))),"Ready",IF($O411&lt;TODAY(),"Overdue",IF($O411-TODAY()&lt;='Rules &amp; Guardrails'!$C$5,"At Risk","In Progress")))))</f>
        <v/>
      </c>
      <c r="AG411" s="28" t="str">
        <f aca="false">IF($O411="","",IF(OR($AE411="Launched",$AE411="Cancelled"),"",MID(IF($Y411&lt;&gt;"Approved",", Content approval","")&amp;IF(NOT(OR($Z411="Yes",$Z411="N/A")),", Assets","")&amp;IF(NOT(OR($AA411="Yes",$AA411="N/A")),", List","")&amp;IF($AB411="",", Ops decision",IF(AND($AB411="Yes",$AD411&lt;&gt;"Yes"),", Ops",""))&amp;IF($U411="",", Owner","")&amp;IF($K411="",", Segment",""),3,200)))</f>
        <v/>
      </c>
      <c r="AH411" s="29" t="str">
        <f aca="true">IF($O411="","",$O411-TODAY())</f>
        <v/>
      </c>
      <c r="AI411" s="26" t="str">
        <f aca="false">IF($O411="","",$O411-WEEKDAY($O411,3))</f>
        <v/>
      </c>
      <c r="AJ411" s="30" t="str">
        <f aca="false">IF($O411="","",DATE(YEAR($O411),MONTH($O411),1))</f>
        <v/>
      </c>
      <c r="AK411" s="31" t="str">
        <f aca="false">IF(OR($O411="",$K411=""),"",COUNTIFS('Comms Calendar'!$K$5:$K$504,$K411,'Comms Calendar'!$B$5:$B$504,$B411,'Comms Calendar'!$AI$5:$AI$504,$AI411,'Comms Calendar'!$AE$5:$AE$504,"&lt;&gt;Cancelled"))</f>
        <v/>
      </c>
      <c r="AL411" s="27" t="str">
        <f aca="false">IF($AK411="","",IF($AK411&gt;'Rules &amp; Guardrails'!$C$3,"Over cap","OK"))</f>
        <v/>
      </c>
      <c r="AM411" s="27" t="str">
        <f aca="false">IF(OR($O411="",$K411=""),"",IF(COUNTIFS('Comms Calendar'!$K$5:$K$504,$K411,'Comms Calendar'!$B$5:$B$504,$B411,'Comms Calendar'!$O$5:$O$504,$O411,'Comms Calendar'!$AE$5:$AE$504,"&lt;&gt;Cancelled")&gt;1,"Clash",""))</f>
        <v/>
      </c>
      <c r="AN411" s="27" t="str">
        <f aca="false">IF($O411="","",IF(IF($B411="Global",COUNTIF('Rules &amp; Guardrails'!$F$9:$F$60,$O411),COUNTIFS('Rules &amp; Guardrails'!$F$9:$F$60,$O411,'Rules &amp; Guardrails'!$G$9:$G$60,$B411)+COUNTIFS('Rules &amp; Guardrails'!$F$9:$F$60,$O411,'Rules &amp; Guardrails'!$G$9:$G$60,"Global"))&gt;0,"Blackout",""))</f>
        <v/>
      </c>
      <c r="AO411" s="6"/>
      <c r="AP411" s="25"/>
      <c r="AQ411" s="23"/>
      <c r="AR411" s="31" t="str">
        <f aca="false">IF($D411="","",IFERROR(VLOOKUP($D411,'Rules &amp; Guardrails'!$A$9:$D$24,2,0),"Other"))</f>
        <v/>
      </c>
      <c r="AS411" s="31" t="str">
        <f aca="false">IF($O411="","",$O411&amp;"|"&amp;$B411)</f>
        <v/>
      </c>
    </row>
    <row r="412" customFormat="false" ht="15" hidden="false" customHeight="false" outlineLevel="0" collapsed="false">
      <c r="A412" s="23"/>
      <c r="B412" s="23"/>
      <c r="C412" s="23"/>
      <c r="D412" s="23"/>
      <c r="E412" s="23"/>
      <c r="F412" s="23"/>
      <c r="G412" s="6"/>
      <c r="H412" s="6"/>
      <c r="I412" s="23"/>
      <c r="J412" s="23"/>
      <c r="K412" s="23"/>
      <c r="L412" s="6"/>
      <c r="M412" s="6"/>
      <c r="N412" s="24"/>
      <c r="O412" s="25"/>
      <c r="P412" s="23"/>
      <c r="Q412" s="23"/>
      <c r="R412" s="23"/>
      <c r="S412" s="23"/>
      <c r="T412" s="26" t="str">
        <f aca="false">IF(OR($O412="",$D412=""),"",WORKDAY($O412,-IFERROR(VLOOKUP($D412,'Rules &amp; Guardrails'!$A$9:$D$24,3,0),10)))</f>
        <v/>
      </c>
      <c r="U412" s="23"/>
      <c r="V412" s="23"/>
      <c r="W412" s="23"/>
      <c r="X412" s="6"/>
      <c r="Y412" s="23"/>
      <c r="Z412" s="23"/>
      <c r="AA412" s="23"/>
      <c r="AB412" s="23"/>
      <c r="AC412" s="23"/>
      <c r="AD412" s="23"/>
      <c r="AE412" s="23"/>
      <c r="AF412" s="27" t="str">
        <f aca="true">IF($O412="","",IF(OR($AE412="Cancelled",$AE412="On hold",$AE412="Launched"),$AE412,IF(AND($Y412="Approved",OR($Z412="Yes",$Z412="N/A"),OR($AA412="Yes",$AA412="N/A"),OR($AB412="No",$AB412="N/A",AND($AB412="Yes",$AD412="Yes"))),"Ready",IF($O412&lt;TODAY(),"Overdue",IF($O412-TODAY()&lt;='Rules &amp; Guardrails'!$C$5,"At Risk","In Progress")))))</f>
        <v/>
      </c>
      <c r="AG412" s="28" t="str">
        <f aca="false">IF($O412="","",IF(OR($AE412="Launched",$AE412="Cancelled"),"",MID(IF($Y412&lt;&gt;"Approved",", Content approval","")&amp;IF(NOT(OR($Z412="Yes",$Z412="N/A")),", Assets","")&amp;IF(NOT(OR($AA412="Yes",$AA412="N/A")),", List","")&amp;IF($AB412="",", Ops decision",IF(AND($AB412="Yes",$AD412&lt;&gt;"Yes"),", Ops",""))&amp;IF($U412="",", Owner","")&amp;IF($K412="",", Segment",""),3,200)))</f>
        <v/>
      </c>
      <c r="AH412" s="29" t="str">
        <f aca="true">IF($O412="","",$O412-TODAY())</f>
        <v/>
      </c>
      <c r="AI412" s="26" t="str">
        <f aca="false">IF($O412="","",$O412-WEEKDAY($O412,3))</f>
        <v/>
      </c>
      <c r="AJ412" s="30" t="str">
        <f aca="false">IF($O412="","",DATE(YEAR($O412),MONTH($O412),1))</f>
        <v/>
      </c>
      <c r="AK412" s="31" t="str">
        <f aca="false">IF(OR($O412="",$K412=""),"",COUNTIFS('Comms Calendar'!$K$5:$K$504,$K412,'Comms Calendar'!$B$5:$B$504,$B412,'Comms Calendar'!$AI$5:$AI$504,$AI412,'Comms Calendar'!$AE$5:$AE$504,"&lt;&gt;Cancelled"))</f>
        <v/>
      </c>
      <c r="AL412" s="27" t="str">
        <f aca="false">IF($AK412="","",IF($AK412&gt;'Rules &amp; Guardrails'!$C$3,"Over cap","OK"))</f>
        <v/>
      </c>
      <c r="AM412" s="27" t="str">
        <f aca="false">IF(OR($O412="",$K412=""),"",IF(COUNTIFS('Comms Calendar'!$K$5:$K$504,$K412,'Comms Calendar'!$B$5:$B$504,$B412,'Comms Calendar'!$O$5:$O$504,$O412,'Comms Calendar'!$AE$5:$AE$504,"&lt;&gt;Cancelled")&gt;1,"Clash",""))</f>
        <v/>
      </c>
      <c r="AN412" s="27" t="str">
        <f aca="false">IF($O412="","",IF(IF($B412="Global",COUNTIF('Rules &amp; Guardrails'!$F$9:$F$60,$O412),COUNTIFS('Rules &amp; Guardrails'!$F$9:$F$60,$O412,'Rules &amp; Guardrails'!$G$9:$G$60,$B412)+COUNTIFS('Rules &amp; Guardrails'!$F$9:$F$60,$O412,'Rules &amp; Guardrails'!$G$9:$G$60,"Global"))&gt;0,"Blackout",""))</f>
        <v/>
      </c>
      <c r="AO412" s="6"/>
      <c r="AP412" s="25"/>
      <c r="AQ412" s="23"/>
      <c r="AR412" s="31" t="str">
        <f aca="false">IF($D412="","",IFERROR(VLOOKUP($D412,'Rules &amp; Guardrails'!$A$9:$D$24,2,0),"Other"))</f>
        <v/>
      </c>
      <c r="AS412" s="31" t="str">
        <f aca="false">IF($O412="","",$O412&amp;"|"&amp;$B412)</f>
        <v/>
      </c>
    </row>
    <row r="413" customFormat="false" ht="15" hidden="false" customHeight="false" outlineLevel="0" collapsed="false">
      <c r="A413" s="23"/>
      <c r="B413" s="23"/>
      <c r="C413" s="23"/>
      <c r="D413" s="23"/>
      <c r="E413" s="23"/>
      <c r="F413" s="23"/>
      <c r="G413" s="6"/>
      <c r="H413" s="6"/>
      <c r="I413" s="23"/>
      <c r="J413" s="23"/>
      <c r="K413" s="23"/>
      <c r="L413" s="6"/>
      <c r="M413" s="6"/>
      <c r="N413" s="24"/>
      <c r="O413" s="25"/>
      <c r="P413" s="23"/>
      <c r="Q413" s="23"/>
      <c r="R413" s="23"/>
      <c r="S413" s="23"/>
      <c r="T413" s="26" t="str">
        <f aca="false">IF(OR($O413="",$D413=""),"",WORKDAY($O413,-IFERROR(VLOOKUP($D413,'Rules &amp; Guardrails'!$A$9:$D$24,3,0),10)))</f>
        <v/>
      </c>
      <c r="U413" s="23"/>
      <c r="V413" s="23"/>
      <c r="W413" s="23"/>
      <c r="X413" s="6"/>
      <c r="Y413" s="23"/>
      <c r="Z413" s="23"/>
      <c r="AA413" s="23"/>
      <c r="AB413" s="23"/>
      <c r="AC413" s="23"/>
      <c r="AD413" s="23"/>
      <c r="AE413" s="23"/>
      <c r="AF413" s="27" t="str">
        <f aca="true">IF($O413="","",IF(OR($AE413="Cancelled",$AE413="On hold",$AE413="Launched"),$AE413,IF(AND($Y413="Approved",OR($Z413="Yes",$Z413="N/A"),OR($AA413="Yes",$AA413="N/A"),OR($AB413="No",$AB413="N/A",AND($AB413="Yes",$AD413="Yes"))),"Ready",IF($O413&lt;TODAY(),"Overdue",IF($O413-TODAY()&lt;='Rules &amp; Guardrails'!$C$5,"At Risk","In Progress")))))</f>
        <v/>
      </c>
      <c r="AG413" s="28" t="str">
        <f aca="false">IF($O413="","",IF(OR($AE413="Launched",$AE413="Cancelled"),"",MID(IF($Y413&lt;&gt;"Approved",", Content approval","")&amp;IF(NOT(OR($Z413="Yes",$Z413="N/A")),", Assets","")&amp;IF(NOT(OR($AA413="Yes",$AA413="N/A")),", List","")&amp;IF($AB413="",", Ops decision",IF(AND($AB413="Yes",$AD413&lt;&gt;"Yes"),", Ops",""))&amp;IF($U413="",", Owner","")&amp;IF($K413="",", Segment",""),3,200)))</f>
        <v/>
      </c>
      <c r="AH413" s="29" t="str">
        <f aca="true">IF($O413="","",$O413-TODAY())</f>
        <v/>
      </c>
      <c r="AI413" s="26" t="str">
        <f aca="false">IF($O413="","",$O413-WEEKDAY($O413,3))</f>
        <v/>
      </c>
      <c r="AJ413" s="30" t="str">
        <f aca="false">IF($O413="","",DATE(YEAR($O413),MONTH($O413),1))</f>
        <v/>
      </c>
      <c r="AK413" s="31" t="str">
        <f aca="false">IF(OR($O413="",$K413=""),"",COUNTIFS('Comms Calendar'!$K$5:$K$504,$K413,'Comms Calendar'!$B$5:$B$504,$B413,'Comms Calendar'!$AI$5:$AI$504,$AI413,'Comms Calendar'!$AE$5:$AE$504,"&lt;&gt;Cancelled"))</f>
        <v/>
      </c>
      <c r="AL413" s="27" t="str">
        <f aca="false">IF($AK413="","",IF($AK413&gt;'Rules &amp; Guardrails'!$C$3,"Over cap","OK"))</f>
        <v/>
      </c>
      <c r="AM413" s="27" t="str">
        <f aca="false">IF(OR($O413="",$K413=""),"",IF(COUNTIFS('Comms Calendar'!$K$5:$K$504,$K413,'Comms Calendar'!$B$5:$B$504,$B413,'Comms Calendar'!$O$5:$O$504,$O413,'Comms Calendar'!$AE$5:$AE$504,"&lt;&gt;Cancelled")&gt;1,"Clash",""))</f>
        <v/>
      </c>
      <c r="AN413" s="27" t="str">
        <f aca="false">IF($O413="","",IF(IF($B413="Global",COUNTIF('Rules &amp; Guardrails'!$F$9:$F$60,$O413),COUNTIFS('Rules &amp; Guardrails'!$F$9:$F$60,$O413,'Rules &amp; Guardrails'!$G$9:$G$60,$B413)+COUNTIFS('Rules &amp; Guardrails'!$F$9:$F$60,$O413,'Rules &amp; Guardrails'!$G$9:$G$60,"Global"))&gt;0,"Blackout",""))</f>
        <v/>
      </c>
      <c r="AO413" s="6"/>
      <c r="AP413" s="25"/>
      <c r="AQ413" s="23"/>
      <c r="AR413" s="31" t="str">
        <f aca="false">IF($D413="","",IFERROR(VLOOKUP($D413,'Rules &amp; Guardrails'!$A$9:$D$24,2,0),"Other"))</f>
        <v/>
      </c>
      <c r="AS413" s="31" t="str">
        <f aca="false">IF($O413="","",$O413&amp;"|"&amp;$B413)</f>
        <v/>
      </c>
    </row>
    <row r="414" customFormat="false" ht="15" hidden="false" customHeight="false" outlineLevel="0" collapsed="false">
      <c r="A414" s="23"/>
      <c r="B414" s="23"/>
      <c r="C414" s="23"/>
      <c r="D414" s="23"/>
      <c r="E414" s="23"/>
      <c r="F414" s="23"/>
      <c r="G414" s="6"/>
      <c r="H414" s="6"/>
      <c r="I414" s="23"/>
      <c r="J414" s="23"/>
      <c r="K414" s="23"/>
      <c r="L414" s="6"/>
      <c r="M414" s="6"/>
      <c r="N414" s="24"/>
      <c r="O414" s="25"/>
      <c r="P414" s="23"/>
      <c r="Q414" s="23"/>
      <c r="R414" s="23"/>
      <c r="S414" s="23"/>
      <c r="T414" s="26" t="str">
        <f aca="false">IF(OR($O414="",$D414=""),"",WORKDAY($O414,-IFERROR(VLOOKUP($D414,'Rules &amp; Guardrails'!$A$9:$D$24,3,0),10)))</f>
        <v/>
      </c>
      <c r="U414" s="23"/>
      <c r="V414" s="23"/>
      <c r="W414" s="23"/>
      <c r="X414" s="6"/>
      <c r="Y414" s="23"/>
      <c r="Z414" s="23"/>
      <c r="AA414" s="23"/>
      <c r="AB414" s="23"/>
      <c r="AC414" s="23"/>
      <c r="AD414" s="23"/>
      <c r="AE414" s="23"/>
      <c r="AF414" s="27" t="str">
        <f aca="true">IF($O414="","",IF(OR($AE414="Cancelled",$AE414="On hold",$AE414="Launched"),$AE414,IF(AND($Y414="Approved",OR($Z414="Yes",$Z414="N/A"),OR($AA414="Yes",$AA414="N/A"),OR($AB414="No",$AB414="N/A",AND($AB414="Yes",$AD414="Yes"))),"Ready",IF($O414&lt;TODAY(),"Overdue",IF($O414-TODAY()&lt;='Rules &amp; Guardrails'!$C$5,"At Risk","In Progress")))))</f>
        <v/>
      </c>
      <c r="AG414" s="28" t="str">
        <f aca="false">IF($O414="","",IF(OR($AE414="Launched",$AE414="Cancelled"),"",MID(IF($Y414&lt;&gt;"Approved",", Content approval","")&amp;IF(NOT(OR($Z414="Yes",$Z414="N/A")),", Assets","")&amp;IF(NOT(OR($AA414="Yes",$AA414="N/A")),", List","")&amp;IF($AB414="",", Ops decision",IF(AND($AB414="Yes",$AD414&lt;&gt;"Yes"),", Ops",""))&amp;IF($U414="",", Owner","")&amp;IF($K414="",", Segment",""),3,200)))</f>
        <v/>
      </c>
      <c r="AH414" s="29" t="str">
        <f aca="true">IF($O414="","",$O414-TODAY())</f>
        <v/>
      </c>
      <c r="AI414" s="26" t="str">
        <f aca="false">IF($O414="","",$O414-WEEKDAY($O414,3))</f>
        <v/>
      </c>
      <c r="AJ414" s="30" t="str">
        <f aca="false">IF($O414="","",DATE(YEAR($O414),MONTH($O414),1))</f>
        <v/>
      </c>
      <c r="AK414" s="31" t="str">
        <f aca="false">IF(OR($O414="",$K414=""),"",COUNTIFS('Comms Calendar'!$K$5:$K$504,$K414,'Comms Calendar'!$B$5:$B$504,$B414,'Comms Calendar'!$AI$5:$AI$504,$AI414,'Comms Calendar'!$AE$5:$AE$504,"&lt;&gt;Cancelled"))</f>
        <v/>
      </c>
      <c r="AL414" s="27" t="str">
        <f aca="false">IF($AK414="","",IF($AK414&gt;'Rules &amp; Guardrails'!$C$3,"Over cap","OK"))</f>
        <v/>
      </c>
      <c r="AM414" s="27" t="str">
        <f aca="false">IF(OR($O414="",$K414=""),"",IF(COUNTIFS('Comms Calendar'!$K$5:$K$504,$K414,'Comms Calendar'!$B$5:$B$504,$B414,'Comms Calendar'!$O$5:$O$504,$O414,'Comms Calendar'!$AE$5:$AE$504,"&lt;&gt;Cancelled")&gt;1,"Clash",""))</f>
        <v/>
      </c>
      <c r="AN414" s="27" t="str">
        <f aca="false">IF($O414="","",IF(IF($B414="Global",COUNTIF('Rules &amp; Guardrails'!$F$9:$F$60,$O414),COUNTIFS('Rules &amp; Guardrails'!$F$9:$F$60,$O414,'Rules &amp; Guardrails'!$G$9:$G$60,$B414)+COUNTIFS('Rules &amp; Guardrails'!$F$9:$F$60,$O414,'Rules &amp; Guardrails'!$G$9:$G$60,"Global"))&gt;0,"Blackout",""))</f>
        <v/>
      </c>
      <c r="AO414" s="6"/>
      <c r="AP414" s="25"/>
      <c r="AQ414" s="23"/>
      <c r="AR414" s="31" t="str">
        <f aca="false">IF($D414="","",IFERROR(VLOOKUP($D414,'Rules &amp; Guardrails'!$A$9:$D$24,2,0),"Other"))</f>
        <v/>
      </c>
      <c r="AS414" s="31" t="str">
        <f aca="false">IF($O414="","",$O414&amp;"|"&amp;$B414)</f>
        <v/>
      </c>
    </row>
    <row r="415" customFormat="false" ht="15" hidden="false" customHeight="false" outlineLevel="0" collapsed="false">
      <c r="A415" s="23"/>
      <c r="B415" s="23"/>
      <c r="C415" s="23"/>
      <c r="D415" s="23"/>
      <c r="E415" s="23"/>
      <c r="F415" s="23"/>
      <c r="G415" s="6"/>
      <c r="H415" s="6"/>
      <c r="I415" s="23"/>
      <c r="J415" s="23"/>
      <c r="K415" s="23"/>
      <c r="L415" s="6"/>
      <c r="M415" s="6"/>
      <c r="N415" s="24"/>
      <c r="O415" s="25"/>
      <c r="P415" s="23"/>
      <c r="Q415" s="23"/>
      <c r="R415" s="23"/>
      <c r="S415" s="23"/>
      <c r="T415" s="26" t="str">
        <f aca="false">IF(OR($O415="",$D415=""),"",WORKDAY($O415,-IFERROR(VLOOKUP($D415,'Rules &amp; Guardrails'!$A$9:$D$24,3,0),10)))</f>
        <v/>
      </c>
      <c r="U415" s="23"/>
      <c r="V415" s="23"/>
      <c r="W415" s="23"/>
      <c r="X415" s="6"/>
      <c r="Y415" s="23"/>
      <c r="Z415" s="23"/>
      <c r="AA415" s="23"/>
      <c r="AB415" s="23"/>
      <c r="AC415" s="23"/>
      <c r="AD415" s="23"/>
      <c r="AE415" s="23"/>
      <c r="AF415" s="27" t="str">
        <f aca="true">IF($O415="","",IF(OR($AE415="Cancelled",$AE415="On hold",$AE415="Launched"),$AE415,IF(AND($Y415="Approved",OR($Z415="Yes",$Z415="N/A"),OR($AA415="Yes",$AA415="N/A"),OR($AB415="No",$AB415="N/A",AND($AB415="Yes",$AD415="Yes"))),"Ready",IF($O415&lt;TODAY(),"Overdue",IF($O415-TODAY()&lt;='Rules &amp; Guardrails'!$C$5,"At Risk","In Progress")))))</f>
        <v/>
      </c>
      <c r="AG415" s="28" t="str">
        <f aca="false">IF($O415="","",IF(OR($AE415="Launched",$AE415="Cancelled"),"",MID(IF($Y415&lt;&gt;"Approved",", Content approval","")&amp;IF(NOT(OR($Z415="Yes",$Z415="N/A")),", Assets","")&amp;IF(NOT(OR($AA415="Yes",$AA415="N/A")),", List","")&amp;IF($AB415="",", Ops decision",IF(AND($AB415="Yes",$AD415&lt;&gt;"Yes"),", Ops",""))&amp;IF($U415="",", Owner","")&amp;IF($K415="",", Segment",""),3,200)))</f>
        <v/>
      </c>
      <c r="AH415" s="29" t="str">
        <f aca="true">IF($O415="","",$O415-TODAY())</f>
        <v/>
      </c>
      <c r="AI415" s="26" t="str">
        <f aca="false">IF($O415="","",$O415-WEEKDAY($O415,3))</f>
        <v/>
      </c>
      <c r="AJ415" s="30" t="str">
        <f aca="false">IF($O415="","",DATE(YEAR($O415),MONTH($O415),1))</f>
        <v/>
      </c>
      <c r="AK415" s="31" t="str">
        <f aca="false">IF(OR($O415="",$K415=""),"",COUNTIFS('Comms Calendar'!$K$5:$K$504,$K415,'Comms Calendar'!$B$5:$B$504,$B415,'Comms Calendar'!$AI$5:$AI$504,$AI415,'Comms Calendar'!$AE$5:$AE$504,"&lt;&gt;Cancelled"))</f>
        <v/>
      </c>
      <c r="AL415" s="27" t="str">
        <f aca="false">IF($AK415="","",IF($AK415&gt;'Rules &amp; Guardrails'!$C$3,"Over cap","OK"))</f>
        <v/>
      </c>
      <c r="AM415" s="27" t="str">
        <f aca="false">IF(OR($O415="",$K415=""),"",IF(COUNTIFS('Comms Calendar'!$K$5:$K$504,$K415,'Comms Calendar'!$B$5:$B$504,$B415,'Comms Calendar'!$O$5:$O$504,$O415,'Comms Calendar'!$AE$5:$AE$504,"&lt;&gt;Cancelled")&gt;1,"Clash",""))</f>
        <v/>
      </c>
      <c r="AN415" s="27" t="str">
        <f aca="false">IF($O415="","",IF(IF($B415="Global",COUNTIF('Rules &amp; Guardrails'!$F$9:$F$60,$O415),COUNTIFS('Rules &amp; Guardrails'!$F$9:$F$60,$O415,'Rules &amp; Guardrails'!$G$9:$G$60,$B415)+COUNTIFS('Rules &amp; Guardrails'!$F$9:$F$60,$O415,'Rules &amp; Guardrails'!$G$9:$G$60,"Global"))&gt;0,"Blackout",""))</f>
        <v/>
      </c>
      <c r="AO415" s="6"/>
      <c r="AP415" s="25"/>
      <c r="AQ415" s="23"/>
      <c r="AR415" s="31" t="str">
        <f aca="false">IF($D415="","",IFERROR(VLOOKUP($D415,'Rules &amp; Guardrails'!$A$9:$D$24,2,0),"Other"))</f>
        <v/>
      </c>
      <c r="AS415" s="31" t="str">
        <f aca="false">IF($O415="","",$O415&amp;"|"&amp;$B415)</f>
        <v/>
      </c>
    </row>
    <row r="416" customFormat="false" ht="15" hidden="false" customHeight="false" outlineLevel="0" collapsed="false">
      <c r="A416" s="23"/>
      <c r="B416" s="23"/>
      <c r="C416" s="23"/>
      <c r="D416" s="23"/>
      <c r="E416" s="23"/>
      <c r="F416" s="23"/>
      <c r="G416" s="6"/>
      <c r="H416" s="6"/>
      <c r="I416" s="23"/>
      <c r="J416" s="23"/>
      <c r="K416" s="23"/>
      <c r="L416" s="6"/>
      <c r="M416" s="6"/>
      <c r="N416" s="24"/>
      <c r="O416" s="25"/>
      <c r="P416" s="23"/>
      <c r="Q416" s="23"/>
      <c r="R416" s="23"/>
      <c r="S416" s="23"/>
      <c r="T416" s="26" t="str">
        <f aca="false">IF(OR($O416="",$D416=""),"",WORKDAY($O416,-IFERROR(VLOOKUP($D416,'Rules &amp; Guardrails'!$A$9:$D$24,3,0),10)))</f>
        <v/>
      </c>
      <c r="U416" s="23"/>
      <c r="V416" s="23"/>
      <c r="W416" s="23"/>
      <c r="X416" s="6"/>
      <c r="Y416" s="23"/>
      <c r="Z416" s="23"/>
      <c r="AA416" s="23"/>
      <c r="AB416" s="23"/>
      <c r="AC416" s="23"/>
      <c r="AD416" s="23"/>
      <c r="AE416" s="23"/>
      <c r="AF416" s="27" t="str">
        <f aca="true">IF($O416="","",IF(OR($AE416="Cancelled",$AE416="On hold",$AE416="Launched"),$AE416,IF(AND($Y416="Approved",OR($Z416="Yes",$Z416="N/A"),OR($AA416="Yes",$AA416="N/A"),OR($AB416="No",$AB416="N/A",AND($AB416="Yes",$AD416="Yes"))),"Ready",IF($O416&lt;TODAY(),"Overdue",IF($O416-TODAY()&lt;='Rules &amp; Guardrails'!$C$5,"At Risk","In Progress")))))</f>
        <v/>
      </c>
      <c r="AG416" s="28" t="str">
        <f aca="false">IF($O416="","",IF(OR($AE416="Launched",$AE416="Cancelled"),"",MID(IF($Y416&lt;&gt;"Approved",", Content approval","")&amp;IF(NOT(OR($Z416="Yes",$Z416="N/A")),", Assets","")&amp;IF(NOT(OR($AA416="Yes",$AA416="N/A")),", List","")&amp;IF($AB416="",", Ops decision",IF(AND($AB416="Yes",$AD416&lt;&gt;"Yes"),", Ops",""))&amp;IF($U416="",", Owner","")&amp;IF($K416="",", Segment",""),3,200)))</f>
        <v/>
      </c>
      <c r="AH416" s="29" t="str">
        <f aca="true">IF($O416="","",$O416-TODAY())</f>
        <v/>
      </c>
      <c r="AI416" s="26" t="str">
        <f aca="false">IF($O416="","",$O416-WEEKDAY($O416,3))</f>
        <v/>
      </c>
      <c r="AJ416" s="30" t="str">
        <f aca="false">IF($O416="","",DATE(YEAR($O416),MONTH($O416),1))</f>
        <v/>
      </c>
      <c r="AK416" s="31" t="str">
        <f aca="false">IF(OR($O416="",$K416=""),"",COUNTIFS('Comms Calendar'!$K$5:$K$504,$K416,'Comms Calendar'!$B$5:$B$504,$B416,'Comms Calendar'!$AI$5:$AI$504,$AI416,'Comms Calendar'!$AE$5:$AE$504,"&lt;&gt;Cancelled"))</f>
        <v/>
      </c>
      <c r="AL416" s="27" t="str">
        <f aca="false">IF($AK416="","",IF($AK416&gt;'Rules &amp; Guardrails'!$C$3,"Over cap","OK"))</f>
        <v/>
      </c>
      <c r="AM416" s="27" t="str">
        <f aca="false">IF(OR($O416="",$K416=""),"",IF(COUNTIFS('Comms Calendar'!$K$5:$K$504,$K416,'Comms Calendar'!$B$5:$B$504,$B416,'Comms Calendar'!$O$5:$O$504,$O416,'Comms Calendar'!$AE$5:$AE$504,"&lt;&gt;Cancelled")&gt;1,"Clash",""))</f>
        <v/>
      </c>
      <c r="AN416" s="27" t="str">
        <f aca="false">IF($O416="","",IF(IF($B416="Global",COUNTIF('Rules &amp; Guardrails'!$F$9:$F$60,$O416),COUNTIFS('Rules &amp; Guardrails'!$F$9:$F$60,$O416,'Rules &amp; Guardrails'!$G$9:$G$60,$B416)+COUNTIFS('Rules &amp; Guardrails'!$F$9:$F$60,$O416,'Rules &amp; Guardrails'!$G$9:$G$60,"Global"))&gt;0,"Blackout",""))</f>
        <v/>
      </c>
      <c r="AO416" s="6"/>
      <c r="AP416" s="25"/>
      <c r="AQ416" s="23"/>
      <c r="AR416" s="31" t="str">
        <f aca="false">IF($D416="","",IFERROR(VLOOKUP($D416,'Rules &amp; Guardrails'!$A$9:$D$24,2,0),"Other"))</f>
        <v/>
      </c>
      <c r="AS416" s="31" t="str">
        <f aca="false">IF($O416="","",$O416&amp;"|"&amp;$B416)</f>
        <v/>
      </c>
    </row>
    <row r="417" customFormat="false" ht="15" hidden="false" customHeight="false" outlineLevel="0" collapsed="false">
      <c r="A417" s="23"/>
      <c r="B417" s="23"/>
      <c r="C417" s="23"/>
      <c r="D417" s="23"/>
      <c r="E417" s="23"/>
      <c r="F417" s="23"/>
      <c r="G417" s="6"/>
      <c r="H417" s="6"/>
      <c r="I417" s="23"/>
      <c r="J417" s="23"/>
      <c r="K417" s="23"/>
      <c r="L417" s="6"/>
      <c r="M417" s="6"/>
      <c r="N417" s="24"/>
      <c r="O417" s="25"/>
      <c r="P417" s="23"/>
      <c r="Q417" s="23"/>
      <c r="R417" s="23"/>
      <c r="S417" s="23"/>
      <c r="T417" s="26" t="str">
        <f aca="false">IF(OR($O417="",$D417=""),"",WORKDAY($O417,-IFERROR(VLOOKUP($D417,'Rules &amp; Guardrails'!$A$9:$D$24,3,0),10)))</f>
        <v/>
      </c>
      <c r="U417" s="23"/>
      <c r="V417" s="23"/>
      <c r="W417" s="23"/>
      <c r="X417" s="6"/>
      <c r="Y417" s="23"/>
      <c r="Z417" s="23"/>
      <c r="AA417" s="23"/>
      <c r="AB417" s="23"/>
      <c r="AC417" s="23"/>
      <c r="AD417" s="23"/>
      <c r="AE417" s="23"/>
      <c r="AF417" s="27" t="str">
        <f aca="true">IF($O417="","",IF(OR($AE417="Cancelled",$AE417="On hold",$AE417="Launched"),$AE417,IF(AND($Y417="Approved",OR($Z417="Yes",$Z417="N/A"),OR($AA417="Yes",$AA417="N/A"),OR($AB417="No",$AB417="N/A",AND($AB417="Yes",$AD417="Yes"))),"Ready",IF($O417&lt;TODAY(),"Overdue",IF($O417-TODAY()&lt;='Rules &amp; Guardrails'!$C$5,"At Risk","In Progress")))))</f>
        <v/>
      </c>
      <c r="AG417" s="28" t="str">
        <f aca="false">IF($O417="","",IF(OR($AE417="Launched",$AE417="Cancelled"),"",MID(IF($Y417&lt;&gt;"Approved",", Content approval","")&amp;IF(NOT(OR($Z417="Yes",$Z417="N/A")),", Assets","")&amp;IF(NOT(OR($AA417="Yes",$AA417="N/A")),", List","")&amp;IF($AB417="",", Ops decision",IF(AND($AB417="Yes",$AD417&lt;&gt;"Yes"),", Ops",""))&amp;IF($U417="",", Owner","")&amp;IF($K417="",", Segment",""),3,200)))</f>
        <v/>
      </c>
      <c r="AH417" s="29" t="str">
        <f aca="true">IF($O417="","",$O417-TODAY())</f>
        <v/>
      </c>
      <c r="AI417" s="26" t="str">
        <f aca="false">IF($O417="","",$O417-WEEKDAY($O417,3))</f>
        <v/>
      </c>
      <c r="AJ417" s="30" t="str">
        <f aca="false">IF($O417="","",DATE(YEAR($O417),MONTH($O417),1))</f>
        <v/>
      </c>
      <c r="AK417" s="31" t="str">
        <f aca="false">IF(OR($O417="",$K417=""),"",COUNTIFS('Comms Calendar'!$K$5:$K$504,$K417,'Comms Calendar'!$B$5:$B$504,$B417,'Comms Calendar'!$AI$5:$AI$504,$AI417,'Comms Calendar'!$AE$5:$AE$504,"&lt;&gt;Cancelled"))</f>
        <v/>
      </c>
      <c r="AL417" s="27" t="str">
        <f aca="false">IF($AK417="","",IF($AK417&gt;'Rules &amp; Guardrails'!$C$3,"Over cap","OK"))</f>
        <v/>
      </c>
      <c r="AM417" s="27" t="str">
        <f aca="false">IF(OR($O417="",$K417=""),"",IF(COUNTIFS('Comms Calendar'!$K$5:$K$504,$K417,'Comms Calendar'!$B$5:$B$504,$B417,'Comms Calendar'!$O$5:$O$504,$O417,'Comms Calendar'!$AE$5:$AE$504,"&lt;&gt;Cancelled")&gt;1,"Clash",""))</f>
        <v/>
      </c>
      <c r="AN417" s="27" t="str">
        <f aca="false">IF($O417="","",IF(IF($B417="Global",COUNTIF('Rules &amp; Guardrails'!$F$9:$F$60,$O417),COUNTIFS('Rules &amp; Guardrails'!$F$9:$F$60,$O417,'Rules &amp; Guardrails'!$G$9:$G$60,$B417)+COUNTIFS('Rules &amp; Guardrails'!$F$9:$F$60,$O417,'Rules &amp; Guardrails'!$G$9:$G$60,"Global"))&gt;0,"Blackout",""))</f>
        <v/>
      </c>
      <c r="AO417" s="6"/>
      <c r="AP417" s="25"/>
      <c r="AQ417" s="23"/>
      <c r="AR417" s="31" t="str">
        <f aca="false">IF($D417="","",IFERROR(VLOOKUP($D417,'Rules &amp; Guardrails'!$A$9:$D$24,2,0),"Other"))</f>
        <v/>
      </c>
      <c r="AS417" s="31" t="str">
        <f aca="false">IF($O417="","",$O417&amp;"|"&amp;$B417)</f>
        <v/>
      </c>
    </row>
    <row r="418" customFormat="false" ht="15" hidden="false" customHeight="false" outlineLevel="0" collapsed="false">
      <c r="A418" s="23"/>
      <c r="B418" s="23"/>
      <c r="C418" s="23"/>
      <c r="D418" s="23"/>
      <c r="E418" s="23"/>
      <c r="F418" s="23"/>
      <c r="G418" s="6"/>
      <c r="H418" s="6"/>
      <c r="I418" s="23"/>
      <c r="J418" s="23"/>
      <c r="K418" s="23"/>
      <c r="L418" s="6"/>
      <c r="M418" s="6"/>
      <c r="N418" s="24"/>
      <c r="O418" s="25"/>
      <c r="P418" s="23"/>
      <c r="Q418" s="23"/>
      <c r="R418" s="23"/>
      <c r="S418" s="23"/>
      <c r="T418" s="26" t="str">
        <f aca="false">IF(OR($O418="",$D418=""),"",WORKDAY($O418,-IFERROR(VLOOKUP($D418,'Rules &amp; Guardrails'!$A$9:$D$24,3,0),10)))</f>
        <v/>
      </c>
      <c r="U418" s="23"/>
      <c r="V418" s="23"/>
      <c r="W418" s="23"/>
      <c r="X418" s="6"/>
      <c r="Y418" s="23"/>
      <c r="Z418" s="23"/>
      <c r="AA418" s="23"/>
      <c r="AB418" s="23"/>
      <c r="AC418" s="23"/>
      <c r="AD418" s="23"/>
      <c r="AE418" s="23"/>
      <c r="AF418" s="27" t="str">
        <f aca="true">IF($O418="","",IF(OR($AE418="Cancelled",$AE418="On hold",$AE418="Launched"),$AE418,IF(AND($Y418="Approved",OR($Z418="Yes",$Z418="N/A"),OR($AA418="Yes",$AA418="N/A"),OR($AB418="No",$AB418="N/A",AND($AB418="Yes",$AD418="Yes"))),"Ready",IF($O418&lt;TODAY(),"Overdue",IF($O418-TODAY()&lt;='Rules &amp; Guardrails'!$C$5,"At Risk","In Progress")))))</f>
        <v/>
      </c>
      <c r="AG418" s="28" t="str">
        <f aca="false">IF($O418="","",IF(OR($AE418="Launched",$AE418="Cancelled"),"",MID(IF($Y418&lt;&gt;"Approved",", Content approval","")&amp;IF(NOT(OR($Z418="Yes",$Z418="N/A")),", Assets","")&amp;IF(NOT(OR($AA418="Yes",$AA418="N/A")),", List","")&amp;IF($AB418="",", Ops decision",IF(AND($AB418="Yes",$AD418&lt;&gt;"Yes"),", Ops",""))&amp;IF($U418="",", Owner","")&amp;IF($K418="",", Segment",""),3,200)))</f>
        <v/>
      </c>
      <c r="AH418" s="29" t="str">
        <f aca="true">IF($O418="","",$O418-TODAY())</f>
        <v/>
      </c>
      <c r="AI418" s="26" t="str">
        <f aca="false">IF($O418="","",$O418-WEEKDAY($O418,3))</f>
        <v/>
      </c>
      <c r="AJ418" s="30" t="str">
        <f aca="false">IF($O418="","",DATE(YEAR($O418),MONTH($O418),1))</f>
        <v/>
      </c>
      <c r="AK418" s="31" t="str">
        <f aca="false">IF(OR($O418="",$K418=""),"",COUNTIFS('Comms Calendar'!$K$5:$K$504,$K418,'Comms Calendar'!$B$5:$B$504,$B418,'Comms Calendar'!$AI$5:$AI$504,$AI418,'Comms Calendar'!$AE$5:$AE$504,"&lt;&gt;Cancelled"))</f>
        <v/>
      </c>
      <c r="AL418" s="27" t="str">
        <f aca="false">IF($AK418="","",IF($AK418&gt;'Rules &amp; Guardrails'!$C$3,"Over cap","OK"))</f>
        <v/>
      </c>
      <c r="AM418" s="27" t="str">
        <f aca="false">IF(OR($O418="",$K418=""),"",IF(COUNTIFS('Comms Calendar'!$K$5:$K$504,$K418,'Comms Calendar'!$B$5:$B$504,$B418,'Comms Calendar'!$O$5:$O$504,$O418,'Comms Calendar'!$AE$5:$AE$504,"&lt;&gt;Cancelled")&gt;1,"Clash",""))</f>
        <v/>
      </c>
      <c r="AN418" s="27" t="str">
        <f aca="false">IF($O418="","",IF(IF($B418="Global",COUNTIF('Rules &amp; Guardrails'!$F$9:$F$60,$O418),COUNTIFS('Rules &amp; Guardrails'!$F$9:$F$60,$O418,'Rules &amp; Guardrails'!$G$9:$G$60,$B418)+COUNTIFS('Rules &amp; Guardrails'!$F$9:$F$60,$O418,'Rules &amp; Guardrails'!$G$9:$G$60,"Global"))&gt;0,"Blackout",""))</f>
        <v/>
      </c>
      <c r="AO418" s="6"/>
      <c r="AP418" s="25"/>
      <c r="AQ418" s="23"/>
      <c r="AR418" s="31" t="str">
        <f aca="false">IF($D418="","",IFERROR(VLOOKUP($D418,'Rules &amp; Guardrails'!$A$9:$D$24,2,0),"Other"))</f>
        <v/>
      </c>
      <c r="AS418" s="31" t="str">
        <f aca="false">IF($O418="","",$O418&amp;"|"&amp;$B418)</f>
        <v/>
      </c>
    </row>
    <row r="419" customFormat="false" ht="15" hidden="false" customHeight="false" outlineLevel="0" collapsed="false">
      <c r="A419" s="23"/>
      <c r="B419" s="23"/>
      <c r="C419" s="23"/>
      <c r="D419" s="23"/>
      <c r="E419" s="23"/>
      <c r="F419" s="23"/>
      <c r="G419" s="6"/>
      <c r="H419" s="6"/>
      <c r="I419" s="23"/>
      <c r="J419" s="23"/>
      <c r="K419" s="23"/>
      <c r="L419" s="6"/>
      <c r="M419" s="6"/>
      <c r="N419" s="24"/>
      <c r="O419" s="25"/>
      <c r="P419" s="23"/>
      <c r="Q419" s="23"/>
      <c r="R419" s="23"/>
      <c r="S419" s="23"/>
      <c r="T419" s="26" t="str">
        <f aca="false">IF(OR($O419="",$D419=""),"",WORKDAY($O419,-IFERROR(VLOOKUP($D419,'Rules &amp; Guardrails'!$A$9:$D$24,3,0),10)))</f>
        <v/>
      </c>
      <c r="U419" s="23"/>
      <c r="V419" s="23"/>
      <c r="W419" s="23"/>
      <c r="X419" s="6"/>
      <c r="Y419" s="23"/>
      <c r="Z419" s="23"/>
      <c r="AA419" s="23"/>
      <c r="AB419" s="23"/>
      <c r="AC419" s="23"/>
      <c r="AD419" s="23"/>
      <c r="AE419" s="23"/>
      <c r="AF419" s="27" t="str">
        <f aca="true">IF($O419="","",IF(OR($AE419="Cancelled",$AE419="On hold",$AE419="Launched"),$AE419,IF(AND($Y419="Approved",OR($Z419="Yes",$Z419="N/A"),OR($AA419="Yes",$AA419="N/A"),OR($AB419="No",$AB419="N/A",AND($AB419="Yes",$AD419="Yes"))),"Ready",IF($O419&lt;TODAY(),"Overdue",IF($O419-TODAY()&lt;='Rules &amp; Guardrails'!$C$5,"At Risk","In Progress")))))</f>
        <v/>
      </c>
      <c r="AG419" s="28" t="str">
        <f aca="false">IF($O419="","",IF(OR($AE419="Launched",$AE419="Cancelled"),"",MID(IF($Y419&lt;&gt;"Approved",", Content approval","")&amp;IF(NOT(OR($Z419="Yes",$Z419="N/A")),", Assets","")&amp;IF(NOT(OR($AA419="Yes",$AA419="N/A")),", List","")&amp;IF($AB419="",", Ops decision",IF(AND($AB419="Yes",$AD419&lt;&gt;"Yes"),", Ops",""))&amp;IF($U419="",", Owner","")&amp;IF($K419="",", Segment",""),3,200)))</f>
        <v/>
      </c>
      <c r="AH419" s="29" t="str">
        <f aca="true">IF($O419="","",$O419-TODAY())</f>
        <v/>
      </c>
      <c r="AI419" s="26" t="str">
        <f aca="false">IF($O419="","",$O419-WEEKDAY($O419,3))</f>
        <v/>
      </c>
      <c r="AJ419" s="30" t="str">
        <f aca="false">IF($O419="","",DATE(YEAR($O419),MONTH($O419),1))</f>
        <v/>
      </c>
      <c r="AK419" s="31" t="str">
        <f aca="false">IF(OR($O419="",$K419=""),"",COUNTIFS('Comms Calendar'!$K$5:$K$504,$K419,'Comms Calendar'!$B$5:$B$504,$B419,'Comms Calendar'!$AI$5:$AI$504,$AI419,'Comms Calendar'!$AE$5:$AE$504,"&lt;&gt;Cancelled"))</f>
        <v/>
      </c>
      <c r="AL419" s="27" t="str">
        <f aca="false">IF($AK419="","",IF($AK419&gt;'Rules &amp; Guardrails'!$C$3,"Over cap","OK"))</f>
        <v/>
      </c>
      <c r="AM419" s="27" t="str">
        <f aca="false">IF(OR($O419="",$K419=""),"",IF(COUNTIFS('Comms Calendar'!$K$5:$K$504,$K419,'Comms Calendar'!$B$5:$B$504,$B419,'Comms Calendar'!$O$5:$O$504,$O419,'Comms Calendar'!$AE$5:$AE$504,"&lt;&gt;Cancelled")&gt;1,"Clash",""))</f>
        <v/>
      </c>
      <c r="AN419" s="27" t="str">
        <f aca="false">IF($O419="","",IF(IF($B419="Global",COUNTIF('Rules &amp; Guardrails'!$F$9:$F$60,$O419),COUNTIFS('Rules &amp; Guardrails'!$F$9:$F$60,$O419,'Rules &amp; Guardrails'!$G$9:$G$60,$B419)+COUNTIFS('Rules &amp; Guardrails'!$F$9:$F$60,$O419,'Rules &amp; Guardrails'!$G$9:$G$60,"Global"))&gt;0,"Blackout",""))</f>
        <v/>
      </c>
      <c r="AO419" s="6"/>
      <c r="AP419" s="25"/>
      <c r="AQ419" s="23"/>
      <c r="AR419" s="31" t="str">
        <f aca="false">IF($D419="","",IFERROR(VLOOKUP($D419,'Rules &amp; Guardrails'!$A$9:$D$24,2,0),"Other"))</f>
        <v/>
      </c>
      <c r="AS419" s="31" t="str">
        <f aca="false">IF($O419="","",$O419&amp;"|"&amp;$B419)</f>
        <v/>
      </c>
    </row>
    <row r="420" customFormat="false" ht="15" hidden="false" customHeight="false" outlineLevel="0" collapsed="false">
      <c r="A420" s="23"/>
      <c r="B420" s="23"/>
      <c r="C420" s="23"/>
      <c r="D420" s="23"/>
      <c r="E420" s="23"/>
      <c r="F420" s="23"/>
      <c r="G420" s="6"/>
      <c r="H420" s="6"/>
      <c r="I420" s="23"/>
      <c r="J420" s="23"/>
      <c r="K420" s="23"/>
      <c r="L420" s="6"/>
      <c r="M420" s="6"/>
      <c r="N420" s="24"/>
      <c r="O420" s="25"/>
      <c r="P420" s="23"/>
      <c r="Q420" s="23"/>
      <c r="R420" s="23"/>
      <c r="S420" s="23"/>
      <c r="T420" s="26" t="str">
        <f aca="false">IF(OR($O420="",$D420=""),"",WORKDAY($O420,-IFERROR(VLOOKUP($D420,'Rules &amp; Guardrails'!$A$9:$D$24,3,0),10)))</f>
        <v/>
      </c>
      <c r="U420" s="23"/>
      <c r="V420" s="23"/>
      <c r="W420" s="23"/>
      <c r="X420" s="6"/>
      <c r="Y420" s="23"/>
      <c r="Z420" s="23"/>
      <c r="AA420" s="23"/>
      <c r="AB420" s="23"/>
      <c r="AC420" s="23"/>
      <c r="AD420" s="23"/>
      <c r="AE420" s="23"/>
      <c r="AF420" s="27" t="str">
        <f aca="true">IF($O420="","",IF(OR($AE420="Cancelled",$AE420="On hold",$AE420="Launched"),$AE420,IF(AND($Y420="Approved",OR($Z420="Yes",$Z420="N/A"),OR($AA420="Yes",$AA420="N/A"),OR($AB420="No",$AB420="N/A",AND($AB420="Yes",$AD420="Yes"))),"Ready",IF($O420&lt;TODAY(),"Overdue",IF($O420-TODAY()&lt;='Rules &amp; Guardrails'!$C$5,"At Risk","In Progress")))))</f>
        <v/>
      </c>
      <c r="AG420" s="28" t="str">
        <f aca="false">IF($O420="","",IF(OR($AE420="Launched",$AE420="Cancelled"),"",MID(IF($Y420&lt;&gt;"Approved",", Content approval","")&amp;IF(NOT(OR($Z420="Yes",$Z420="N/A")),", Assets","")&amp;IF(NOT(OR($AA420="Yes",$AA420="N/A")),", List","")&amp;IF($AB420="",", Ops decision",IF(AND($AB420="Yes",$AD420&lt;&gt;"Yes"),", Ops",""))&amp;IF($U420="",", Owner","")&amp;IF($K420="",", Segment",""),3,200)))</f>
        <v/>
      </c>
      <c r="AH420" s="29" t="str">
        <f aca="true">IF($O420="","",$O420-TODAY())</f>
        <v/>
      </c>
      <c r="AI420" s="26" t="str">
        <f aca="false">IF($O420="","",$O420-WEEKDAY($O420,3))</f>
        <v/>
      </c>
      <c r="AJ420" s="30" t="str">
        <f aca="false">IF($O420="","",DATE(YEAR($O420),MONTH($O420),1))</f>
        <v/>
      </c>
      <c r="AK420" s="31" t="str">
        <f aca="false">IF(OR($O420="",$K420=""),"",COUNTIFS('Comms Calendar'!$K$5:$K$504,$K420,'Comms Calendar'!$B$5:$B$504,$B420,'Comms Calendar'!$AI$5:$AI$504,$AI420,'Comms Calendar'!$AE$5:$AE$504,"&lt;&gt;Cancelled"))</f>
        <v/>
      </c>
      <c r="AL420" s="27" t="str">
        <f aca="false">IF($AK420="","",IF($AK420&gt;'Rules &amp; Guardrails'!$C$3,"Over cap","OK"))</f>
        <v/>
      </c>
      <c r="AM420" s="27" t="str">
        <f aca="false">IF(OR($O420="",$K420=""),"",IF(COUNTIFS('Comms Calendar'!$K$5:$K$504,$K420,'Comms Calendar'!$B$5:$B$504,$B420,'Comms Calendar'!$O$5:$O$504,$O420,'Comms Calendar'!$AE$5:$AE$504,"&lt;&gt;Cancelled")&gt;1,"Clash",""))</f>
        <v/>
      </c>
      <c r="AN420" s="27" t="str">
        <f aca="false">IF($O420="","",IF(IF($B420="Global",COUNTIF('Rules &amp; Guardrails'!$F$9:$F$60,$O420),COUNTIFS('Rules &amp; Guardrails'!$F$9:$F$60,$O420,'Rules &amp; Guardrails'!$G$9:$G$60,$B420)+COUNTIFS('Rules &amp; Guardrails'!$F$9:$F$60,$O420,'Rules &amp; Guardrails'!$G$9:$G$60,"Global"))&gt;0,"Blackout",""))</f>
        <v/>
      </c>
      <c r="AO420" s="6"/>
      <c r="AP420" s="25"/>
      <c r="AQ420" s="23"/>
      <c r="AR420" s="31" t="str">
        <f aca="false">IF($D420="","",IFERROR(VLOOKUP($D420,'Rules &amp; Guardrails'!$A$9:$D$24,2,0),"Other"))</f>
        <v/>
      </c>
      <c r="AS420" s="31" t="str">
        <f aca="false">IF($O420="","",$O420&amp;"|"&amp;$B420)</f>
        <v/>
      </c>
    </row>
    <row r="421" customFormat="false" ht="15" hidden="false" customHeight="false" outlineLevel="0" collapsed="false">
      <c r="A421" s="23"/>
      <c r="B421" s="23"/>
      <c r="C421" s="23"/>
      <c r="D421" s="23"/>
      <c r="E421" s="23"/>
      <c r="F421" s="23"/>
      <c r="G421" s="6"/>
      <c r="H421" s="6"/>
      <c r="I421" s="23"/>
      <c r="J421" s="23"/>
      <c r="K421" s="23"/>
      <c r="L421" s="6"/>
      <c r="M421" s="6"/>
      <c r="N421" s="24"/>
      <c r="O421" s="25"/>
      <c r="P421" s="23"/>
      <c r="Q421" s="23"/>
      <c r="R421" s="23"/>
      <c r="S421" s="23"/>
      <c r="T421" s="26" t="str">
        <f aca="false">IF(OR($O421="",$D421=""),"",WORKDAY($O421,-IFERROR(VLOOKUP($D421,'Rules &amp; Guardrails'!$A$9:$D$24,3,0),10)))</f>
        <v/>
      </c>
      <c r="U421" s="23"/>
      <c r="V421" s="23"/>
      <c r="W421" s="23"/>
      <c r="X421" s="6"/>
      <c r="Y421" s="23"/>
      <c r="Z421" s="23"/>
      <c r="AA421" s="23"/>
      <c r="AB421" s="23"/>
      <c r="AC421" s="23"/>
      <c r="AD421" s="23"/>
      <c r="AE421" s="23"/>
      <c r="AF421" s="27" t="str">
        <f aca="true">IF($O421="","",IF(OR($AE421="Cancelled",$AE421="On hold",$AE421="Launched"),$AE421,IF(AND($Y421="Approved",OR($Z421="Yes",$Z421="N/A"),OR($AA421="Yes",$AA421="N/A"),OR($AB421="No",$AB421="N/A",AND($AB421="Yes",$AD421="Yes"))),"Ready",IF($O421&lt;TODAY(),"Overdue",IF($O421-TODAY()&lt;='Rules &amp; Guardrails'!$C$5,"At Risk","In Progress")))))</f>
        <v/>
      </c>
      <c r="AG421" s="28" t="str">
        <f aca="false">IF($O421="","",IF(OR($AE421="Launched",$AE421="Cancelled"),"",MID(IF($Y421&lt;&gt;"Approved",", Content approval","")&amp;IF(NOT(OR($Z421="Yes",$Z421="N/A")),", Assets","")&amp;IF(NOT(OR($AA421="Yes",$AA421="N/A")),", List","")&amp;IF($AB421="",", Ops decision",IF(AND($AB421="Yes",$AD421&lt;&gt;"Yes"),", Ops",""))&amp;IF($U421="",", Owner","")&amp;IF($K421="",", Segment",""),3,200)))</f>
        <v/>
      </c>
      <c r="AH421" s="29" t="str">
        <f aca="true">IF($O421="","",$O421-TODAY())</f>
        <v/>
      </c>
      <c r="AI421" s="26" t="str">
        <f aca="false">IF($O421="","",$O421-WEEKDAY($O421,3))</f>
        <v/>
      </c>
      <c r="AJ421" s="30" t="str">
        <f aca="false">IF($O421="","",DATE(YEAR($O421),MONTH($O421),1))</f>
        <v/>
      </c>
      <c r="AK421" s="31" t="str">
        <f aca="false">IF(OR($O421="",$K421=""),"",COUNTIFS('Comms Calendar'!$K$5:$K$504,$K421,'Comms Calendar'!$B$5:$B$504,$B421,'Comms Calendar'!$AI$5:$AI$504,$AI421,'Comms Calendar'!$AE$5:$AE$504,"&lt;&gt;Cancelled"))</f>
        <v/>
      </c>
      <c r="AL421" s="27" t="str">
        <f aca="false">IF($AK421="","",IF($AK421&gt;'Rules &amp; Guardrails'!$C$3,"Over cap","OK"))</f>
        <v/>
      </c>
      <c r="AM421" s="27" t="str">
        <f aca="false">IF(OR($O421="",$K421=""),"",IF(COUNTIFS('Comms Calendar'!$K$5:$K$504,$K421,'Comms Calendar'!$B$5:$B$504,$B421,'Comms Calendar'!$O$5:$O$504,$O421,'Comms Calendar'!$AE$5:$AE$504,"&lt;&gt;Cancelled")&gt;1,"Clash",""))</f>
        <v/>
      </c>
      <c r="AN421" s="27" t="str">
        <f aca="false">IF($O421="","",IF(IF($B421="Global",COUNTIF('Rules &amp; Guardrails'!$F$9:$F$60,$O421),COUNTIFS('Rules &amp; Guardrails'!$F$9:$F$60,$O421,'Rules &amp; Guardrails'!$G$9:$G$60,$B421)+COUNTIFS('Rules &amp; Guardrails'!$F$9:$F$60,$O421,'Rules &amp; Guardrails'!$G$9:$G$60,"Global"))&gt;0,"Blackout",""))</f>
        <v/>
      </c>
      <c r="AO421" s="6"/>
      <c r="AP421" s="25"/>
      <c r="AQ421" s="23"/>
      <c r="AR421" s="31" t="str">
        <f aca="false">IF($D421="","",IFERROR(VLOOKUP($D421,'Rules &amp; Guardrails'!$A$9:$D$24,2,0),"Other"))</f>
        <v/>
      </c>
      <c r="AS421" s="31" t="str">
        <f aca="false">IF($O421="","",$O421&amp;"|"&amp;$B421)</f>
        <v/>
      </c>
    </row>
    <row r="422" customFormat="false" ht="15" hidden="false" customHeight="false" outlineLevel="0" collapsed="false">
      <c r="A422" s="23"/>
      <c r="B422" s="23"/>
      <c r="C422" s="23"/>
      <c r="D422" s="23"/>
      <c r="E422" s="23"/>
      <c r="F422" s="23"/>
      <c r="G422" s="6"/>
      <c r="H422" s="6"/>
      <c r="I422" s="23"/>
      <c r="J422" s="23"/>
      <c r="K422" s="23"/>
      <c r="L422" s="6"/>
      <c r="M422" s="6"/>
      <c r="N422" s="24"/>
      <c r="O422" s="25"/>
      <c r="P422" s="23"/>
      <c r="Q422" s="23"/>
      <c r="R422" s="23"/>
      <c r="S422" s="23"/>
      <c r="T422" s="26" t="str">
        <f aca="false">IF(OR($O422="",$D422=""),"",WORKDAY($O422,-IFERROR(VLOOKUP($D422,'Rules &amp; Guardrails'!$A$9:$D$24,3,0),10)))</f>
        <v/>
      </c>
      <c r="U422" s="23"/>
      <c r="V422" s="23"/>
      <c r="W422" s="23"/>
      <c r="X422" s="6"/>
      <c r="Y422" s="23"/>
      <c r="Z422" s="23"/>
      <c r="AA422" s="23"/>
      <c r="AB422" s="23"/>
      <c r="AC422" s="23"/>
      <c r="AD422" s="23"/>
      <c r="AE422" s="23"/>
      <c r="AF422" s="27" t="str">
        <f aca="true">IF($O422="","",IF(OR($AE422="Cancelled",$AE422="On hold",$AE422="Launched"),$AE422,IF(AND($Y422="Approved",OR($Z422="Yes",$Z422="N/A"),OR($AA422="Yes",$AA422="N/A"),OR($AB422="No",$AB422="N/A",AND($AB422="Yes",$AD422="Yes"))),"Ready",IF($O422&lt;TODAY(),"Overdue",IF($O422-TODAY()&lt;='Rules &amp; Guardrails'!$C$5,"At Risk","In Progress")))))</f>
        <v/>
      </c>
      <c r="AG422" s="28" t="str">
        <f aca="false">IF($O422="","",IF(OR($AE422="Launched",$AE422="Cancelled"),"",MID(IF($Y422&lt;&gt;"Approved",", Content approval","")&amp;IF(NOT(OR($Z422="Yes",$Z422="N/A")),", Assets","")&amp;IF(NOT(OR($AA422="Yes",$AA422="N/A")),", List","")&amp;IF($AB422="",", Ops decision",IF(AND($AB422="Yes",$AD422&lt;&gt;"Yes"),", Ops",""))&amp;IF($U422="",", Owner","")&amp;IF($K422="",", Segment",""),3,200)))</f>
        <v/>
      </c>
      <c r="AH422" s="29" t="str">
        <f aca="true">IF($O422="","",$O422-TODAY())</f>
        <v/>
      </c>
      <c r="AI422" s="26" t="str">
        <f aca="false">IF($O422="","",$O422-WEEKDAY($O422,3))</f>
        <v/>
      </c>
      <c r="AJ422" s="30" t="str">
        <f aca="false">IF($O422="","",DATE(YEAR($O422),MONTH($O422),1))</f>
        <v/>
      </c>
      <c r="AK422" s="31" t="str">
        <f aca="false">IF(OR($O422="",$K422=""),"",COUNTIFS('Comms Calendar'!$K$5:$K$504,$K422,'Comms Calendar'!$B$5:$B$504,$B422,'Comms Calendar'!$AI$5:$AI$504,$AI422,'Comms Calendar'!$AE$5:$AE$504,"&lt;&gt;Cancelled"))</f>
        <v/>
      </c>
      <c r="AL422" s="27" t="str">
        <f aca="false">IF($AK422="","",IF($AK422&gt;'Rules &amp; Guardrails'!$C$3,"Over cap","OK"))</f>
        <v/>
      </c>
      <c r="AM422" s="27" t="str">
        <f aca="false">IF(OR($O422="",$K422=""),"",IF(COUNTIFS('Comms Calendar'!$K$5:$K$504,$K422,'Comms Calendar'!$B$5:$B$504,$B422,'Comms Calendar'!$O$5:$O$504,$O422,'Comms Calendar'!$AE$5:$AE$504,"&lt;&gt;Cancelled")&gt;1,"Clash",""))</f>
        <v/>
      </c>
      <c r="AN422" s="27" t="str">
        <f aca="false">IF($O422="","",IF(IF($B422="Global",COUNTIF('Rules &amp; Guardrails'!$F$9:$F$60,$O422),COUNTIFS('Rules &amp; Guardrails'!$F$9:$F$60,$O422,'Rules &amp; Guardrails'!$G$9:$G$60,$B422)+COUNTIFS('Rules &amp; Guardrails'!$F$9:$F$60,$O422,'Rules &amp; Guardrails'!$G$9:$G$60,"Global"))&gt;0,"Blackout",""))</f>
        <v/>
      </c>
      <c r="AO422" s="6"/>
      <c r="AP422" s="25"/>
      <c r="AQ422" s="23"/>
      <c r="AR422" s="31" t="str">
        <f aca="false">IF($D422="","",IFERROR(VLOOKUP($D422,'Rules &amp; Guardrails'!$A$9:$D$24,2,0),"Other"))</f>
        <v/>
      </c>
      <c r="AS422" s="31" t="str">
        <f aca="false">IF($O422="","",$O422&amp;"|"&amp;$B422)</f>
        <v/>
      </c>
    </row>
    <row r="423" customFormat="false" ht="15" hidden="false" customHeight="false" outlineLevel="0" collapsed="false">
      <c r="A423" s="23"/>
      <c r="B423" s="23"/>
      <c r="C423" s="23"/>
      <c r="D423" s="23"/>
      <c r="E423" s="23"/>
      <c r="F423" s="23"/>
      <c r="G423" s="6"/>
      <c r="H423" s="6"/>
      <c r="I423" s="23"/>
      <c r="J423" s="23"/>
      <c r="K423" s="23"/>
      <c r="L423" s="6"/>
      <c r="M423" s="6"/>
      <c r="N423" s="24"/>
      <c r="O423" s="25"/>
      <c r="P423" s="23"/>
      <c r="Q423" s="23"/>
      <c r="R423" s="23"/>
      <c r="S423" s="23"/>
      <c r="T423" s="26" t="str">
        <f aca="false">IF(OR($O423="",$D423=""),"",WORKDAY($O423,-IFERROR(VLOOKUP($D423,'Rules &amp; Guardrails'!$A$9:$D$24,3,0),10)))</f>
        <v/>
      </c>
      <c r="U423" s="23"/>
      <c r="V423" s="23"/>
      <c r="W423" s="23"/>
      <c r="X423" s="6"/>
      <c r="Y423" s="23"/>
      <c r="Z423" s="23"/>
      <c r="AA423" s="23"/>
      <c r="AB423" s="23"/>
      <c r="AC423" s="23"/>
      <c r="AD423" s="23"/>
      <c r="AE423" s="23"/>
      <c r="AF423" s="27" t="str">
        <f aca="true">IF($O423="","",IF(OR($AE423="Cancelled",$AE423="On hold",$AE423="Launched"),$AE423,IF(AND($Y423="Approved",OR($Z423="Yes",$Z423="N/A"),OR($AA423="Yes",$AA423="N/A"),OR($AB423="No",$AB423="N/A",AND($AB423="Yes",$AD423="Yes"))),"Ready",IF($O423&lt;TODAY(),"Overdue",IF($O423-TODAY()&lt;='Rules &amp; Guardrails'!$C$5,"At Risk","In Progress")))))</f>
        <v/>
      </c>
      <c r="AG423" s="28" t="str">
        <f aca="false">IF($O423="","",IF(OR($AE423="Launched",$AE423="Cancelled"),"",MID(IF($Y423&lt;&gt;"Approved",", Content approval","")&amp;IF(NOT(OR($Z423="Yes",$Z423="N/A")),", Assets","")&amp;IF(NOT(OR($AA423="Yes",$AA423="N/A")),", List","")&amp;IF($AB423="",", Ops decision",IF(AND($AB423="Yes",$AD423&lt;&gt;"Yes"),", Ops",""))&amp;IF($U423="",", Owner","")&amp;IF($K423="",", Segment",""),3,200)))</f>
        <v/>
      </c>
      <c r="AH423" s="29" t="str">
        <f aca="true">IF($O423="","",$O423-TODAY())</f>
        <v/>
      </c>
      <c r="AI423" s="26" t="str">
        <f aca="false">IF($O423="","",$O423-WEEKDAY($O423,3))</f>
        <v/>
      </c>
      <c r="AJ423" s="30" t="str">
        <f aca="false">IF($O423="","",DATE(YEAR($O423),MONTH($O423),1))</f>
        <v/>
      </c>
      <c r="AK423" s="31" t="str">
        <f aca="false">IF(OR($O423="",$K423=""),"",COUNTIFS('Comms Calendar'!$K$5:$K$504,$K423,'Comms Calendar'!$B$5:$B$504,$B423,'Comms Calendar'!$AI$5:$AI$504,$AI423,'Comms Calendar'!$AE$5:$AE$504,"&lt;&gt;Cancelled"))</f>
        <v/>
      </c>
      <c r="AL423" s="27" t="str">
        <f aca="false">IF($AK423="","",IF($AK423&gt;'Rules &amp; Guardrails'!$C$3,"Over cap","OK"))</f>
        <v/>
      </c>
      <c r="AM423" s="27" t="str">
        <f aca="false">IF(OR($O423="",$K423=""),"",IF(COUNTIFS('Comms Calendar'!$K$5:$K$504,$K423,'Comms Calendar'!$B$5:$B$504,$B423,'Comms Calendar'!$O$5:$O$504,$O423,'Comms Calendar'!$AE$5:$AE$504,"&lt;&gt;Cancelled")&gt;1,"Clash",""))</f>
        <v/>
      </c>
      <c r="AN423" s="27" t="str">
        <f aca="false">IF($O423="","",IF(IF($B423="Global",COUNTIF('Rules &amp; Guardrails'!$F$9:$F$60,$O423),COUNTIFS('Rules &amp; Guardrails'!$F$9:$F$60,$O423,'Rules &amp; Guardrails'!$G$9:$G$60,$B423)+COUNTIFS('Rules &amp; Guardrails'!$F$9:$F$60,$O423,'Rules &amp; Guardrails'!$G$9:$G$60,"Global"))&gt;0,"Blackout",""))</f>
        <v/>
      </c>
      <c r="AO423" s="6"/>
      <c r="AP423" s="25"/>
      <c r="AQ423" s="23"/>
      <c r="AR423" s="31" t="str">
        <f aca="false">IF($D423="","",IFERROR(VLOOKUP($D423,'Rules &amp; Guardrails'!$A$9:$D$24,2,0),"Other"))</f>
        <v/>
      </c>
      <c r="AS423" s="31" t="str">
        <f aca="false">IF($O423="","",$O423&amp;"|"&amp;$B423)</f>
        <v/>
      </c>
    </row>
    <row r="424" customFormat="false" ht="15" hidden="false" customHeight="false" outlineLevel="0" collapsed="false">
      <c r="A424" s="23"/>
      <c r="B424" s="23"/>
      <c r="C424" s="23"/>
      <c r="D424" s="23"/>
      <c r="E424" s="23"/>
      <c r="F424" s="23"/>
      <c r="G424" s="6"/>
      <c r="H424" s="6"/>
      <c r="I424" s="23"/>
      <c r="J424" s="23"/>
      <c r="K424" s="23"/>
      <c r="L424" s="6"/>
      <c r="M424" s="6"/>
      <c r="N424" s="24"/>
      <c r="O424" s="25"/>
      <c r="P424" s="23"/>
      <c r="Q424" s="23"/>
      <c r="R424" s="23"/>
      <c r="S424" s="23"/>
      <c r="T424" s="26" t="str">
        <f aca="false">IF(OR($O424="",$D424=""),"",WORKDAY($O424,-IFERROR(VLOOKUP($D424,'Rules &amp; Guardrails'!$A$9:$D$24,3,0),10)))</f>
        <v/>
      </c>
      <c r="U424" s="23"/>
      <c r="V424" s="23"/>
      <c r="W424" s="23"/>
      <c r="X424" s="6"/>
      <c r="Y424" s="23"/>
      <c r="Z424" s="23"/>
      <c r="AA424" s="23"/>
      <c r="AB424" s="23"/>
      <c r="AC424" s="23"/>
      <c r="AD424" s="23"/>
      <c r="AE424" s="23"/>
      <c r="AF424" s="27" t="str">
        <f aca="true">IF($O424="","",IF(OR($AE424="Cancelled",$AE424="On hold",$AE424="Launched"),$AE424,IF(AND($Y424="Approved",OR($Z424="Yes",$Z424="N/A"),OR($AA424="Yes",$AA424="N/A"),OR($AB424="No",$AB424="N/A",AND($AB424="Yes",$AD424="Yes"))),"Ready",IF($O424&lt;TODAY(),"Overdue",IF($O424-TODAY()&lt;='Rules &amp; Guardrails'!$C$5,"At Risk","In Progress")))))</f>
        <v/>
      </c>
      <c r="AG424" s="28" t="str">
        <f aca="false">IF($O424="","",IF(OR($AE424="Launched",$AE424="Cancelled"),"",MID(IF($Y424&lt;&gt;"Approved",", Content approval","")&amp;IF(NOT(OR($Z424="Yes",$Z424="N/A")),", Assets","")&amp;IF(NOT(OR($AA424="Yes",$AA424="N/A")),", List","")&amp;IF($AB424="",", Ops decision",IF(AND($AB424="Yes",$AD424&lt;&gt;"Yes"),", Ops",""))&amp;IF($U424="",", Owner","")&amp;IF($K424="",", Segment",""),3,200)))</f>
        <v/>
      </c>
      <c r="AH424" s="29" t="str">
        <f aca="true">IF($O424="","",$O424-TODAY())</f>
        <v/>
      </c>
      <c r="AI424" s="26" t="str">
        <f aca="false">IF($O424="","",$O424-WEEKDAY($O424,3))</f>
        <v/>
      </c>
      <c r="AJ424" s="30" t="str">
        <f aca="false">IF($O424="","",DATE(YEAR($O424),MONTH($O424),1))</f>
        <v/>
      </c>
      <c r="AK424" s="31" t="str">
        <f aca="false">IF(OR($O424="",$K424=""),"",COUNTIFS('Comms Calendar'!$K$5:$K$504,$K424,'Comms Calendar'!$B$5:$B$504,$B424,'Comms Calendar'!$AI$5:$AI$504,$AI424,'Comms Calendar'!$AE$5:$AE$504,"&lt;&gt;Cancelled"))</f>
        <v/>
      </c>
      <c r="AL424" s="27" t="str">
        <f aca="false">IF($AK424="","",IF($AK424&gt;'Rules &amp; Guardrails'!$C$3,"Over cap","OK"))</f>
        <v/>
      </c>
      <c r="AM424" s="27" t="str">
        <f aca="false">IF(OR($O424="",$K424=""),"",IF(COUNTIFS('Comms Calendar'!$K$5:$K$504,$K424,'Comms Calendar'!$B$5:$B$504,$B424,'Comms Calendar'!$O$5:$O$504,$O424,'Comms Calendar'!$AE$5:$AE$504,"&lt;&gt;Cancelled")&gt;1,"Clash",""))</f>
        <v/>
      </c>
      <c r="AN424" s="27" t="str">
        <f aca="false">IF($O424="","",IF(IF($B424="Global",COUNTIF('Rules &amp; Guardrails'!$F$9:$F$60,$O424),COUNTIFS('Rules &amp; Guardrails'!$F$9:$F$60,$O424,'Rules &amp; Guardrails'!$G$9:$G$60,$B424)+COUNTIFS('Rules &amp; Guardrails'!$F$9:$F$60,$O424,'Rules &amp; Guardrails'!$G$9:$G$60,"Global"))&gt;0,"Blackout",""))</f>
        <v/>
      </c>
      <c r="AO424" s="6"/>
      <c r="AP424" s="25"/>
      <c r="AQ424" s="23"/>
      <c r="AR424" s="31" t="str">
        <f aca="false">IF($D424="","",IFERROR(VLOOKUP($D424,'Rules &amp; Guardrails'!$A$9:$D$24,2,0),"Other"))</f>
        <v/>
      </c>
      <c r="AS424" s="31" t="str">
        <f aca="false">IF($O424="","",$O424&amp;"|"&amp;$B424)</f>
        <v/>
      </c>
    </row>
    <row r="425" customFormat="false" ht="15" hidden="false" customHeight="false" outlineLevel="0" collapsed="false">
      <c r="A425" s="23"/>
      <c r="B425" s="23"/>
      <c r="C425" s="23"/>
      <c r="D425" s="23"/>
      <c r="E425" s="23"/>
      <c r="F425" s="23"/>
      <c r="G425" s="6"/>
      <c r="H425" s="6"/>
      <c r="I425" s="23"/>
      <c r="J425" s="23"/>
      <c r="K425" s="23"/>
      <c r="L425" s="6"/>
      <c r="M425" s="6"/>
      <c r="N425" s="24"/>
      <c r="O425" s="25"/>
      <c r="P425" s="23"/>
      <c r="Q425" s="23"/>
      <c r="R425" s="23"/>
      <c r="S425" s="23"/>
      <c r="T425" s="26" t="str">
        <f aca="false">IF(OR($O425="",$D425=""),"",WORKDAY($O425,-IFERROR(VLOOKUP($D425,'Rules &amp; Guardrails'!$A$9:$D$24,3,0),10)))</f>
        <v/>
      </c>
      <c r="U425" s="23"/>
      <c r="V425" s="23"/>
      <c r="W425" s="23"/>
      <c r="X425" s="6"/>
      <c r="Y425" s="23"/>
      <c r="Z425" s="23"/>
      <c r="AA425" s="23"/>
      <c r="AB425" s="23"/>
      <c r="AC425" s="23"/>
      <c r="AD425" s="23"/>
      <c r="AE425" s="23"/>
      <c r="AF425" s="27" t="str">
        <f aca="true">IF($O425="","",IF(OR($AE425="Cancelled",$AE425="On hold",$AE425="Launched"),$AE425,IF(AND($Y425="Approved",OR($Z425="Yes",$Z425="N/A"),OR($AA425="Yes",$AA425="N/A"),OR($AB425="No",$AB425="N/A",AND($AB425="Yes",$AD425="Yes"))),"Ready",IF($O425&lt;TODAY(),"Overdue",IF($O425-TODAY()&lt;='Rules &amp; Guardrails'!$C$5,"At Risk","In Progress")))))</f>
        <v/>
      </c>
      <c r="AG425" s="28" t="str">
        <f aca="false">IF($O425="","",IF(OR($AE425="Launched",$AE425="Cancelled"),"",MID(IF($Y425&lt;&gt;"Approved",", Content approval","")&amp;IF(NOT(OR($Z425="Yes",$Z425="N/A")),", Assets","")&amp;IF(NOT(OR($AA425="Yes",$AA425="N/A")),", List","")&amp;IF($AB425="",", Ops decision",IF(AND($AB425="Yes",$AD425&lt;&gt;"Yes"),", Ops",""))&amp;IF($U425="",", Owner","")&amp;IF($K425="",", Segment",""),3,200)))</f>
        <v/>
      </c>
      <c r="AH425" s="29" t="str">
        <f aca="true">IF($O425="","",$O425-TODAY())</f>
        <v/>
      </c>
      <c r="AI425" s="26" t="str">
        <f aca="false">IF($O425="","",$O425-WEEKDAY($O425,3))</f>
        <v/>
      </c>
      <c r="AJ425" s="30" t="str">
        <f aca="false">IF($O425="","",DATE(YEAR($O425),MONTH($O425),1))</f>
        <v/>
      </c>
      <c r="AK425" s="31" t="str">
        <f aca="false">IF(OR($O425="",$K425=""),"",COUNTIFS('Comms Calendar'!$K$5:$K$504,$K425,'Comms Calendar'!$B$5:$B$504,$B425,'Comms Calendar'!$AI$5:$AI$504,$AI425,'Comms Calendar'!$AE$5:$AE$504,"&lt;&gt;Cancelled"))</f>
        <v/>
      </c>
      <c r="AL425" s="27" t="str">
        <f aca="false">IF($AK425="","",IF($AK425&gt;'Rules &amp; Guardrails'!$C$3,"Over cap","OK"))</f>
        <v/>
      </c>
      <c r="AM425" s="27" t="str">
        <f aca="false">IF(OR($O425="",$K425=""),"",IF(COUNTIFS('Comms Calendar'!$K$5:$K$504,$K425,'Comms Calendar'!$B$5:$B$504,$B425,'Comms Calendar'!$O$5:$O$504,$O425,'Comms Calendar'!$AE$5:$AE$504,"&lt;&gt;Cancelled")&gt;1,"Clash",""))</f>
        <v/>
      </c>
      <c r="AN425" s="27" t="str">
        <f aca="false">IF($O425="","",IF(IF($B425="Global",COUNTIF('Rules &amp; Guardrails'!$F$9:$F$60,$O425),COUNTIFS('Rules &amp; Guardrails'!$F$9:$F$60,$O425,'Rules &amp; Guardrails'!$G$9:$G$60,$B425)+COUNTIFS('Rules &amp; Guardrails'!$F$9:$F$60,$O425,'Rules &amp; Guardrails'!$G$9:$G$60,"Global"))&gt;0,"Blackout",""))</f>
        <v/>
      </c>
      <c r="AO425" s="6"/>
      <c r="AP425" s="25"/>
      <c r="AQ425" s="23"/>
      <c r="AR425" s="31" t="str">
        <f aca="false">IF($D425="","",IFERROR(VLOOKUP($D425,'Rules &amp; Guardrails'!$A$9:$D$24,2,0),"Other"))</f>
        <v/>
      </c>
      <c r="AS425" s="31" t="str">
        <f aca="false">IF($O425="","",$O425&amp;"|"&amp;$B425)</f>
        <v/>
      </c>
    </row>
    <row r="426" customFormat="false" ht="15" hidden="false" customHeight="false" outlineLevel="0" collapsed="false">
      <c r="A426" s="23"/>
      <c r="B426" s="23"/>
      <c r="C426" s="23"/>
      <c r="D426" s="23"/>
      <c r="E426" s="23"/>
      <c r="F426" s="23"/>
      <c r="G426" s="6"/>
      <c r="H426" s="6"/>
      <c r="I426" s="23"/>
      <c r="J426" s="23"/>
      <c r="K426" s="23"/>
      <c r="L426" s="6"/>
      <c r="M426" s="6"/>
      <c r="N426" s="24"/>
      <c r="O426" s="25"/>
      <c r="P426" s="23"/>
      <c r="Q426" s="23"/>
      <c r="R426" s="23"/>
      <c r="S426" s="23"/>
      <c r="T426" s="26" t="str">
        <f aca="false">IF(OR($O426="",$D426=""),"",WORKDAY($O426,-IFERROR(VLOOKUP($D426,'Rules &amp; Guardrails'!$A$9:$D$24,3,0),10)))</f>
        <v/>
      </c>
      <c r="U426" s="23"/>
      <c r="V426" s="23"/>
      <c r="W426" s="23"/>
      <c r="X426" s="6"/>
      <c r="Y426" s="23"/>
      <c r="Z426" s="23"/>
      <c r="AA426" s="23"/>
      <c r="AB426" s="23"/>
      <c r="AC426" s="23"/>
      <c r="AD426" s="23"/>
      <c r="AE426" s="23"/>
      <c r="AF426" s="27" t="str">
        <f aca="true">IF($O426="","",IF(OR($AE426="Cancelled",$AE426="On hold",$AE426="Launched"),$AE426,IF(AND($Y426="Approved",OR($Z426="Yes",$Z426="N/A"),OR($AA426="Yes",$AA426="N/A"),OR($AB426="No",$AB426="N/A",AND($AB426="Yes",$AD426="Yes"))),"Ready",IF($O426&lt;TODAY(),"Overdue",IF($O426-TODAY()&lt;='Rules &amp; Guardrails'!$C$5,"At Risk","In Progress")))))</f>
        <v/>
      </c>
      <c r="AG426" s="28" t="str">
        <f aca="false">IF($O426="","",IF(OR($AE426="Launched",$AE426="Cancelled"),"",MID(IF($Y426&lt;&gt;"Approved",", Content approval","")&amp;IF(NOT(OR($Z426="Yes",$Z426="N/A")),", Assets","")&amp;IF(NOT(OR($AA426="Yes",$AA426="N/A")),", List","")&amp;IF($AB426="",", Ops decision",IF(AND($AB426="Yes",$AD426&lt;&gt;"Yes"),", Ops",""))&amp;IF($U426="",", Owner","")&amp;IF($K426="",", Segment",""),3,200)))</f>
        <v/>
      </c>
      <c r="AH426" s="29" t="str">
        <f aca="true">IF($O426="","",$O426-TODAY())</f>
        <v/>
      </c>
      <c r="AI426" s="26" t="str">
        <f aca="false">IF($O426="","",$O426-WEEKDAY($O426,3))</f>
        <v/>
      </c>
      <c r="AJ426" s="30" t="str">
        <f aca="false">IF($O426="","",DATE(YEAR($O426),MONTH($O426),1))</f>
        <v/>
      </c>
      <c r="AK426" s="31" t="str">
        <f aca="false">IF(OR($O426="",$K426=""),"",COUNTIFS('Comms Calendar'!$K$5:$K$504,$K426,'Comms Calendar'!$B$5:$B$504,$B426,'Comms Calendar'!$AI$5:$AI$504,$AI426,'Comms Calendar'!$AE$5:$AE$504,"&lt;&gt;Cancelled"))</f>
        <v/>
      </c>
      <c r="AL426" s="27" t="str">
        <f aca="false">IF($AK426="","",IF($AK426&gt;'Rules &amp; Guardrails'!$C$3,"Over cap","OK"))</f>
        <v/>
      </c>
      <c r="AM426" s="27" t="str">
        <f aca="false">IF(OR($O426="",$K426=""),"",IF(COUNTIFS('Comms Calendar'!$K$5:$K$504,$K426,'Comms Calendar'!$B$5:$B$504,$B426,'Comms Calendar'!$O$5:$O$504,$O426,'Comms Calendar'!$AE$5:$AE$504,"&lt;&gt;Cancelled")&gt;1,"Clash",""))</f>
        <v/>
      </c>
      <c r="AN426" s="27" t="str">
        <f aca="false">IF($O426="","",IF(IF($B426="Global",COUNTIF('Rules &amp; Guardrails'!$F$9:$F$60,$O426),COUNTIFS('Rules &amp; Guardrails'!$F$9:$F$60,$O426,'Rules &amp; Guardrails'!$G$9:$G$60,$B426)+COUNTIFS('Rules &amp; Guardrails'!$F$9:$F$60,$O426,'Rules &amp; Guardrails'!$G$9:$G$60,"Global"))&gt;0,"Blackout",""))</f>
        <v/>
      </c>
      <c r="AO426" s="6"/>
      <c r="AP426" s="25"/>
      <c r="AQ426" s="23"/>
      <c r="AR426" s="31" t="str">
        <f aca="false">IF($D426="","",IFERROR(VLOOKUP($D426,'Rules &amp; Guardrails'!$A$9:$D$24,2,0),"Other"))</f>
        <v/>
      </c>
      <c r="AS426" s="31" t="str">
        <f aca="false">IF($O426="","",$O426&amp;"|"&amp;$B426)</f>
        <v/>
      </c>
    </row>
    <row r="427" customFormat="false" ht="15" hidden="false" customHeight="false" outlineLevel="0" collapsed="false">
      <c r="A427" s="23"/>
      <c r="B427" s="23"/>
      <c r="C427" s="23"/>
      <c r="D427" s="23"/>
      <c r="E427" s="23"/>
      <c r="F427" s="23"/>
      <c r="G427" s="6"/>
      <c r="H427" s="6"/>
      <c r="I427" s="23"/>
      <c r="J427" s="23"/>
      <c r="K427" s="23"/>
      <c r="L427" s="6"/>
      <c r="M427" s="6"/>
      <c r="N427" s="24"/>
      <c r="O427" s="25"/>
      <c r="P427" s="23"/>
      <c r="Q427" s="23"/>
      <c r="R427" s="23"/>
      <c r="S427" s="23"/>
      <c r="T427" s="26" t="str">
        <f aca="false">IF(OR($O427="",$D427=""),"",WORKDAY($O427,-IFERROR(VLOOKUP($D427,'Rules &amp; Guardrails'!$A$9:$D$24,3,0),10)))</f>
        <v/>
      </c>
      <c r="U427" s="23"/>
      <c r="V427" s="23"/>
      <c r="W427" s="23"/>
      <c r="X427" s="6"/>
      <c r="Y427" s="23"/>
      <c r="Z427" s="23"/>
      <c r="AA427" s="23"/>
      <c r="AB427" s="23"/>
      <c r="AC427" s="23"/>
      <c r="AD427" s="23"/>
      <c r="AE427" s="23"/>
      <c r="AF427" s="27" t="str">
        <f aca="true">IF($O427="","",IF(OR($AE427="Cancelled",$AE427="On hold",$AE427="Launched"),$AE427,IF(AND($Y427="Approved",OR($Z427="Yes",$Z427="N/A"),OR($AA427="Yes",$AA427="N/A"),OR($AB427="No",$AB427="N/A",AND($AB427="Yes",$AD427="Yes"))),"Ready",IF($O427&lt;TODAY(),"Overdue",IF($O427-TODAY()&lt;='Rules &amp; Guardrails'!$C$5,"At Risk","In Progress")))))</f>
        <v/>
      </c>
      <c r="AG427" s="28" t="str">
        <f aca="false">IF($O427="","",IF(OR($AE427="Launched",$AE427="Cancelled"),"",MID(IF($Y427&lt;&gt;"Approved",", Content approval","")&amp;IF(NOT(OR($Z427="Yes",$Z427="N/A")),", Assets","")&amp;IF(NOT(OR($AA427="Yes",$AA427="N/A")),", List","")&amp;IF($AB427="",", Ops decision",IF(AND($AB427="Yes",$AD427&lt;&gt;"Yes"),", Ops",""))&amp;IF($U427="",", Owner","")&amp;IF($K427="",", Segment",""),3,200)))</f>
        <v/>
      </c>
      <c r="AH427" s="29" t="str">
        <f aca="true">IF($O427="","",$O427-TODAY())</f>
        <v/>
      </c>
      <c r="AI427" s="26" t="str">
        <f aca="false">IF($O427="","",$O427-WEEKDAY($O427,3))</f>
        <v/>
      </c>
      <c r="AJ427" s="30" t="str">
        <f aca="false">IF($O427="","",DATE(YEAR($O427),MONTH($O427),1))</f>
        <v/>
      </c>
      <c r="AK427" s="31" t="str">
        <f aca="false">IF(OR($O427="",$K427=""),"",COUNTIFS('Comms Calendar'!$K$5:$K$504,$K427,'Comms Calendar'!$B$5:$B$504,$B427,'Comms Calendar'!$AI$5:$AI$504,$AI427,'Comms Calendar'!$AE$5:$AE$504,"&lt;&gt;Cancelled"))</f>
        <v/>
      </c>
      <c r="AL427" s="27" t="str">
        <f aca="false">IF($AK427="","",IF($AK427&gt;'Rules &amp; Guardrails'!$C$3,"Over cap","OK"))</f>
        <v/>
      </c>
      <c r="AM427" s="27" t="str">
        <f aca="false">IF(OR($O427="",$K427=""),"",IF(COUNTIFS('Comms Calendar'!$K$5:$K$504,$K427,'Comms Calendar'!$B$5:$B$504,$B427,'Comms Calendar'!$O$5:$O$504,$O427,'Comms Calendar'!$AE$5:$AE$504,"&lt;&gt;Cancelled")&gt;1,"Clash",""))</f>
        <v/>
      </c>
      <c r="AN427" s="27" t="str">
        <f aca="false">IF($O427="","",IF(IF($B427="Global",COUNTIF('Rules &amp; Guardrails'!$F$9:$F$60,$O427),COUNTIFS('Rules &amp; Guardrails'!$F$9:$F$60,$O427,'Rules &amp; Guardrails'!$G$9:$G$60,$B427)+COUNTIFS('Rules &amp; Guardrails'!$F$9:$F$60,$O427,'Rules &amp; Guardrails'!$G$9:$G$60,"Global"))&gt;0,"Blackout",""))</f>
        <v/>
      </c>
      <c r="AO427" s="6"/>
      <c r="AP427" s="25"/>
      <c r="AQ427" s="23"/>
      <c r="AR427" s="31" t="str">
        <f aca="false">IF($D427="","",IFERROR(VLOOKUP($D427,'Rules &amp; Guardrails'!$A$9:$D$24,2,0),"Other"))</f>
        <v/>
      </c>
      <c r="AS427" s="31" t="str">
        <f aca="false">IF($O427="","",$O427&amp;"|"&amp;$B427)</f>
        <v/>
      </c>
    </row>
    <row r="428" customFormat="false" ht="15" hidden="false" customHeight="false" outlineLevel="0" collapsed="false">
      <c r="A428" s="23"/>
      <c r="B428" s="23"/>
      <c r="C428" s="23"/>
      <c r="D428" s="23"/>
      <c r="E428" s="23"/>
      <c r="F428" s="23"/>
      <c r="G428" s="6"/>
      <c r="H428" s="6"/>
      <c r="I428" s="23"/>
      <c r="J428" s="23"/>
      <c r="K428" s="23"/>
      <c r="L428" s="6"/>
      <c r="M428" s="6"/>
      <c r="N428" s="24"/>
      <c r="O428" s="25"/>
      <c r="P428" s="23"/>
      <c r="Q428" s="23"/>
      <c r="R428" s="23"/>
      <c r="S428" s="23"/>
      <c r="T428" s="26" t="str">
        <f aca="false">IF(OR($O428="",$D428=""),"",WORKDAY($O428,-IFERROR(VLOOKUP($D428,'Rules &amp; Guardrails'!$A$9:$D$24,3,0),10)))</f>
        <v/>
      </c>
      <c r="U428" s="23"/>
      <c r="V428" s="23"/>
      <c r="W428" s="23"/>
      <c r="X428" s="6"/>
      <c r="Y428" s="23"/>
      <c r="Z428" s="23"/>
      <c r="AA428" s="23"/>
      <c r="AB428" s="23"/>
      <c r="AC428" s="23"/>
      <c r="AD428" s="23"/>
      <c r="AE428" s="23"/>
      <c r="AF428" s="27" t="str">
        <f aca="true">IF($O428="","",IF(OR($AE428="Cancelled",$AE428="On hold",$AE428="Launched"),$AE428,IF(AND($Y428="Approved",OR($Z428="Yes",$Z428="N/A"),OR($AA428="Yes",$AA428="N/A"),OR($AB428="No",$AB428="N/A",AND($AB428="Yes",$AD428="Yes"))),"Ready",IF($O428&lt;TODAY(),"Overdue",IF($O428-TODAY()&lt;='Rules &amp; Guardrails'!$C$5,"At Risk","In Progress")))))</f>
        <v/>
      </c>
      <c r="AG428" s="28" t="str">
        <f aca="false">IF($O428="","",IF(OR($AE428="Launched",$AE428="Cancelled"),"",MID(IF($Y428&lt;&gt;"Approved",", Content approval","")&amp;IF(NOT(OR($Z428="Yes",$Z428="N/A")),", Assets","")&amp;IF(NOT(OR($AA428="Yes",$AA428="N/A")),", List","")&amp;IF($AB428="",", Ops decision",IF(AND($AB428="Yes",$AD428&lt;&gt;"Yes"),", Ops",""))&amp;IF($U428="",", Owner","")&amp;IF($K428="",", Segment",""),3,200)))</f>
        <v/>
      </c>
      <c r="AH428" s="29" t="str">
        <f aca="true">IF($O428="","",$O428-TODAY())</f>
        <v/>
      </c>
      <c r="AI428" s="26" t="str">
        <f aca="false">IF($O428="","",$O428-WEEKDAY($O428,3))</f>
        <v/>
      </c>
      <c r="AJ428" s="30" t="str">
        <f aca="false">IF($O428="","",DATE(YEAR($O428),MONTH($O428),1))</f>
        <v/>
      </c>
      <c r="AK428" s="31" t="str">
        <f aca="false">IF(OR($O428="",$K428=""),"",COUNTIFS('Comms Calendar'!$K$5:$K$504,$K428,'Comms Calendar'!$B$5:$B$504,$B428,'Comms Calendar'!$AI$5:$AI$504,$AI428,'Comms Calendar'!$AE$5:$AE$504,"&lt;&gt;Cancelled"))</f>
        <v/>
      </c>
      <c r="AL428" s="27" t="str">
        <f aca="false">IF($AK428="","",IF($AK428&gt;'Rules &amp; Guardrails'!$C$3,"Over cap","OK"))</f>
        <v/>
      </c>
      <c r="AM428" s="27" t="str">
        <f aca="false">IF(OR($O428="",$K428=""),"",IF(COUNTIFS('Comms Calendar'!$K$5:$K$504,$K428,'Comms Calendar'!$B$5:$B$504,$B428,'Comms Calendar'!$O$5:$O$504,$O428,'Comms Calendar'!$AE$5:$AE$504,"&lt;&gt;Cancelled")&gt;1,"Clash",""))</f>
        <v/>
      </c>
      <c r="AN428" s="27" t="str">
        <f aca="false">IF($O428="","",IF(IF($B428="Global",COUNTIF('Rules &amp; Guardrails'!$F$9:$F$60,$O428),COUNTIFS('Rules &amp; Guardrails'!$F$9:$F$60,$O428,'Rules &amp; Guardrails'!$G$9:$G$60,$B428)+COUNTIFS('Rules &amp; Guardrails'!$F$9:$F$60,$O428,'Rules &amp; Guardrails'!$G$9:$G$60,"Global"))&gt;0,"Blackout",""))</f>
        <v/>
      </c>
      <c r="AO428" s="6"/>
      <c r="AP428" s="25"/>
      <c r="AQ428" s="23"/>
      <c r="AR428" s="31" t="str">
        <f aca="false">IF($D428="","",IFERROR(VLOOKUP($D428,'Rules &amp; Guardrails'!$A$9:$D$24,2,0),"Other"))</f>
        <v/>
      </c>
      <c r="AS428" s="31" t="str">
        <f aca="false">IF($O428="","",$O428&amp;"|"&amp;$B428)</f>
        <v/>
      </c>
    </row>
    <row r="429" customFormat="false" ht="15" hidden="false" customHeight="false" outlineLevel="0" collapsed="false">
      <c r="A429" s="23"/>
      <c r="B429" s="23"/>
      <c r="C429" s="23"/>
      <c r="D429" s="23"/>
      <c r="E429" s="23"/>
      <c r="F429" s="23"/>
      <c r="G429" s="6"/>
      <c r="H429" s="6"/>
      <c r="I429" s="23"/>
      <c r="J429" s="23"/>
      <c r="K429" s="23"/>
      <c r="L429" s="6"/>
      <c r="M429" s="6"/>
      <c r="N429" s="24"/>
      <c r="O429" s="25"/>
      <c r="P429" s="23"/>
      <c r="Q429" s="23"/>
      <c r="R429" s="23"/>
      <c r="S429" s="23"/>
      <c r="T429" s="26" t="str">
        <f aca="false">IF(OR($O429="",$D429=""),"",WORKDAY($O429,-IFERROR(VLOOKUP($D429,'Rules &amp; Guardrails'!$A$9:$D$24,3,0),10)))</f>
        <v/>
      </c>
      <c r="U429" s="23"/>
      <c r="V429" s="23"/>
      <c r="W429" s="23"/>
      <c r="X429" s="6"/>
      <c r="Y429" s="23"/>
      <c r="Z429" s="23"/>
      <c r="AA429" s="23"/>
      <c r="AB429" s="23"/>
      <c r="AC429" s="23"/>
      <c r="AD429" s="23"/>
      <c r="AE429" s="23"/>
      <c r="AF429" s="27" t="str">
        <f aca="true">IF($O429="","",IF(OR($AE429="Cancelled",$AE429="On hold",$AE429="Launched"),$AE429,IF(AND($Y429="Approved",OR($Z429="Yes",$Z429="N/A"),OR($AA429="Yes",$AA429="N/A"),OR($AB429="No",$AB429="N/A",AND($AB429="Yes",$AD429="Yes"))),"Ready",IF($O429&lt;TODAY(),"Overdue",IF($O429-TODAY()&lt;='Rules &amp; Guardrails'!$C$5,"At Risk","In Progress")))))</f>
        <v/>
      </c>
      <c r="AG429" s="28" t="str">
        <f aca="false">IF($O429="","",IF(OR($AE429="Launched",$AE429="Cancelled"),"",MID(IF($Y429&lt;&gt;"Approved",", Content approval","")&amp;IF(NOT(OR($Z429="Yes",$Z429="N/A")),", Assets","")&amp;IF(NOT(OR($AA429="Yes",$AA429="N/A")),", List","")&amp;IF($AB429="",", Ops decision",IF(AND($AB429="Yes",$AD429&lt;&gt;"Yes"),", Ops",""))&amp;IF($U429="",", Owner","")&amp;IF($K429="",", Segment",""),3,200)))</f>
        <v/>
      </c>
      <c r="AH429" s="29" t="str">
        <f aca="true">IF($O429="","",$O429-TODAY())</f>
        <v/>
      </c>
      <c r="AI429" s="26" t="str">
        <f aca="false">IF($O429="","",$O429-WEEKDAY($O429,3))</f>
        <v/>
      </c>
      <c r="AJ429" s="30" t="str">
        <f aca="false">IF($O429="","",DATE(YEAR($O429),MONTH($O429),1))</f>
        <v/>
      </c>
      <c r="AK429" s="31" t="str">
        <f aca="false">IF(OR($O429="",$K429=""),"",COUNTIFS('Comms Calendar'!$K$5:$K$504,$K429,'Comms Calendar'!$B$5:$B$504,$B429,'Comms Calendar'!$AI$5:$AI$504,$AI429,'Comms Calendar'!$AE$5:$AE$504,"&lt;&gt;Cancelled"))</f>
        <v/>
      </c>
      <c r="AL429" s="27" t="str">
        <f aca="false">IF($AK429="","",IF($AK429&gt;'Rules &amp; Guardrails'!$C$3,"Over cap","OK"))</f>
        <v/>
      </c>
      <c r="AM429" s="27" t="str">
        <f aca="false">IF(OR($O429="",$K429=""),"",IF(COUNTIFS('Comms Calendar'!$K$5:$K$504,$K429,'Comms Calendar'!$B$5:$B$504,$B429,'Comms Calendar'!$O$5:$O$504,$O429,'Comms Calendar'!$AE$5:$AE$504,"&lt;&gt;Cancelled")&gt;1,"Clash",""))</f>
        <v/>
      </c>
      <c r="AN429" s="27" t="str">
        <f aca="false">IF($O429="","",IF(IF($B429="Global",COUNTIF('Rules &amp; Guardrails'!$F$9:$F$60,$O429),COUNTIFS('Rules &amp; Guardrails'!$F$9:$F$60,$O429,'Rules &amp; Guardrails'!$G$9:$G$60,$B429)+COUNTIFS('Rules &amp; Guardrails'!$F$9:$F$60,$O429,'Rules &amp; Guardrails'!$G$9:$G$60,"Global"))&gt;0,"Blackout",""))</f>
        <v/>
      </c>
      <c r="AO429" s="6"/>
      <c r="AP429" s="25"/>
      <c r="AQ429" s="23"/>
      <c r="AR429" s="31" t="str">
        <f aca="false">IF($D429="","",IFERROR(VLOOKUP($D429,'Rules &amp; Guardrails'!$A$9:$D$24,2,0),"Other"))</f>
        <v/>
      </c>
      <c r="AS429" s="31" t="str">
        <f aca="false">IF($O429="","",$O429&amp;"|"&amp;$B429)</f>
        <v/>
      </c>
    </row>
    <row r="430" customFormat="false" ht="15" hidden="false" customHeight="false" outlineLevel="0" collapsed="false">
      <c r="A430" s="23"/>
      <c r="B430" s="23"/>
      <c r="C430" s="23"/>
      <c r="D430" s="23"/>
      <c r="E430" s="23"/>
      <c r="F430" s="23"/>
      <c r="G430" s="6"/>
      <c r="H430" s="6"/>
      <c r="I430" s="23"/>
      <c r="J430" s="23"/>
      <c r="K430" s="23"/>
      <c r="L430" s="6"/>
      <c r="M430" s="6"/>
      <c r="N430" s="24"/>
      <c r="O430" s="25"/>
      <c r="P430" s="23"/>
      <c r="Q430" s="23"/>
      <c r="R430" s="23"/>
      <c r="S430" s="23"/>
      <c r="T430" s="26" t="str">
        <f aca="false">IF(OR($O430="",$D430=""),"",WORKDAY($O430,-IFERROR(VLOOKUP($D430,'Rules &amp; Guardrails'!$A$9:$D$24,3,0),10)))</f>
        <v/>
      </c>
      <c r="U430" s="23"/>
      <c r="V430" s="23"/>
      <c r="W430" s="23"/>
      <c r="X430" s="6"/>
      <c r="Y430" s="23"/>
      <c r="Z430" s="23"/>
      <c r="AA430" s="23"/>
      <c r="AB430" s="23"/>
      <c r="AC430" s="23"/>
      <c r="AD430" s="23"/>
      <c r="AE430" s="23"/>
      <c r="AF430" s="27" t="str">
        <f aca="true">IF($O430="","",IF(OR($AE430="Cancelled",$AE430="On hold",$AE430="Launched"),$AE430,IF(AND($Y430="Approved",OR($Z430="Yes",$Z430="N/A"),OR($AA430="Yes",$AA430="N/A"),OR($AB430="No",$AB430="N/A",AND($AB430="Yes",$AD430="Yes"))),"Ready",IF($O430&lt;TODAY(),"Overdue",IF($O430-TODAY()&lt;='Rules &amp; Guardrails'!$C$5,"At Risk","In Progress")))))</f>
        <v/>
      </c>
      <c r="AG430" s="28" t="str">
        <f aca="false">IF($O430="","",IF(OR($AE430="Launched",$AE430="Cancelled"),"",MID(IF($Y430&lt;&gt;"Approved",", Content approval","")&amp;IF(NOT(OR($Z430="Yes",$Z430="N/A")),", Assets","")&amp;IF(NOT(OR($AA430="Yes",$AA430="N/A")),", List","")&amp;IF($AB430="",", Ops decision",IF(AND($AB430="Yes",$AD430&lt;&gt;"Yes"),", Ops",""))&amp;IF($U430="",", Owner","")&amp;IF($K430="",", Segment",""),3,200)))</f>
        <v/>
      </c>
      <c r="AH430" s="29" t="str">
        <f aca="true">IF($O430="","",$O430-TODAY())</f>
        <v/>
      </c>
      <c r="AI430" s="26" t="str">
        <f aca="false">IF($O430="","",$O430-WEEKDAY($O430,3))</f>
        <v/>
      </c>
      <c r="AJ430" s="30" t="str">
        <f aca="false">IF($O430="","",DATE(YEAR($O430),MONTH($O430),1))</f>
        <v/>
      </c>
      <c r="AK430" s="31" t="str">
        <f aca="false">IF(OR($O430="",$K430=""),"",COUNTIFS('Comms Calendar'!$K$5:$K$504,$K430,'Comms Calendar'!$B$5:$B$504,$B430,'Comms Calendar'!$AI$5:$AI$504,$AI430,'Comms Calendar'!$AE$5:$AE$504,"&lt;&gt;Cancelled"))</f>
        <v/>
      </c>
      <c r="AL430" s="27" t="str">
        <f aca="false">IF($AK430="","",IF($AK430&gt;'Rules &amp; Guardrails'!$C$3,"Over cap","OK"))</f>
        <v/>
      </c>
      <c r="AM430" s="27" t="str">
        <f aca="false">IF(OR($O430="",$K430=""),"",IF(COUNTIFS('Comms Calendar'!$K$5:$K$504,$K430,'Comms Calendar'!$B$5:$B$504,$B430,'Comms Calendar'!$O$5:$O$504,$O430,'Comms Calendar'!$AE$5:$AE$504,"&lt;&gt;Cancelled")&gt;1,"Clash",""))</f>
        <v/>
      </c>
      <c r="AN430" s="27" t="str">
        <f aca="false">IF($O430="","",IF(IF($B430="Global",COUNTIF('Rules &amp; Guardrails'!$F$9:$F$60,$O430),COUNTIFS('Rules &amp; Guardrails'!$F$9:$F$60,$O430,'Rules &amp; Guardrails'!$G$9:$G$60,$B430)+COUNTIFS('Rules &amp; Guardrails'!$F$9:$F$60,$O430,'Rules &amp; Guardrails'!$G$9:$G$60,"Global"))&gt;0,"Blackout",""))</f>
        <v/>
      </c>
      <c r="AO430" s="6"/>
      <c r="AP430" s="25"/>
      <c r="AQ430" s="23"/>
      <c r="AR430" s="31" t="str">
        <f aca="false">IF($D430="","",IFERROR(VLOOKUP($D430,'Rules &amp; Guardrails'!$A$9:$D$24,2,0),"Other"))</f>
        <v/>
      </c>
      <c r="AS430" s="31" t="str">
        <f aca="false">IF($O430="","",$O430&amp;"|"&amp;$B430)</f>
        <v/>
      </c>
    </row>
    <row r="431" customFormat="false" ht="15" hidden="false" customHeight="false" outlineLevel="0" collapsed="false">
      <c r="A431" s="23"/>
      <c r="B431" s="23"/>
      <c r="C431" s="23"/>
      <c r="D431" s="23"/>
      <c r="E431" s="23"/>
      <c r="F431" s="23"/>
      <c r="G431" s="6"/>
      <c r="H431" s="6"/>
      <c r="I431" s="23"/>
      <c r="J431" s="23"/>
      <c r="K431" s="23"/>
      <c r="L431" s="6"/>
      <c r="M431" s="6"/>
      <c r="N431" s="24"/>
      <c r="O431" s="25"/>
      <c r="P431" s="23"/>
      <c r="Q431" s="23"/>
      <c r="R431" s="23"/>
      <c r="S431" s="23"/>
      <c r="T431" s="26" t="str">
        <f aca="false">IF(OR($O431="",$D431=""),"",WORKDAY($O431,-IFERROR(VLOOKUP($D431,'Rules &amp; Guardrails'!$A$9:$D$24,3,0),10)))</f>
        <v/>
      </c>
      <c r="U431" s="23"/>
      <c r="V431" s="23"/>
      <c r="W431" s="23"/>
      <c r="X431" s="6"/>
      <c r="Y431" s="23"/>
      <c r="Z431" s="23"/>
      <c r="AA431" s="23"/>
      <c r="AB431" s="23"/>
      <c r="AC431" s="23"/>
      <c r="AD431" s="23"/>
      <c r="AE431" s="23"/>
      <c r="AF431" s="27" t="str">
        <f aca="true">IF($O431="","",IF(OR($AE431="Cancelled",$AE431="On hold",$AE431="Launched"),$AE431,IF(AND($Y431="Approved",OR($Z431="Yes",$Z431="N/A"),OR($AA431="Yes",$AA431="N/A"),OR($AB431="No",$AB431="N/A",AND($AB431="Yes",$AD431="Yes"))),"Ready",IF($O431&lt;TODAY(),"Overdue",IF($O431-TODAY()&lt;='Rules &amp; Guardrails'!$C$5,"At Risk","In Progress")))))</f>
        <v/>
      </c>
      <c r="AG431" s="28" t="str">
        <f aca="false">IF($O431="","",IF(OR($AE431="Launched",$AE431="Cancelled"),"",MID(IF($Y431&lt;&gt;"Approved",", Content approval","")&amp;IF(NOT(OR($Z431="Yes",$Z431="N/A")),", Assets","")&amp;IF(NOT(OR($AA431="Yes",$AA431="N/A")),", List","")&amp;IF($AB431="",", Ops decision",IF(AND($AB431="Yes",$AD431&lt;&gt;"Yes"),", Ops",""))&amp;IF($U431="",", Owner","")&amp;IF($K431="",", Segment",""),3,200)))</f>
        <v/>
      </c>
      <c r="AH431" s="29" t="str">
        <f aca="true">IF($O431="","",$O431-TODAY())</f>
        <v/>
      </c>
      <c r="AI431" s="26" t="str">
        <f aca="false">IF($O431="","",$O431-WEEKDAY($O431,3))</f>
        <v/>
      </c>
      <c r="AJ431" s="30" t="str">
        <f aca="false">IF($O431="","",DATE(YEAR($O431),MONTH($O431),1))</f>
        <v/>
      </c>
      <c r="AK431" s="31" t="str">
        <f aca="false">IF(OR($O431="",$K431=""),"",COUNTIFS('Comms Calendar'!$K$5:$K$504,$K431,'Comms Calendar'!$B$5:$B$504,$B431,'Comms Calendar'!$AI$5:$AI$504,$AI431,'Comms Calendar'!$AE$5:$AE$504,"&lt;&gt;Cancelled"))</f>
        <v/>
      </c>
      <c r="AL431" s="27" t="str">
        <f aca="false">IF($AK431="","",IF($AK431&gt;'Rules &amp; Guardrails'!$C$3,"Over cap","OK"))</f>
        <v/>
      </c>
      <c r="AM431" s="27" t="str">
        <f aca="false">IF(OR($O431="",$K431=""),"",IF(COUNTIFS('Comms Calendar'!$K$5:$K$504,$K431,'Comms Calendar'!$B$5:$B$504,$B431,'Comms Calendar'!$O$5:$O$504,$O431,'Comms Calendar'!$AE$5:$AE$504,"&lt;&gt;Cancelled")&gt;1,"Clash",""))</f>
        <v/>
      </c>
      <c r="AN431" s="27" t="str">
        <f aca="false">IF($O431="","",IF(IF($B431="Global",COUNTIF('Rules &amp; Guardrails'!$F$9:$F$60,$O431),COUNTIFS('Rules &amp; Guardrails'!$F$9:$F$60,$O431,'Rules &amp; Guardrails'!$G$9:$G$60,$B431)+COUNTIFS('Rules &amp; Guardrails'!$F$9:$F$60,$O431,'Rules &amp; Guardrails'!$G$9:$G$60,"Global"))&gt;0,"Blackout",""))</f>
        <v/>
      </c>
      <c r="AO431" s="6"/>
      <c r="AP431" s="25"/>
      <c r="AQ431" s="23"/>
      <c r="AR431" s="31" t="str">
        <f aca="false">IF($D431="","",IFERROR(VLOOKUP($D431,'Rules &amp; Guardrails'!$A$9:$D$24,2,0),"Other"))</f>
        <v/>
      </c>
      <c r="AS431" s="31" t="str">
        <f aca="false">IF($O431="","",$O431&amp;"|"&amp;$B431)</f>
        <v/>
      </c>
    </row>
    <row r="432" customFormat="false" ht="15" hidden="false" customHeight="false" outlineLevel="0" collapsed="false">
      <c r="A432" s="23"/>
      <c r="B432" s="23"/>
      <c r="C432" s="23"/>
      <c r="D432" s="23"/>
      <c r="E432" s="23"/>
      <c r="F432" s="23"/>
      <c r="G432" s="6"/>
      <c r="H432" s="6"/>
      <c r="I432" s="23"/>
      <c r="J432" s="23"/>
      <c r="K432" s="23"/>
      <c r="L432" s="6"/>
      <c r="M432" s="6"/>
      <c r="N432" s="24"/>
      <c r="O432" s="25"/>
      <c r="P432" s="23"/>
      <c r="Q432" s="23"/>
      <c r="R432" s="23"/>
      <c r="S432" s="23"/>
      <c r="T432" s="26" t="str">
        <f aca="false">IF(OR($O432="",$D432=""),"",WORKDAY($O432,-IFERROR(VLOOKUP($D432,'Rules &amp; Guardrails'!$A$9:$D$24,3,0),10)))</f>
        <v/>
      </c>
      <c r="U432" s="23"/>
      <c r="V432" s="23"/>
      <c r="W432" s="23"/>
      <c r="X432" s="6"/>
      <c r="Y432" s="23"/>
      <c r="Z432" s="23"/>
      <c r="AA432" s="23"/>
      <c r="AB432" s="23"/>
      <c r="AC432" s="23"/>
      <c r="AD432" s="23"/>
      <c r="AE432" s="23"/>
      <c r="AF432" s="27" t="str">
        <f aca="true">IF($O432="","",IF(OR($AE432="Cancelled",$AE432="On hold",$AE432="Launched"),$AE432,IF(AND($Y432="Approved",OR($Z432="Yes",$Z432="N/A"),OR($AA432="Yes",$AA432="N/A"),OR($AB432="No",$AB432="N/A",AND($AB432="Yes",$AD432="Yes"))),"Ready",IF($O432&lt;TODAY(),"Overdue",IF($O432-TODAY()&lt;='Rules &amp; Guardrails'!$C$5,"At Risk","In Progress")))))</f>
        <v/>
      </c>
      <c r="AG432" s="28" t="str">
        <f aca="false">IF($O432="","",IF(OR($AE432="Launched",$AE432="Cancelled"),"",MID(IF($Y432&lt;&gt;"Approved",", Content approval","")&amp;IF(NOT(OR($Z432="Yes",$Z432="N/A")),", Assets","")&amp;IF(NOT(OR($AA432="Yes",$AA432="N/A")),", List","")&amp;IF($AB432="",", Ops decision",IF(AND($AB432="Yes",$AD432&lt;&gt;"Yes"),", Ops",""))&amp;IF($U432="",", Owner","")&amp;IF($K432="",", Segment",""),3,200)))</f>
        <v/>
      </c>
      <c r="AH432" s="29" t="str">
        <f aca="true">IF($O432="","",$O432-TODAY())</f>
        <v/>
      </c>
      <c r="AI432" s="26" t="str">
        <f aca="false">IF($O432="","",$O432-WEEKDAY($O432,3))</f>
        <v/>
      </c>
      <c r="AJ432" s="30" t="str">
        <f aca="false">IF($O432="","",DATE(YEAR($O432),MONTH($O432),1))</f>
        <v/>
      </c>
      <c r="AK432" s="31" t="str">
        <f aca="false">IF(OR($O432="",$K432=""),"",COUNTIFS('Comms Calendar'!$K$5:$K$504,$K432,'Comms Calendar'!$B$5:$B$504,$B432,'Comms Calendar'!$AI$5:$AI$504,$AI432,'Comms Calendar'!$AE$5:$AE$504,"&lt;&gt;Cancelled"))</f>
        <v/>
      </c>
      <c r="AL432" s="27" t="str">
        <f aca="false">IF($AK432="","",IF($AK432&gt;'Rules &amp; Guardrails'!$C$3,"Over cap","OK"))</f>
        <v/>
      </c>
      <c r="AM432" s="27" t="str">
        <f aca="false">IF(OR($O432="",$K432=""),"",IF(COUNTIFS('Comms Calendar'!$K$5:$K$504,$K432,'Comms Calendar'!$B$5:$B$504,$B432,'Comms Calendar'!$O$5:$O$504,$O432,'Comms Calendar'!$AE$5:$AE$504,"&lt;&gt;Cancelled")&gt;1,"Clash",""))</f>
        <v/>
      </c>
      <c r="AN432" s="27" t="str">
        <f aca="false">IF($O432="","",IF(IF($B432="Global",COUNTIF('Rules &amp; Guardrails'!$F$9:$F$60,$O432),COUNTIFS('Rules &amp; Guardrails'!$F$9:$F$60,$O432,'Rules &amp; Guardrails'!$G$9:$G$60,$B432)+COUNTIFS('Rules &amp; Guardrails'!$F$9:$F$60,$O432,'Rules &amp; Guardrails'!$G$9:$G$60,"Global"))&gt;0,"Blackout",""))</f>
        <v/>
      </c>
      <c r="AO432" s="6"/>
      <c r="AP432" s="25"/>
      <c r="AQ432" s="23"/>
      <c r="AR432" s="31" t="str">
        <f aca="false">IF($D432="","",IFERROR(VLOOKUP($D432,'Rules &amp; Guardrails'!$A$9:$D$24,2,0),"Other"))</f>
        <v/>
      </c>
      <c r="AS432" s="31" t="str">
        <f aca="false">IF($O432="","",$O432&amp;"|"&amp;$B432)</f>
        <v/>
      </c>
    </row>
    <row r="433" customFormat="false" ht="15" hidden="false" customHeight="false" outlineLevel="0" collapsed="false">
      <c r="A433" s="23"/>
      <c r="B433" s="23"/>
      <c r="C433" s="23"/>
      <c r="D433" s="23"/>
      <c r="E433" s="23"/>
      <c r="F433" s="23"/>
      <c r="G433" s="6"/>
      <c r="H433" s="6"/>
      <c r="I433" s="23"/>
      <c r="J433" s="23"/>
      <c r="K433" s="23"/>
      <c r="L433" s="6"/>
      <c r="M433" s="6"/>
      <c r="N433" s="24"/>
      <c r="O433" s="25"/>
      <c r="P433" s="23"/>
      <c r="Q433" s="23"/>
      <c r="R433" s="23"/>
      <c r="S433" s="23"/>
      <c r="T433" s="26" t="str">
        <f aca="false">IF(OR($O433="",$D433=""),"",WORKDAY($O433,-IFERROR(VLOOKUP($D433,'Rules &amp; Guardrails'!$A$9:$D$24,3,0),10)))</f>
        <v/>
      </c>
      <c r="U433" s="23"/>
      <c r="V433" s="23"/>
      <c r="W433" s="23"/>
      <c r="X433" s="6"/>
      <c r="Y433" s="23"/>
      <c r="Z433" s="23"/>
      <c r="AA433" s="23"/>
      <c r="AB433" s="23"/>
      <c r="AC433" s="23"/>
      <c r="AD433" s="23"/>
      <c r="AE433" s="23"/>
      <c r="AF433" s="27" t="str">
        <f aca="true">IF($O433="","",IF(OR($AE433="Cancelled",$AE433="On hold",$AE433="Launched"),$AE433,IF(AND($Y433="Approved",OR($Z433="Yes",$Z433="N/A"),OR($AA433="Yes",$AA433="N/A"),OR($AB433="No",$AB433="N/A",AND($AB433="Yes",$AD433="Yes"))),"Ready",IF($O433&lt;TODAY(),"Overdue",IF($O433-TODAY()&lt;='Rules &amp; Guardrails'!$C$5,"At Risk","In Progress")))))</f>
        <v/>
      </c>
      <c r="AG433" s="28" t="str">
        <f aca="false">IF($O433="","",IF(OR($AE433="Launched",$AE433="Cancelled"),"",MID(IF($Y433&lt;&gt;"Approved",", Content approval","")&amp;IF(NOT(OR($Z433="Yes",$Z433="N/A")),", Assets","")&amp;IF(NOT(OR($AA433="Yes",$AA433="N/A")),", List","")&amp;IF($AB433="",", Ops decision",IF(AND($AB433="Yes",$AD433&lt;&gt;"Yes"),", Ops",""))&amp;IF($U433="",", Owner","")&amp;IF($K433="",", Segment",""),3,200)))</f>
        <v/>
      </c>
      <c r="AH433" s="29" t="str">
        <f aca="true">IF($O433="","",$O433-TODAY())</f>
        <v/>
      </c>
      <c r="AI433" s="26" t="str">
        <f aca="false">IF($O433="","",$O433-WEEKDAY($O433,3))</f>
        <v/>
      </c>
      <c r="AJ433" s="30" t="str">
        <f aca="false">IF($O433="","",DATE(YEAR($O433),MONTH($O433),1))</f>
        <v/>
      </c>
      <c r="AK433" s="31" t="str">
        <f aca="false">IF(OR($O433="",$K433=""),"",COUNTIFS('Comms Calendar'!$K$5:$K$504,$K433,'Comms Calendar'!$B$5:$B$504,$B433,'Comms Calendar'!$AI$5:$AI$504,$AI433,'Comms Calendar'!$AE$5:$AE$504,"&lt;&gt;Cancelled"))</f>
        <v/>
      </c>
      <c r="AL433" s="27" t="str">
        <f aca="false">IF($AK433="","",IF($AK433&gt;'Rules &amp; Guardrails'!$C$3,"Over cap","OK"))</f>
        <v/>
      </c>
      <c r="AM433" s="27" t="str">
        <f aca="false">IF(OR($O433="",$K433=""),"",IF(COUNTIFS('Comms Calendar'!$K$5:$K$504,$K433,'Comms Calendar'!$B$5:$B$504,$B433,'Comms Calendar'!$O$5:$O$504,$O433,'Comms Calendar'!$AE$5:$AE$504,"&lt;&gt;Cancelled")&gt;1,"Clash",""))</f>
        <v/>
      </c>
      <c r="AN433" s="27" t="str">
        <f aca="false">IF($O433="","",IF(IF($B433="Global",COUNTIF('Rules &amp; Guardrails'!$F$9:$F$60,$O433),COUNTIFS('Rules &amp; Guardrails'!$F$9:$F$60,$O433,'Rules &amp; Guardrails'!$G$9:$G$60,$B433)+COUNTIFS('Rules &amp; Guardrails'!$F$9:$F$60,$O433,'Rules &amp; Guardrails'!$G$9:$G$60,"Global"))&gt;0,"Blackout",""))</f>
        <v/>
      </c>
      <c r="AO433" s="6"/>
      <c r="AP433" s="25"/>
      <c r="AQ433" s="23"/>
      <c r="AR433" s="31" t="str">
        <f aca="false">IF($D433="","",IFERROR(VLOOKUP($D433,'Rules &amp; Guardrails'!$A$9:$D$24,2,0),"Other"))</f>
        <v/>
      </c>
      <c r="AS433" s="31" t="str">
        <f aca="false">IF($O433="","",$O433&amp;"|"&amp;$B433)</f>
        <v/>
      </c>
    </row>
    <row r="434" customFormat="false" ht="15" hidden="false" customHeight="false" outlineLevel="0" collapsed="false">
      <c r="A434" s="23"/>
      <c r="B434" s="23"/>
      <c r="C434" s="23"/>
      <c r="D434" s="23"/>
      <c r="E434" s="23"/>
      <c r="F434" s="23"/>
      <c r="G434" s="6"/>
      <c r="H434" s="6"/>
      <c r="I434" s="23"/>
      <c r="J434" s="23"/>
      <c r="K434" s="23"/>
      <c r="L434" s="6"/>
      <c r="M434" s="6"/>
      <c r="N434" s="24"/>
      <c r="O434" s="25"/>
      <c r="P434" s="23"/>
      <c r="Q434" s="23"/>
      <c r="R434" s="23"/>
      <c r="S434" s="23"/>
      <c r="T434" s="26" t="str">
        <f aca="false">IF(OR($O434="",$D434=""),"",WORKDAY($O434,-IFERROR(VLOOKUP($D434,'Rules &amp; Guardrails'!$A$9:$D$24,3,0),10)))</f>
        <v/>
      </c>
      <c r="U434" s="23"/>
      <c r="V434" s="23"/>
      <c r="W434" s="23"/>
      <c r="X434" s="6"/>
      <c r="Y434" s="23"/>
      <c r="Z434" s="23"/>
      <c r="AA434" s="23"/>
      <c r="AB434" s="23"/>
      <c r="AC434" s="23"/>
      <c r="AD434" s="23"/>
      <c r="AE434" s="23"/>
      <c r="AF434" s="27" t="str">
        <f aca="true">IF($O434="","",IF(OR($AE434="Cancelled",$AE434="On hold",$AE434="Launched"),$AE434,IF(AND($Y434="Approved",OR($Z434="Yes",$Z434="N/A"),OR($AA434="Yes",$AA434="N/A"),OR($AB434="No",$AB434="N/A",AND($AB434="Yes",$AD434="Yes"))),"Ready",IF($O434&lt;TODAY(),"Overdue",IF($O434-TODAY()&lt;='Rules &amp; Guardrails'!$C$5,"At Risk","In Progress")))))</f>
        <v/>
      </c>
      <c r="AG434" s="28" t="str">
        <f aca="false">IF($O434="","",IF(OR($AE434="Launched",$AE434="Cancelled"),"",MID(IF($Y434&lt;&gt;"Approved",", Content approval","")&amp;IF(NOT(OR($Z434="Yes",$Z434="N/A")),", Assets","")&amp;IF(NOT(OR($AA434="Yes",$AA434="N/A")),", List","")&amp;IF($AB434="",", Ops decision",IF(AND($AB434="Yes",$AD434&lt;&gt;"Yes"),", Ops",""))&amp;IF($U434="",", Owner","")&amp;IF($K434="",", Segment",""),3,200)))</f>
        <v/>
      </c>
      <c r="AH434" s="29" t="str">
        <f aca="true">IF($O434="","",$O434-TODAY())</f>
        <v/>
      </c>
      <c r="AI434" s="26" t="str">
        <f aca="false">IF($O434="","",$O434-WEEKDAY($O434,3))</f>
        <v/>
      </c>
      <c r="AJ434" s="30" t="str">
        <f aca="false">IF($O434="","",DATE(YEAR($O434),MONTH($O434),1))</f>
        <v/>
      </c>
      <c r="AK434" s="31" t="str">
        <f aca="false">IF(OR($O434="",$K434=""),"",COUNTIFS('Comms Calendar'!$K$5:$K$504,$K434,'Comms Calendar'!$B$5:$B$504,$B434,'Comms Calendar'!$AI$5:$AI$504,$AI434,'Comms Calendar'!$AE$5:$AE$504,"&lt;&gt;Cancelled"))</f>
        <v/>
      </c>
      <c r="AL434" s="27" t="str">
        <f aca="false">IF($AK434="","",IF($AK434&gt;'Rules &amp; Guardrails'!$C$3,"Over cap","OK"))</f>
        <v/>
      </c>
      <c r="AM434" s="27" t="str">
        <f aca="false">IF(OR($O434="",$K434=""),"",IF(COUNTIFS('Comms Calendar'!$K$5:$K$504,$K434,'Comms Calendar'!$B$5:$B$504,$B434,'Comms Calendar'!$O$5:$O$504,$O434,'Comms Calendar'!$AE$5:$AE$504,"&lt;&gt;Cancelled")&gt;1,"Clash",""))</f>
        <v/>
      </c>
      <c r="AN434" s="27" t="str">
        <f aca="false">IF($O434="","",IF(IF($B434="Global",COUNTIF('Rules &amp; Guardrails'!$F$9:$F$60,$O434),COUNTIFS('Rules &amp; Guardrails'!$F$9:$F$60,$O434,'Rules &amp; Guardrails'!$G$9:$G$60,$B434)+COUNTIFS('Rules &amp; Guardrails'!$F$9:$F$60,$O434,'Rules &amp; Guardrails'!$G$9:$G$60,"Global"))&gt;0,"Blackout",""))</f>
        <v/>
      </c>
      <c r="AO434" s="6"/>
      <c r="AP434" s="25"/>
      <c r="AQ434" s="23"/>
      <c r="AR434" s="31" t="str">
        <f aca="false">IF($D434="","",IFERROR(VLOOKUP($D434,'Rules &amp; Guardrails'!$A$9:$D$24,2,0),"Other"))</f>
        <v/>
      </c>
      <c r="AS434" s="31" t="str">
        <f aca="false">IF($O434="","",$O434&amp;"|"&amp;$B434)</f>
        <v/>
      </c>
    </row>
    <row r="435" customFormat="false" ht="15" hidden="false" customHeight="false" outlineLevel="0" collapsed="false">
      <c r="A435" s="23"/>
      <c r="B435" s="23"/>
      <c r="C435" s="23"/>
      <c r="D435" s="23"/>
      <c r="E435" s="23"/>
      <c r="F435" s="23"/>
      <c r="G435" s="6"/>
      <c r="H435" s="6"/>
      <c r="I435" s="23"/>
      <c r="J435" s="23"/>
      <c r="K435" s="23"/>
      <c r="L435" s="6"/>
      <c r="M435" s="6"/>
      <c r="N435" s="24"/>
      <c r="O435" s="25"/>
      <c r="P435" s="23"/>
      <c r="Q435" s="23"/>
      <c r="R435" s="23"/>
      <c r="S435" s="23"/>
      <c r="T435" s="26" t="str">
        <f aca="false">IF(OR($O435="",$D435=""),"",WORKDAY($O435,-IFERROR(VLOOKUP($D435,'Rules &amp; Guardrails'!$A$9:$D$24,3,0),10)))</f>
        <v/>
      </c>
      <c r="U435" s="23"/>
      <c r="V435" s="23"/>
      <c r="W435" s="23"/>
      <c r="X435" s="6"/>
      <c r="Y435" s="23"/>
      <c r="Z435" s="23"/>
      <c r="AA435" s="23"/>
      <c r="AB435" s="23"/>
      <c r="AC435" s="23"/>
      <c r="AD435" s="23"/>
      <c r="AE435" s="23"/>
      <c r="AF435" s="27" t="str">
        <f aca="true">IF($O435="","",IF(OR($AE435="Cancelled",$AE435="On hold",$AE435="Launched"),$AE435,IF(AND($Y435="Approved",OR($Z435="Yes",$Z435="N/A"),OR($AA435="Yes",$AA435="N/A"),OR($AB435="No",$AB435="N/A",AND($AB435="Yes",$AD435="Yes"))),"Ready",IF($O435&lt;TODAY(),"Overdue",IF($O435-TODAY()&lt;='Rules &amp; Guardrails'!$C$5,"At Risk","In Progress")))))</f>
        <v/>
      </c>
      <c r="AG435" s="28" t="str">
        <f aca="false">IF($O435="","",IF(OR($AE435="Launched",$AE435="Cancelled"),"",MID(IF($Y435&lt;&gt;"Approved",", Content approval","")&amp;IF(NOT(OR($Z435="Yes",$Z435="N/A")),", Assets","")&amp;IF(NOT(OR($AA435="Yes",$AA435="N/A")),", List","")&amp;IF($AB435="",", Ops decision",IF(AND($AB435="Yes",$AD435&lt;&gt;"Yes"),", Ops",""))&amp;IF($U435="",", Owner","")&amp;IF($K435="",", Segment",""),3,200)))</f>
        <v/>
      </c>
      <c r="AH435" s="29" t="str">
        <f aca="true">IF($O435="","",$O435-TODAY())</f>
        <v/>
      </c>
      <c r="AI435" s="26" t="str">
        <f aca="false">IF($O435="","",$O435-WEEKDAY($O435,3))</f>
        <v/>
      </c>
      <c r="AJ435" s="30" t="str">
        <f aca="false">IF($O435="","",DATE(YEAR($O435),MONTH($O435),1))</f>
        <v/>
      </c>
      <c r="AK435" s="31" t="str">
        <f aca="false">IF(OR($O435="",$K435=""),"",COUNTIFS('Comms Calendar'!$K$5:$K$504,$K435,'Comms Calendar'!$B$5:$B$504,$B435,'Comms Calendar'!$AI$5:$AI$504,$AI435,'Comms Calendar'!$AE$5:$AE$504,"&lt;&gt;Cancelled"))</f>
        <v/>
      </c>
      <c r="AL435" s="27" t="str">
        <f aca="false">IF($AK435="","",IF($AK435&gt;'Rules &amp; Guardrails'!$C$3,"Over cap","OK"))</f>
        <v/>
      </c>
      <c r="AM435" s="27" t="str">
        <f aca="false">IF(OR($O435="",$K435=""),"",IF(COUNTIFS('Comms Calendar'!$K$5:$K$504,$K435,'Comms Calendar'!$B$5:$B$504,$B435,'Comms Calendar'!$O$5:$O$504,$O435,'Comms Calendar'!$AE$5:$AE$504,"&lt;&gt;Cancelled")&gt;1,"Clash",""))</f>
        <v/>
      </c>
      <c r="AN435" s="27" t="str">
        <f aca="false">IF($O435="","",IF(IF($B435="Global",COUNTIF('Rules &amp; Guardrails'!$F$9:$F$60,$O435),COUNTIFS('Rules &amp; Guardrails'!$F$9:$F$60,$O435,'Rules &amp; Guardrails'!$G$9:$G$60,$B435)+COUNTIFS('Rules &amp; Guardrails'!$F$9:$F$60,$O435,'Rules &amp; Guardrails'!$G$9:$G$60,"Global"))&gt;0,"Blackout",""))</f>
        <v/>
      </c>
      <c r="AO435" s="6"/>
      <c r="AP435" s="25"/>
      <c r="AQ435" s="23"/>
      <c r="AR435" s="31" t="str">
        <f aca="false">IF($D435="","",IFERROR(VLOOKUP($D435,'Rules &amp; Guardrails'!$A$9:$D$24,2,0),"Other"))</f>
        <v/>
      </c>
      <c r="AS435" s="31" t="str">
        <f aca="false">IF($O435="","",$O435&amp;"|"&amp;$B435)</f>
        <v/>
      </c>
    </row>
    <row r="436" customFormat="false" ht="15" hidden="false" customHeight="false" outlineLevel="0" collapsed="false">
      <c r="A436" s="23"/>
      <c r="B436" s="23"/>
      <c r="C436" s="23"/>
      <c r="D436" s="23"/>
      <c r="E436" s="23"/>
      <c r="F436" s="23"/>
      <c r="G436" s="6"/>
      <c r="H436" s="6"/>
      <c r="I436" s="23"/>
      <c r="J436" s="23"/>
      <c r="K436" s="23"/>
      <c r="L436" s="6"/>
      <c r="M436" s="6"/>
      <c r="N436" s="24"/>
      <c r="O436" s="25"/>
      <c r="P436" s="23"/>
      <c r="Q436" s="23"/>
      <c r="R436" s="23"/>
      <c r="S436" s="23"/>
      <c r="T436" s="26" t="str">
        <f aca="false">IF(OR($O436="",$D436=""),"",WORKDAY($O436,-IFERROR(VLOOKUP($D436,'Rules &amp; Guardrails'!$A$9:$D$24,3,0),10)))</f>
        <v/>
      </c>
      <c r="U436" s="23"/>
      <c r="V436" s="23"/>
      <c r="W436" s="23"/>
      <c r="X436" s="6"/>
      <c r="Y436" s="23"/>
      <c r="Z436" s="23"/>
      <c r="AA436" s="23"/>
      <c r="AB436" s="23"/>
      <c r="AC436" s="23"/>
      <c r="AD436" s="23"/>
      <c r="AE436" s="23"/>
      <c r="AF436" s="27" t="str">
        <f aca="true">IF($O436="","",IF(OR($AE436="Cancelled",$AE436="On hold",$AE436="Launched"),$AE436,IF(AND($Y436="Approved",OR($Z436="Yes",$Z436="N/A"),OR($AA436="Yes",$AA436="N/A"),OR($AB436="No",$AB436="N/A",AND($AB436="Yes",$AD436="Yes"))),"Ready",IF($O436&lt;TODAY(),"Overdue",IF($O436-TODAY()&lt;='Rules &amp; Guardrails'!$C$5,"At Risk","In Progress")))))</f>
        <v/>
      </c>
      <c r="AG436" s="28" t="str">
        <f aca="false">IF($O436="","",IF(OR($AE436="Launched",$AE436="Cancelled"),"",MID(IF($Y436&lt;&gt;"Approved",", Content approval","")&amp;IF(NOT(OR($Z436="Yes",$Z436="N/A")),", Assets","")&amp;IF(NOT(OR($AA436="Yes",$AA436="N/A")),", List","")&amp;IF($AB436="",", Ops decision",IF(AND($AB436="Yes",$AD436&lt;&gt;"Yes"),", Ops",""))&amp;IF($U436="",", Owner","")&amp;IF($K436="",", Segment",""),3,200)))</f>
        <v/>
      </c>
      <c r="AH436" s="29" t="str">
        <f aca="true">IF($O436="","",$O436-TODAY())</f>
        <v/>
      </c>
      <c r="AI436" s="26" t="str">
        <f aca="false">IF($O436="","",$O436-WEEKDAY($O436,3))</f>
        <v/>
      </c>
      <c r="AJ436" s="30" t="str">
        <f aca="false">IF($O436="","",DATE(YEAR($O436),MONTH($O436),1))</f>
        <v/>
      </c>
      <c r="AK436" s="31" t="str">
        <f aca="false">IF(OR($O436="",$K436=""),"",COUNTIFS('Comms Calendar'!$K$5:$K$504,$K436,'Comms Calendar'!$B$5:$B$504,$B436,'Comms Calendar'!$AI$5:$AI$504,$AI436,'Comms Calendar'!$AE$5:$AE$504,"&lt;&gt;Cancelled"))</f>
        <v/>
      </c>
      <c r="AL436" s="27" t="str">
        <f aca="false">IF($AK436="","",IF($AK436&gt;'Rules &amp; Guardrails'!$C$3,"Over cap","OK"))</f>
        <v/>
      </c>
      <c r="AM436" s="27" t="str">
        <f aca="false">IF(OR($O436="",$K436=""),"",IF(COUNTIFS('Comms Calendar'!$K$5:$K$504,$K436,'Comms Calendar'!$B$5:$B$504,$B436,'Comms Calendar'!$O$5:$O$504,$O436,'Comms Calendar'!$AE$5:$AE$504,"&lt;&gt;Cancelled")&gt;1,"Clash",""))</f>
        <v/>
      </c>
      <c r="AN436" s="27" t="str">
        <f aca="false">IF($O436="","",IF(IF($B436="Global",COUNTIF('Rules &amp; Guardrails'!$F$9:$F$60,$O436),COUNTIFS('Rules &amp; Guardrails'!$F$9:$F$60,$O436,'Rules &amp; Guardrails'!$G$9:$G$60,$B436)+COUNTIFS('Rules &amp; Guardrails'!$F$9:$F$60,$O436,'Rules &amp; Guardrails'!$G$9:$G$60,"Global"))&gt;0,"Blackout",""))</f>
        <v/>
      </c>
      <c r="AO436" s="6"/>
      <c r="AP436" s="25"/>
      <c r="AQ436" s="23"/>
      <c r="AR436" s="31" t="str">
        <f aca="false">IF($D436="","",IFERROR(VLOOKUP($D436,'Rules &amp; Guardrails'!$A$9:$D$24,2,0),"Other"))</f>
        <v/>
      </c>
      <c r="AS436" s="31" t="str">
        <f aca="false">IF($O436="","",$O436&amp;"|"&amp;$B436)</f>
        <v/>
      </c>
    </row>
    <row r="437" customFormat="false" ht="15" hidden="false" customHeight="false" outlineLevel="0" collapsed="false">
      <c r="A437" s="23"/>
      <c r="B437" s="23"/>
      <c r="C437" s="23"/>
      <c r="D437" s="23"/>
      <c r="E437" s="23"/>
      <c r="F437" s="23"/>
      <c r="G437" s="6"/>
      <c r="H437" s="6"/>
      <c r="I437" s="23"/>
      <c r="J437" s="23"/>
      <c r="K437" s="23"/>
      <c r="L437" s="6"/>
      <c r="M437" s="6"/>
      <c r="N437" s="24"/>
      <c r="O437" s="25"/>
      <c r="P437" s="23"/>
      <c r="Q437" s="23"/>
      <c r="R437" s="23"/>
      <c r="S437" s="23"/>
      <c r="T437" s="26" t="str">
        <f aca="false">IF(OR($O437="",$D437=""),"",WORKDAY($O437,-IFERROR(VLOOKUP($D437,'Rules &amp; Guardrails'!$A$9:$D$24,3,0),10)))</f>
        <v/>
      </c>
      <c r="U437" s="23"/>
      <c r="V437" s="23"/>
      <c r="W437" s="23"/>
      <c r="X437" s="6"/>
      <c r="Y437" s="23"/>
      <c r="Z437" s="23"/>
      <c r="AA437" s="23"/>
      <c r="AB437" s="23"/>
      <c r="AC437" s="23"/>
      <c r="AD437" s="23"/>
      <c r="AE437" s="23"/>
      <c r="AF437" s="27" t="str">
        <f aca="true">IF($O437="","",IF(OR($AE437="Cancelled",$AE437="On hold",$AE437="Launched"),$AE437,IF(AND($Y437="Approved",OR($Z437="Yes",$Z437="N/A"),OR($AA437="Yes",$AA437="N/A"),OR($AB437="No",$AB437="N/A",AND($AB437="Yes",$AD437="Yes"))),"Ready",IF($O437&lt;TODAY(),"Overdue",IF($O437-TODAY()&lt;='Rules &amp; Guardrails'!$C$5,"At Risk","In Progress")))))</f>
        <v/>
      </c>
      <c r="AG437" s="28" t="str">
        <f aca="false">IF($O437="","",IF(OR($AE437="Launched",$AE437="Cancelled"),"",MID(IF($Y437&lt;&gt;"Approved",", Content approval","")&amp;IF(NOT(OR($Z437="Yes",$Z437="N/A")),", Assets","")&amp;IF(NOT(OR($AA437="Yes",$AA437="N/A")),", List","")&amp;IF($AB437="",", Ops decision",IF(AND($AB437="Yes",$AD437&lt;&gt;"Yes"),", Ops",""))&amp;IF($U437="",", Owner","")&amp;IF($K437="",", Segment",""),3,200)))</f>
        <v/>
      </c>
      <c r="AH437" s="29" t="str">
        <f aca="true">IF($O437="","",$O437-TODAY())</f>
        <v/>
      </c>
      <c r="AI437" s="26" t="str">
        <f aca="false">IF($O437="","",$O437-WEEKDAY($O437,3))</f>
        <v/>
      </c>
      <c r="AJ437" s="30" t="str">
        <f aca="false">IF($O437="","",DATE(YEAR($O437),MONTH($O437),1))</f>
        <v/>
      </c>
      <c r="AK437" s="31" t="str">
        <f aca="false">IF(OR($O437="",$K437=""),"",COUNTIFS('Comms Calendar'!$K$5:$K$504,$K437,'Comms Calendar'!$B$5:$B$504,$B437,'Comms Calendar'!$AI$5:$AI$504,$AI437,'Comms Calendar'!$AE$5:$AE$504,"&lt;&gt;Cancelled"))</f>
        <v/>
      </c>
      <c r="AL437" s="27" t="str">
        <f aca="false">IF($AK437="","",IF($AK437&gt;'Rules &amp; Guardrails'!$C$3,"Over cap","OK"))</f>
        <v/>
      </c>
      <c r="AM437" s="27" t="str">
        <f aca="false">IF(OR($O437="",$K437=""),"",IF(COUNTIFS('Comms Calendar'!$K$5:$K$504,$K437,'Comms Calendar'!$B$5:$B$504,$B437,'Comms Calendar'!$O$5:$O$504,$O437,'Comms Calendar'!$AE$5:$AE$504,"&lt;&gt;Cancelled")&gt;1,"Clash",""))</f>
        <v/>
      </c>
      <c r="AN437" s="27" t="str">
        <f aca="false">IF($O437="","",IF(IF($B437="Global",COUNTIF('Rules &amp; Guardrails'!$F$9:$F$60,$O437),COUNTIFS('Rules &amp; Guardrails'!$F$9:$F$60,$O437,'Rules &amp; Guardrails'!$G$9:$G$60,$B437)+COUNTIFS('Rules &amp; Guardrails'!$F$9:$F$60,$O437,'Rules &amp; Guardrails'!$G$9:$G$60,"Global"))&gt;0,"Blackout",""))</f>
        <v/>
      </c>
      <c r="AO437" s="6"/>
      <c r="AP437" s="25"/>
      <c r="AQ437" s="23"/>
      <c r="AR437" s="31" t="str">
        <f aca="false">IF($D437="","",IFERROR(VLOOKUP($D437,'Rules &amp; Guardrails'!$A$9:$D$24,2,0),"Other"))</f>
        <v/>
      </c>
      <c r="AS437" s="31" t="str">
        <f aca="false">IF($O437="","",$O437&amp;"|"&amp;$B437)</f>
        <v/>
      </c>
    </row>
    <row r="438" customFormat="false" ht="15" hidden="false" customHeight="false" outlineLevel="0" collapsed="false">
      <c r="A438" s="23"/>
      <c r="B438" s="23"/>
      <c r="C438" s="23"/>
      <c r="D438" s="23"/>
      <c r="E438" s="23"/>
      <c r="F438" s="23"/>
      <c r="G438" s="6"/>
      <c r="H438" s="6"/>
      <c r="I438" s="23"/>
      <c r="J438" s="23"/>
      <c r="K438" s="23"/>
      <c r="L438" s="6"/>
      <c r="M438" s="6"/>
      <c r="N438" s="24"/>
      <c r="O438" s="25"/>
      <c r="P438" s="23"/>
      <c r="Q438" s="23"/>
      <c r="R438" s="23"/>
      <c r="S438" s="23"/>
      <c r="T438" s="26" t="str">
        <f aca="false">IF(OR($O438="",$D438=""),"",WORKDAY($O438,-IFERROR(VLOOKUP($D438,'Rules &amp; Guardrails'!$A$9:$D$24,3,0),10)))</f>
        <v/>
      </c>
      <c r="U438" s="23"/>
      <c r="V438" s="23"/>
      <c r="W438" s="23"/>
      <c r="X438" s="6"/>
      <c r="Y438" s="23"/>
      <c r="Z438" s="23"/>
      <c r="AA438" s="23"/>
      <c r="AB438" s="23"/>
      <c r="AC438" s="23"/>
      <c r="AD438" s="23"/>
      <c r="AE438" s="23"/>
      <c r="AF438" s="27" t="str">
        <f aca="true">IF($O438="","",IF(OR($AE438="Cancelled",$AE438="On hold",$AE438="Launched"),$AE438,IF(AND($Y438="Approved",OR($Z438="Yes",$Z438="N/A"),OR($AA438="Yes",$AA438="N/A"),OR($AB438="No",$AB438="N/A",AND($AB438="Yes",$AD438="Yes"))),"Ready",IF($O438&lt;TODAY(),"Overdue",IF($O438-TODAY()&lt;='Rules &amp; Guardrails'!$C$5,"At Risk","In Progress")))))</f>
        <v/>
      </c>
      <c r="AG438" s="28" t="str">
        <f aca="false">IF($O438="","",IF(OR($AE438="Launched",$AE438="Cancelled"),"",MID(IF($Y438&lt;&gt;"Approved",", Content approval","")&amp;IF(NOT(OR($Z438="Yes",$Z438="N/A")),", Assets","")&amp;IF(NOT(OR($AA438="Yes",$AA438="N/A")),", List","")&amp;IF($AB438="",", Ops decision",IF(AND($AB438="Yes",$AD438&lt;&gt;"Yes"),", Ops",""))&amp;IF($U438="",", Owner","")&amp;IF($K438="",", Segment",""),3,200)))</f>
        <v/>
      </c>
      <c r="AH438" s="29" t="str">
        <f aca="true">IF($O438="","",$O438-TODAY())</f>
        <v/>
      </c>
      <c r="AI438" s="26" t="str">
        <f aca="false">IF($O438="","",$O438-WEEKDAY($O438,3))</f>
        <v/>
      </c>
      <c r="AJ438" s="30" t="str">
        <f aca="false">IF($O438="","",DATE(YEAR($O438),MONTH($O438),1))</f>
        <v/>
      </c>
      <c r="AK438" s="31" t="str">
        <f aca="false">IF(OR($O438="",$K438=""),"",COUNTIFS('Comms Calendar'!$K$5:$K$504,$K438,'Comms Calendar'!$B$5:$B$504,$B438,'Comms Calendar'!$AI$5:$AI$504,$AI438,'Comms Calendar'!$AE$5:$AE$504,"&lt;&gt;Cancelled"))</f>
        <v/>
      </c>
      <c r="AL438" s="27" t="str">
        <f aca="false">IF($AK438="","",IF($AK438&gt;'Rules &amp; Guardrails'!$C$3,"Over cap","OK"))</f>
        <v/>
      </c>
      <c r="AM438" s="27" t="str">
        <f aca="false">IF(OR($O438="",$K438=""),"",IF(COUNTIFS('Comms Calendar'!$K$5:$K$504,$K438,'Comms Calendar'!$B$5:$B$504,$B438,'Comms Calendar'!$O$5:$O$504,$O438,'Comms Calendar'!$AE$5:$AE$504,"&lt;&gt;Cancelled")&gt;1,"Clash",""))</f>
        <v/>
      </c>
      <c r="AN438" s="27" t="str">
        <f aca="false">IF($O438="","",IF(IF($B438="Global",COUNTIF('Rules &amp; Guardrails'!$F$9:$F$60,$O438),COUNTIFS('Rules &amp; Guardrails'!$F$9:$F$60,$O438,'Rules &amp; Guardrails'!$G$9:$G$60,$B438)+COUNTIFS('Rules &amp; Guardrails'!$F$9:$F$60,$O438,'Rules &amp; Guardrails'!$G$9:$G$60,"Global"))&gt;0,"Blackout",""))</f>
        <v/>
      </c>
      <c r="AO438" s="6"/>
      <c r="AP438" s="25"/>
      <c r="AQ438" s="23"/>
      <c r="AR438" s="31" t="str">
        <f aca="false">IF($D438="","",IFERROR(VLOOKUP($D438,'Rules &amp; Guardrails'!$A$9:$D$24,2,0),"Other"))</f>
        <v/>
      </c>
      <c r="AS438" s="31" t="str">
        <f aca="false">IF($O438="","",$O438&amp;"|"&amp;$B438)</f>
        <v/>
      </c>
    </row>
    <row r="439" customFormat="false" ht="15" hidden="false" customHeight="false" outlineLevel="0" collapsed="false">
      <c r="A439" s="23"/>
      <c r="B439" s="23"/>
      <c r="C439" s="23"/>
      <c r="D439" s="23"/>
      <c r="E439" s="23"/>
      <c r="F439" s="23"/>
      <c r="G439" s="6"/>
      <c r="H439" s="6"/>
      <c r="I439" s="23"/>
      <c r="J439" s="23"/>
      <c r="K439" s="23"/>
      <c r="L439" s="6"/>
      <c r="M439" s="6"/>
      <c r="N439" s="24"/>
      <c r="O439" s="25"/>
      <c r="P439" s="23"/>
      <c r="Q439" s="23"/>
      <c r="R439" s="23"/>
      <c r="S439" s="23"/>
      <c r="T439" s="26" t="str">
        <f aca="false">IF(OR($O439="",$D439=""),"",WORKDAY($O439,-IFERROR(VLOOKUP($D439,'Rules &amp; Guardrails'!$A$9:$D$24,3,0),10)))</f>
        <v/>
      </c>
      <c r="U439" s="23"/>
      <c r="V439" s="23"/>
      <c r="W439" s="23"/>
      <c r="X439" s="6"/>
      <c r="Y439" s="23"/>
      <c r="Z439" s="23"/>
      <c r="AA439" s="23"/>
      <c r="AB439" s="23"/>
      <c r="AC439" s="23"/>
      <c r="AD439" s="23"/>
      <c r="AE439" s="23"/>
      <c r="AF439" s="27" t="str">
        <f aca="true">IF($O439="","",IF(OR($AE439="Cancelled",$AE439="On hold",$AE439="Launched"),$AE439,IF(AND($Y439="Approved",OR($Z439="Yes",$Z439="N/A"),OR($AA439="Yes",$AA439="N/A"),OR($AB439="No",$AB439="N/A",AND($AB439="Yes",$AD439="Yes"))),"Ready",IF($O439&lt;TODAY(),"Overdue",IF($O439-TODAY()&lt;='Rules &amp; Guardrails'!$C$5,"At Risk","In Progress")))))</f>
        <v/>
      </c>
      <c r="AG439" s="28" t="str">
        <f aca="false">IF($O439="","",IF(OR($AE439="Launched",$AE439="Cancelled"),"",MID(IF($Y439&lt;&gt;"Approved",", Content approval","")&amp;IF(NOT(OR($Z439="Yes",$Z439="N/A")),", Assets","")&amp;IF(NOT(OR($AA439="Yes",$AA439="N/A")),", List","")&amp;IF($AB439="",", Ops decision",IF(AND($AB439="Yes",$AD439&lt;&gt;"Yes"),", Ops",""))&amp;IF($U439="",", Owner","")&amp;IF($K439="",", Segment",""),3,200)))</f>
        <v/>
      </c>
      <c r="AH439" s="29" t="str">
        <f aca="true">IF($O439="","",$O439-TODAY())</f>
        <v/>
      </c>
      <c r="AI439" s="26" t="str">
        <f aca="false">IF($O439="","",$O439-WEEKDAY($O439,3))</f>
        <v/>
      </c>
      <c r="AJ439" s="30" t="str">
        <f aca="false">IF($O439="","",DATE(YEAR($O439),MONTH($O439),1))</f>
        <v/>
      </c>
      <c r="AK439" s="31" t="str">
        <f aca="false">IF(OR($O439="",$K439=""),"",COUNTIFS('Comms Calendar'!$K$5:$K$504,$K439,'Comms Calendar'!$B$5:$B$504,$B439,'Comms Calendar'!$AI$5:$AI$504,$AI439,'Comms Calendar'!$AE$5:$AE$504,"&lt;&gt;Cancelled"))</f>
        <v/>
      </c>
      <c r="AL439" s="27" t="str">
        <f aca="false">IF($AK439="","",IF($AK439&gt;'Rules &amp; Guardrails'!$C$3,"Over cap","OK"))</f>
        <v/>
      </c>
      <c r="AM439" s="27" t="str">
        <f aca="false">IF(OR($O439="",$K439=""),"",IF(COUNTIFS('Comms Calendar'!$K$5:$K$504,$K439,'Comms Calendar'!$B$5:$B$504,$B439,'Comms Calendar'!$O$5:$O$504,$O439,'Comms Calendar'!$AE$5:$AE$504,"&lt;&gt;Cancelled")&gt;1,"Clash",""))</f>
        <v/>
      </c>
      <c r="AN439" s="27" t="str">
        <f aca="false">IF($O439="","",IF(IF($B439="Global",COUNTIF('Rules &amp; Guardrails'!$F$9:$F$60,$O439),COUNTIFS('Rules &amp; Guardrails'!$F$9:$F$60,$O439,'Rules &amp; Guardrails'!$G$9:$G$60,$B439)+COUNTIFS('Rules &amp; Guardrails'!$F$9:$F$60,$O439,'Rules &amp; Guardrails'!$G$9:$G$60,"Global"))&gt;0,"Blackout",""))</f>
        <v/>
      </c>
      <c r="AO439" s="6"/>
      <c r="AP439" s="25"/>
      <c r="AQ439" s="23"/>
      <c r="AR439" s="31" t="str">
        <f aca="false">IF($D439="","",IFERROR(VLOOKUP($D439,'Rules &amp; Guardrails'!$A$9:$D$24,2,0),"Other"))</f>
        <v/>
      </c>
      <c r="AS439" s="31" t="str">
        <f aca="false">IF($O439="","",$O439&amp;"|"&amp;$B439)</f>
        <v/>
      </c>
    </row>
    <row r="440" customFormat="false" ht="15" hidden="false" customHeight="false" outlineLevel="0" collapsed="false">
      <c r="A440" s="23"/>
      <c r="B440" s="23"/>
      <c r="C440" s="23"/>
      <c r="D440" s="23"/>
      <c r="E440" s="23"/>
      <c r="F440" s="23"/>
      <c r="G440" s="6"/>
      <c r="H440" s="6"/>
      <c r="I440" s="23"/>
      <c r="J440" s="23"/>
      <c r="K440" s="23"/>
      <c r="L440" s="6"/>
      <c r="M440" s="6"/>
      <c r="N440" s="24"/>
      <c r="O440" s="25"/>
      <c r="P440" s="23"/>
      <c r="Q440" s="23"/>
      <c r="R440" s="23"/>
      <c r="S440" s="23"/>
      <c r="T440" s="26" t="str">
        <f aca="false">IF(OR($O440="",$D440=""),"",WORKDAY($O440,-IFERROR(VLOOKUP($D440,'Rules &amp; Guardrails'!$A$9:$D$24,3,0),10)))</f>
        <v/>
      </c>
      <c r="U440" s="23"/>
      <c r="V440" s="23"/>
      <c r="W440" s="23"/>
      <c r="X440" s="6"/>
      <c r="Y440" s="23"/>
      <c r="Z440" s="23"/>
      <c r="AA440" s="23"/>
      <c r="AB440" s="23"/>
      <c r="AC440" s="23"/>
      <c r="AD440" s="23"/>
      <c r="AE440" s="23"/>
      <c r="AF440" s="27" t="str">
        <f aca="true">IF($O440="","",IF(OR($AE440="Cancelled",$AE440="On hold",$AE440="Launched"),$AE440,IF(AND($Y440="Approved",OR($Z440="Yes",$Z440="N/A"),OR($AA440="Yes",$AA440="N/A"),OR($AB440="No",$AB440="N/A",AND($AB440="Yes",$AD440="Yes"))),"Ready",IF($O440&lt;TODAY(),"Overdue",IF($O440-TODAY()&lt;='Rules &amp; Guardrails'!$C$5,"At Risk","In Progress")))))</f>
        <v/>
      </c>
      <c r="AG440" s="28" t="str">
        <f aca="false">IF($O440="","",IF(OR($AE440="Launched",$AE440="Cancelled"),"",MID(IF($Y440&lt;&gt;"Approved",", Content approval","")&amp;IF(NOT(OR($Z440="Yes",$Z440="N/A")),", Assets","")&amp;IF(NOT(OR($AA440="Yes",$AA440="N/A")),", List","")&amp;IF($AB440="",", Ops decision",IF(AND($AB440="Yes",$AD440&lt;&gt;"Yes"),", Ops",""))&amp;IF($U440="",", Owner","")&amp;IF($K440="",", Segment",""),3,200)))</f>
        <v/>
      </c>
      <c r="AH440" s="29" t="str">
        <f aca="true">IF($O440="","",$O440-TODAY())</f>
        <v/>
      </c>
      <c r="AI440" s="26" t="str">
        <f aca="false">IF($O440="","",$O440-WEEKDAY($O440,3))</f>
        <v/>
      </c>
      <c r="AJ440" s="30" t="str">
        <f aca="false">IF($O440="","",DATE(YEAR($O440),MONTH($O440),1))</f>
        <v/>
      </c>
      <c r="AK440" s="31" t="str">
        <f aca="false">IF(OR($O440="",$K440=""),"",COUNTIFS('Comms Calendar'!$K$5:$K$504,$K440,'Comms Calendar'!$B$5:$B$504,$B440,'Comms Calendar'!$AI$5:$AI$504,$AI440,'Comms Calendar'!$AE$5:$AE$504,"&lt;&gt;Cancelled"))</f>
        <v/>
      </c>
      <c r="AL440" s="27" t="str">
        <f aca="false">IF($AK440="","",IF($AK440&gt;'Rules &amp; Guardrails'!$C$3,"Over cap","OK"))</f>
        <v/>
      </c>
      <c r="AM440" s="27" t="str">
        <f aca="false">IF(OR($O440="",$K440=""),"",IF(COUNTIFS('Comms Calendar'!$K$5:$K$504,$K440,'Comms Calendar'!$B$5:$B$504,$B440,'Comms Calendar'!$O$5:$O$504,$O440,'Comms Calendar'!$AE$5:$AE$504,"&lt;&gt;Cancelled")&gt;1,"Clash",""))</f>
        <v/>
      </c>
      <c r="AN440" s="27" t="str">
        <f aca="false">IF($O440="","",IF(IF($B440="Global",COUNTIF('Rules &amp; Guardrails'!$F$9:$F$60,$O440),COUNTIFS('Rules &amp; Guardrails'!$F$9:$F$60,$O440,'Rules &amp; Guardrails'!$G$9:$G$60,$B440)+COUNTIFS('Rules &amp; Guardrails'!$F$9:$F$60,$O440,'Rules &amp; Guardrails'!$G$9:$G$60,"Global"))&gt;0,"Blackout",""))</f>
        <v/>
      </c>
      <c r="AO440" s="6"/>
      <c r="AP440" s="25"/>
      <c r="AQ440" s="23"/>
      <c r="AR440" s="31" t="str">
        <f aca="false">IF($D440="","",IFERROR(VLOOKUP($D440,'Rules &amp; Guardrails'!$A$9:$D$24,2,0),"Other"))</f>
        <v/>
      </c>
      <c r="AS440" s="31" t="str">
        <f aca="false">IF($O440="","",$O440&amp;"|"&amp;$B440)</f>
        <v/>
      </c>
    </row>
    <row r="441" customFormat="false" ht="15" hidden="false" customHeight="false" outlineLevel="0" collapsed="false">
      <c r="A441" s="23"/>
      <c r="B441" s="23"/>
      <c r="C441" s="23"/>
      <c r="D441" s="23"/>
      <c r="E441" s="23"/>
      <c r="F441" s="23"/>
      <c r="G441" s="6"/>
      <c r="H441" s="6"/>
      <c r="I441" s="23"/>
      <c r="J441" s="23"/>
      <c r="K441" s="23"/>
      <c r="L441" s="6"/>
      <c r="M441" s="6"/>
      <c r="N441" s="24"/>
      <c r="O441" s="25"/>
      <c r="P441" s="23"/>
      <c r="Q441" s="23"/>
      <c r="R441" s="23"/>
      <c r="S441" s="23"/>
      <c r="T441" s="26" t="str">
        <f aca="false">IF(OR($O441="",$D441=""),"",WORKDAY($O441,-IFERROR(VLOOKUP($D441,'Rules &amp; Guardrails'!$A$9:$D$24,3,0),10)))</f>
        <v/>
      </c>
      <c r="U441" s="23"/>
      <c r="V441" s="23"/>
      <c r="W441" s="23"/>
      <c r="X441" s="6"/>
      <c r="Y441" s="23"/>
      <c r="Z441" s="23"/>
      <c r="AA441" s="23"/>
      <c r="AB441" s="23"/>
      <c r="AC441" s="23"/>
      <c r="AD441" s="23"/>
      <c r="AE441" s="23"/>
      <c r="AF441" s="27" t="str">
        <f aca="true">IF($O441="","",IF(OR($AE441="Cancelled",$AE441="On hold",$AE441="Launched"),$AE441,IF(AND($Y441="Approved",OR($Z441="Yes",$Z441="N/A"),OR($AA441="Yes",$AA441="N/A"),OR($AB441="No",$AB441="N/A",AND($AB441="Yes",$AD441="Yes"))),"Ready",IF($O441&lt;TODAY(),"Overdue",IF($O441-TODAY()&lt;='Rules &amp; Guardrails'!$C$5,"At Risk","In Progress")))))</f>
        <v/>
      </c>
      <c r="AG441" s="28" t="str">
        <f aca="false">IF($O441="","",IF(OR($AE441="Launched",$AE441="Cancelled"),"",MID(IF($Y441&lt;&gt;"Approved",", Content approval","")&amp;IF(NOT(OR($Z441="Yes",$Z441="N/A")),", Assets","")&amp;IF(NOT(OR($AA441="Yes",$AA441="N/A")),", List","")&amp;IF($AB441="",", Ops decision",IF(AND($AB441="Yes",$AD441&lt;&gt;"Yes"),", Ops",""))&amp;IF($U441="",", Owner","")&amp;IF($K441="",", Segment",""),3,200)))</f>
        <v/>
      </c>
      <c r="AH441" s="29" t="str">
        <f aca="true">IF($O441="","",$O441-TODAY())</f>
        <v/>
      </c>
      <c r="AI441" s="26" t="str">
        <f aca="false">IF($O441="","",$O441-WEEKDAY($O441,3))</f>
        <v/>
      </c>
      <c r="AJ441" s="30" t="str">
        <f aca="false">IF($O441="","",DATE(YEAR($O441),MONTH($O441),1))</f>
        <v/>
      </c>
      <c r="AK441" s="31" t="str">
        <f aca="false">IF(OR($O441="",$K441=""),"",COUNTIFS('Comms Calendar'!$K$5:$K$504,$K441,'Comms Calendar'!$B$5:$B$504,$B441,'Comms Calendar'!$AI$5:$AI$504,$AI441,'Comms Calendar'!$AE$5:$AE$504,"&lt;&gt;Cancelled"))</f>
        <v/>
      </c>
      <c r="AL441" s="27" t="str">
        <f aca="false">IF($AK441="","",IF($AK441&gt;'Rules &amp; Guardrails'!$C$3,"Over cap","OK"))</f>
        <v/>
      </c>
      <c r="AM441" s="27" t="str">
        <f aca="false">IF(OR($O441="",$K441=""),"",IF(COUNTIFS('Comms Calendar'!$K$5:$K$504,$K441,'Comms Calendar'!$B$5:$B$504,$B441,'Comms Calendar'!$O$5:$O$504,$O441,'Comms Calendar'!$AE$5:$AE$504,"&lt;&gt;Cancelled")&gt;1,"Clash",""))</f>
        <v/>
      </c>
      <c r="AN441" s="27" t="str">
        <f aca="false">IF($O441="","",IF(IF($B441="Global",COUNTIF('Rules &amp; Guardrails'!$F$9:$F$60,$O441),COUNTIFS('Rules &amp; Guardrails'!$F$9:$F$60,$O441,'Rules &amp; Guardrails'!$G$9:$G$60,$B441)+COUNTIFS('Rules &amp; Guardrails'!$F$9:$F$60,$O441,'Rules &amp; Guardrails'!$G$9:$G$60,"Global"))&gt;0,"Blackout",""))</f>
        <v/>
      </c>
      <c r="AO441" s="6"/>
      <c r="AP441" s="25"/>
      <c r="AQ441" s="23"/>
      <c r="AR441" s="31" t="str">
        <f aca="false">IF($D441="","",IFERROR(VLOOKUP($D441,'Rules &amp; Guardrails'!$A$9:$D$24,2,0),"Other"))</f>
        <v/>
      </c>
      <c r="AS441" s="31" t="str">
        <f aca="false">IF($O441="","",$O441&amp;"|"&amp;$B441)</f>
        <v/>
      </c>
    </row>
    <row r="442" customFormat="false" ht="15" hidden="false" customHeight="false" outlineLevel="0" collapsed="false">
      <c r="A442" s="23"/>
      <c r="B442" s="23"/>
      <c r="C442" s="23"/>
      <c r="D442" s="23"/>
      <c r="E442" s="23"/>
      <c r="F442" s="23"/>
      <c r="G442" s="6"/>
      <c r="H442" s="6"/>
      <c r="I442" s="23"/>
      <c r="J442" s="23"/>
      <c r="K442" s="23"/>
      <c r="L442" s="6"/>
      <c r="M442" s="6"/>
      <c r="N442" s="24"/>
      <c r="O442" s="25"/>
      <c r="P442" s="23"/>
      <c r="Q442" s="23"/>
      <c r="R442" s="23"/>
      <c r="S442" s="23"/>
      <c r="T442" s="26" t="str">
        <f aca="false">IF(OR($O442="",$D442=""),"",WORKDAY($O442,-IFERROR(VLOOKUP($D442,'Rules &amp; Guardrails'!$A$9:$D$24,3,0),10)))</f>
        <v/>
      </c>
      <c r="U442" s="23"/>
      <c r="V442" s="23"/>
      <c r="W442" s="23"/>
      <c r="X442" s="6"/>
      <c r="Y442" s="23"/>
      <c r="Z442" s="23"/>
      <c r="AA442" s="23"/>
      <c r="AB442" s="23"/>
      <c r="AC442" s="23"/>
      <c r="AD442" s="23"/>
      <c r="AE442" s="23"/>
      <c r="AF442" s="27" t="str">
        <f aca="true">IF($O442="","",IF(OR($AE442="Cancelled",$AE442="On hold",$AE442="Launched"),$AE442,IF(AND($Y442="Approved",OR($Z442="Yes",$Z442="N/A"),OR($AA442="Yes",$AA442="N/A"),OR($AB442="No",$AB442="N/A",AND($AB442="Yes",$AD442="Yes"))),"Ready",IF($O442&lt;TODAY(),"Overdue",IF($O442-TODAY()&lt;='Rules &amp; Guardrails'!$C$5,"At Risk","In Progress")))))</f>
        <v/>
      </c>
      <c r="AG442" s="28" t="str">
        <f aca="false">IF($O442="","",IF(OR($AE442="Launched",$AE442="Cancelled"),"",MID(IF($Y442&lt;&gt;"Approved",", Content approval","")&amp;IF(NOT(OR($Z442="Yes",$Z442="N/A")),", Assets","")&amp;IF(NOT(OR($AA442="Yes",$AA442="N/A")),", List","")&amp;IF($AB442="",", Ops decision",IF(AND($AB442="Yes",$AD442&lt;&gt;"Yes"),", Ops",""))&amp;IF($U442="",", Owner","")&amp;IF($K442="",", Segment",""),3,200)))</f>
        <v/>
      </c>
      <c r="AH442" s="29" t="str">
        <f aca="true">IF($O442="","",$O442-TODAY())</f>
        <v/>
      </c>
      <c r="AI442" s="26" t="str">
        <f aca="false">IF($O442="","",$O442-WEEKDAY($O442,3))</f>
        <v/>
      </c>
      <c r="AJ442" s="30" t="str">
        <f aca="false">IF($O442="","",DATE(YEAR($O442),MONTH($O442),1))</f>
        <v/>
      </c>
      <c r="AK442" s="31" t="str">
        <f aca="false">IF(OR($O442="",$K442=""),"",COUNTIFS('Comms Calendar'!$K$5:$K$504,$K442,'Comms Calendar'!$B$5:$B$504,$B442,'Comms Calendar'!$AI$5:$AI$504,$AI442,'Comms Calendar'!$AE$5:$AE$504,"&lt;&gt;Cancelled"))</f>
        <v/>
      </c>
      <c r="AL442" s="27" t="str">
        <f aca="false">IF($AK442="","",IF($AK442&gt;'Rules &amp; Guardrails'!$C$3,"Over cap","OK"))</f>
        <v/>
      </c>
      <c r="AM442" s="27" t="str">
        <f aca="false">IF(OR($O442="",$K442=""),"",IF(COUNTIFS('Comms Calendar'!$K$5:$K$504,$K442,'Comms Calendar'!$B$5:$B$504,$B442,'Comms Calendar'!$O$5:$O$504,$O442,'Comms Calendar'!$AE$5:$AE$504,"&lt;&gt;Cancelled")&gt;1,"Clash",""))</f>
        <v/>
      </c>
      <c r="AN442" s="27" t="str">
        <f aca="false">IF($O442="","",IF(IF($B442="Global",COUNTIF('Rules &amp; Guardrails'!$F$9:$F$60,$O442),COUNTIFS('Rules &amp; Guardrails'!$F$9:$F$60,$O442,'Rules &amp; Guardrails'!$G$9:$G$60,$B442)+COUNTIFS('Rules &amp; Guardrails'!$F$9:$F$60,$O442,'Rules &amp; Guardrails'!$G$9:$G$60,"Global"))&gt;0,"Blackout",""))</f>
        <v/>
      </c>
      <c r="AO442" s="6"/>
      <c r="AP442" s="25"/>
      <c r="AQ442" s="23"/>
      <c r="AR442" s="31" t="str">
        <f aca="false">IF($D442="","",IFERROR(VLOOKUP($D442,'Rules &amp; Guardrails'!$A$9:$D$24,2,0),"Other"))</f>
        <v/>
      </c>
      <c r="AS442" s="31" t="str">
        <f aca="false">IF($O442="","",$O442&amp;"|"&amp;$B442)</f>
        <v/>
      </c>
    </row>
    <row r="443" customFormat="false" ht="15" hidden="false" customHeight="false" outlineLevel="0" collapsed="false">
      <c r="A443" s="23"/>
      <c r="B443" s="23"/>
      <c r="C443" s="23"/>
      <c r="D443" s="23"/>
      <c r="E443" s="23"/>
      <c r="F443" s="23"/>
      <c r="G443" s="6"/>
      <c r="H443" s="6"/>
      <c r="I443" s="23"/>
      <c r="J443" s="23"/>
      <c r="K443" s="23"/>
      <c r="L443" s="6"/>
      <c r="M443" s="6"/>
      <c r="N443" s="24"/>
      <c r="O443" s="25"/>
      <c r="P443" s="23"/>
      <c r="Q443" s="23"/>
      <c r="R443" s="23"/>
      <c r="S443" s="23"/>
      <c r="T443" s="26" t="str">
        <f aca="false">IF(OR($O443="",$D443=""),"",WORKDAY($O443,-IFERROR(VLOOKUP($D443,'Rules &amp; Guardrails'!$A$9:$D$24,3,0),10)))</f>
        <v/>
      </c>
      <c r="U443" s="23"/>
      <c r="V443" s="23"/>
      <c r="W443" s="23"/>
      <c r="X443" s="6"/>
      <c r="Y443" s="23"/>
      <c r="Z443" s="23"/>
      <c r="AA443" s="23"/>
      <c r="AB443" s="23"/>
      <c r="AC443" s="23"/>
      <c r="AD443" s="23"/>
      <c r="AE443" s="23"/>
      <c r="AF443" s="27" t="str">
        <f aca="true">IF($O443="","",IF(OR($AE443="Cancelled",$AE443="On hold",$AE443="Launched"),$AE443,IF(AND($Y443="Approved",OR($Z443="Yes",$Z443="N/A"),OR($AA443="Yes",$AA443="N/A"),OR($AB443="No",$AB443="N/A",AND($AB443="Yes",$AD443="Yes"))),"Ready",IF($O443&lt;TODAY(),"Overdue",IF($O443-TODAY()&lt;='Rules &amp; Guardrails'!$C$5,"At Risk","In Progress")))))</f>
        <v/>
      </c>
      <c r="AG443" s="28" t="str">
        <f aca="false">IF($O443="","",IF(OR($AE443="Launched",$AE443="Cancelled"),"",MID(IF($Y443&lt;&gt;"Approved",", Content approval","")&amp;IF(NOT(OR($Z443="Yes",$Z443="N/A")),", Assets","")&amp;IF(NOT(OR($AA443="Yes",$AA443="N/A")),", List","")&amp;IF($AB443="",", Ops decision",IF(AND($AB443="Yes",$AD443&lt;&gt;"Yes"),", Ops",""))&amp;IF($U443="",", Owner","")&amp;IF($K443="",", Segment",""),3,200)))</f>
        <v/>
      </c>
      <c r="AH443" s="29" t="str">
        <f aca="true">IF($O443="","",$O443-TODAY())</f>
        <v/>
      </c>
      <c r="AI443" s="26" t="str">
        <f aca="false">IF($O443="","",$O443-WEEKDAY($O443,3))</f>
        <v/>
      </c>
      <c r="AJ443" s="30" t="str">
        <f aca="false">IF($O443="","",DATE(YEAR($O443),MONTH($O443),1))</f>
        <v/>
      </c>
      <c r="AK443" s="31" t="str">
        <f aca="false">IF(OR($O443="",$K443=""),"",COUNTIFS('Comms Calendar'!$K$5:$K$504,$K443,'Comms Calendar'!$B$5:$B$504,$B443,'Comms Calendar'!$AI$5:$AI$504,$AI443,'Comms Calendar'!$AE$5:$AE$504,"&lt;&gt;Cancelled"))</f>
        <v/>
      </c>
      <c r="AL443" s="27" t="str">
        <f aca="false">IF($AK443="","",IF($AK443&gt;'Rules &amp; Guardrails'!$C$3,"Over cap","OK"))</f>
        <v/>
      </c>
      <c r="AM443" s="27" t="str">
        <f aca="false">IF(OR($O443="",$K443=""),"",IF(COUNTIFS('Comms Calendar'!$K$5:$K$504,$K443,'Comms Calendar'!$B$5:$B$504,$B443,'Comms Calendar'!$O$5:$O$504,$O443,'Comms Calendar'!$AE$5:$AE$504,"&lt;&gt;Cancelled")&gt;1,"Clash",""))</f>
        <v/>
      </c>
      <c r="AN443" s="27" t="str">
        <f aca="false">IF($O443="","",IF(IF($B443="Global",COUNTIF('Rules &amp; Guardrails'!$F$9:$F$60,$O443),COUNTIFS('Rules &amp; Guardrails'!$F$9:$F$60,$O443,'Rules &amp; Guardrails'!$G$9:$G$60,$B443)+COUNTIFS('Rules &amp; Guardrails'!$F$9:$F$60,$O443,'Rules &amp; Guardrails'!$G$9:$G$60,"Global"))&gt;0,"Blackout",""))</f>
        <v/>
      </c>
      <c r="AO443" s="6"/>
      <c r="AP443" s="25"/>
      <c r="AQ443" s="23"/>
      <c r="AR443" s="31" t="str">
        <f aca="false">IF($D443="","",IFERROR(VLOOKUP($D443,'Rules &amp; Guardrails'!$A$9:$D$24,2,0),"Other"))</f>
        <v/>
      </c>
      <c r="AS443" s="31" t="str">
        <f aca="false">IF($O443="","",$O443&amp;"|"&amp;$B443)</f>
        <v/>
      </c>
    </row>
    <row r="444" customFormat="false" ht="15" hidden="false" customHeight="false" outlineLevel="0" collapsed="false">
      <c r="A444" s="23"/>
      <c r="B444" s="23"/>
      <c r="C444" s="23"/>
      <c r="D444" s="23"/>
      <c r="E444" s="23"/>
      <c r="F444" s="23"/>
      <c r="G444" s="6"/>
      <c r="H444" s="6"/>
      <c r="I444" s="23"/>
      <c r="J444" s="23"/>
      <c r="K444" s="23"/>
      <c r="L444" s="6"/>
      <c r="M444" s="6"/>
      <c r="N444" s="24"/>
      <c r="O444" s="25"/>
      <c r="P444" s="23"/>
      <c r="Q444" s="23"/>
      <c r="R444" s="23"/>
      <c r="S444" s="23"/>
      <c r="T444" s="26" t="str">
        <f aca="false">IF(OR($O444="",$D444=""),"",WORKDAY($O444,-IFERROR(VLOOKUP($D444,'Rules &amp; Guardrails'!$A$9:$D$24,3,0),10)))</f>
        <v/>
      </c>
      <c r="U444" s="23"/>
      <c r="V444" s="23"/>
      <c r="W444" s="23"/>
      <c r="X444" s="6"/>
      <c r="Y444" s="23"/>
      <c r="Z444" s="23"/>
      <c r="AA444" s="23"/>
      <c r="AB444" s="23"/>
      <c r="AC444" s="23"/>
      <c r="AD444" s="23"/>
      <c r="AE444" s="23"/>
      <c r="AF444" s="27" t="str">
        <f aca="true">IF($O444="","",IF(OR($AE444="Cancelled",$AE444="On hold",$AE444="Launched"),$AE444,IF(AND($Y444="Approved",OR($Z444="Yes",$Z444="N/A"),OR($AA444="Yes",$AA444="N/A"),OR($AB444="No",$AB444="N/A",AND($AB444="Yes",$AD444="Yes"))),"Ready",IF($O444&lt;TODAY(),"Overdue",IF($O444-TODAY()&lt;='Rules &amp; Guardrails'!$C$5,"At Risk","In Progress")))))</f>
        <v/>
      </c>
      <c r="AG444" s="28" t="str">
        <f aca="false">IF($O444="","",IF(OR($AE444="Launched",$AE444="Cancelled"),"",MID(IF($Y444&lt;&gt;"Approved",", Content approval","")&amp;IF(NOT(OR($Z444="Yes",$Z444="N/A")),", Assets","")&amp;IF(NOT(OR($AA444="Yes",$AA444="N/A")),", List","")&amp;IF($AB444="",", Ops decision",IF(AND($AB444="Yes",$AD444&lt;&gt;"Yes"),", Ops",""))&amp;IF($U444="",", Owner","")&amp;IF($K444="",", Segment",""),3,200)))</f>
        <v/>
      </c>
      <c r="AH444" s="29" t="str">
        <f aca="true">IF($O444="","",$O444-TODAY())</f>
        <v/>
      </c>
      <c r="AI444" s="26" t="str">
        <f aca="false">IF($O444="","",$O444-WEEKDAY($O444,3))</f>
        <v/>
      </c>
      <c r="AJ444" s="30" t="str">
        <f aca="false">IF($O444="","",DATE(YEAR($O444),MONTH($O444),1))</f>
        <v/>
      </c>
      <c r="AK444" s="31" t="str">
        <f aca="false">IF(OR($O444="",$K444=""),"",COUNTIFS('Comms Calendar'!$K$5:$K$504,$K444,'Comms Calendar'!$B$5:$B$504,$B444,'Comms Calendar'!$AI$5:$AI$504,$AI444,'Comms Calendar'!$AE$5:$AE$504,"&lt;&gt;Cancelled"))</f>
        <v/>
      </c>
      <c r="AL444" s="27" t="str">
        <f aca="false">IF($AK444="","",IF($AK444&gt;'Rules &amp; Guardrails'!$C$3,"Over cap","OK"))</f>
        <v/>
      </c>
      <c r="AM444" s="27" t="str">
        <f aca="false">IF(OR($O444="",$K444=""),"",IF(COUNTIFS('Comms Calendar'!$K$5:$K$504,$K444,'Comms Calendar'!$B$5:$B$504,$B444,'Comms Calendar'!$O$5:$O$504,$O444,'Comms Calendar'!$AE$5:$AE$504,"&lt;&gt;Cancelled")&gt;1,"Clash",""))</f>
        <v/>
      </c>
      <c r="AN444" s="27" t="str">
        <f aca="false">IF($O444="","",IF(IF($B444="Global",COUNTIF('Rules &amp; Guardrails'!$F$9:$F$60,$O444),COUNTIFS('Rules &amp; Guardrails'!$F$9:$F$60,$O444,'Rules &amp; Guardrails'!$G$9:$G$60,$B444)+COUNTIFS('Rules &amp; Guardrails'!$F$9:$F$60,$O444,'Rules &amp; Guardrails'!$G$9:$G$60,"Global"))&gt;0,"Blackout",""))</f>
        <v/>
      </c>
      <c r="AO444" s="6"/>
      <c r="AP444" s="25"/>
      <c r="AQ444" s="23"/>
      <c r="AR444" s="31" t="str">
        <f aca="false">IF($D444="","",IFERROR(VLOOKUP($D444,'Rules &amp; Guardrails'!$A$9:$D$24,2,0),"Other"))</f>
        <v/>
      </c>
      <c r="AS444" s="31" t="str">
        <f aca="false">IF($O444="","",$O444&amp;"|"&amp;$B444)</f>
        <v/>
      </c>
    </row>
    <row r="445" customFormat="false" ht="15" hidden="false" customHeight="false" outlineLevel="0" collapsed="false">
      <c r="A445" s="23"/>
      <c r="B445" s="23"/>
      <c r="C445" s="23"/>
      <c r="D445" s="23"/>
      <c r="E445" s="23"/>
      <c r="F445" s="23"/>
      <c r="G445" s="6"/>
      <c r="H445" s="6"/>
      <c r="I445" s="23"/>
      <c r="J445" s="23"/>
      <c r="K445" s="23"/>
      <c r="L445" s="6"/>
      <c r="M445" s="6"/>
      <c r="N445" s="24"/>
      <c r="O445" s="25"/>
      <c r="P445" s="23"/>
      <c r="Q445" s="23"/>
      <c r="R445" s="23"/>
      <c r="S445" s="23"/>
      <c r="T445" s="26" t="str">
        <f aca="false">IF(OR($O445="",$D445=""),"",WORKDAY($O445,-IFERROR(VLOOKUP($D445,'Rules &amp; Guardrails'!$A$9:$D$24,3,0),10)))</f>
        <v/>
      </c>
      <c r="U445" s="23"/>
      <c r="V445" s="23"/>
      <c r="W445" s="23"/>
      <c r="X445" s="6"/>
      <c r="Y445" s="23"/>
      <c r="Z445" s="23"/>
      <c r="AA445" s="23"/>
      <c r="AB445" s="23"/>
      <c r="AC445" s="23"/>
      <c r="AD445" s="23"/>
      <c r="AE445" s="23"/>
      <c r="AF445" s="27" t="str">
        <f aca="true">IF($O445="","",IF(OR($AE445="Cancelled",$AE445="On hold",$AE445="Launched"),$AE445,IF(AND($Y445="Approved",OR($Z445="Yes",$Z445="N/A"),OR($AA445="Yes",$AA445="N/A"),OR($AB445="No",$AB445="N/A",AND($AB445="Yes",$AD445="Yes"))),"Ready",IF($O445&lt;TODAY(),"Overdue",IF($O445-TODAY()&lt;='Rules &amp; Guardrails'!$C$5,"At Risk","In Progress")))))</f>
        <v/>
      </c>
      <c r="AG445" s="28" t="str">
        <f aca="false">IF($O445="","",IF(OR($AE445="Launched",$AE445="Cancelled"),"",MID(IF($Y445&lt;&gt;"Approved",", Content approval","")&amp;IF(NOT(OR($Z445="Yes",$Z445="N/A")),", Assets","")&amp;IF(NOT(OR($AA445="Yes",$AA445="N/A")),", List","")&amp;IF($AB445="",", Ops decision",IF(AND($AB445="Yes",$AD445&lt;&gt;"Yes"),", Ops",""))&amp;IF($U445="",", Owner","")&amp;IF($K445="",", Segment",""),3,200)))</f>
        <v/>
      </c>
      <c r="AH445" s="29" t="str">
        <f aca="true">IF($O445="","",$O445-TODAY())</f>
        <v/>
      </c>
      <c r="AI445" s="26" t="str">
        <f aca="false">IF($O445="","",$O445-WEEKDAY($O445,3))</f>
        <v/>
      </c>
      <c r="AJ445" s="30" t="str">
        <f aca="false">IF($O445="","",DATE(YEAR($O445),MONTH($O445),1))</f>
        <v/>
      </c>
      <c r="AK445" s="31" t="str">
        <f aca="false">IF(OR($O445="",$K445=""),"",COUNTIFS('Comms Calendar'!$K$5:$K$504,$K445,'Comms Calendar'!$B$5:$B$504,$B445,'Comms Calendar'!$AI$5:$AI$504,$AI445,'Comms Calendar'!$AE$5:$AE$504,"&lt;&gt;Cancelled"))</f>
        <v/>
      </c>
      <c r="AL445" s="27" t="str">
        <f aca="false">IF($AK445="","",IF($AK445&gt;'Rules &amp; Guardrails'!$C$3,"Over cap","OK"))</f>
        <v/>
      </c>
      <c r="AM445" s="27" t="str">
        <f aca="false">IF(OR($O445="",$K445=""),"",IF(COUNTIFS('Comms Calendar'!$K$5:$K$504,$K445,'Comms Calendar'!$B$5:$B$504,$B445,'Comms Calendar'!$O$5:$O$504,$O445,'Comms Calendar'!$AE$5:$AE$504,"&lt;&gt;Cancelled")&gt;1,"Clash",""))</f>
        <v/>
      </c>
      <c r="AN445" s="27" t="str">
        <f aca="false">IF($O445="","",IF(IF($B445="Global",COUNTIF('Rules &amp; Guardrails'!$F$9:$F$60,$O445),COUNTIFS('Rules &amp; Guardrails'!$F$9:$F$60,$O445,'Rules &amp; Guardrails'!$G$9:$G$60,$B445)+COUNTIFS('Rules &amp; Guardrails'!$F$9:$F$60,$O445,'Rules &amp; Guardrails'!$G$9:$G$60,"Global"))&gt;0,"Blackout",""))</f>
        <v/>
      </c>
      <c r="AO445" s="6"/>
      <c r="AP445" s="25"/>
      <c r="AQ445" s="23"/>
      <c r="AR445" s="31" t="str">
        <f aca="false">IF($D445="","",IFERROR(VLOOKUP($D445,'Rules &amp; Guardrails'!$A$9:$D$24,2,0),"Other"))</f>
        <v/>
      </c>
      <c r="AS445" s="31" t="str">
        <f aca="false">IF($O445="","",$O445&amp;"|"&amp;$B445)</f>
        <v/>
      </c>
    </row>
    <row r="446" customFormat="false" ht="15" hidden="false" customHeight="false" outlineLevel="0" collapsed="false">
      <c r="A446" s="23"/>
      <c r="B446" s="23"/>
      <c r="C446" s="23"/>
      <c r="D446" s="23"/>
      <c r="E446" s="23"/>
      <c r="F446" s="23"/>
      <c r="G446" s="6"/>
      <c r="H446" s="6"/>
      <c r="I446" s="23"/>
      <c r="J446" s="23"/>
      <c r="K446" s="23"/>
      <c r="L446" s="6"/>
      <c r="M446" s="6"/>
      <c r="N446" s="24"/>
      <c r="O446" s="25"/>
      <c r="P446" s="23"/>
      <c r="Q446" s="23"/>
      <c r="R446" s="23"/>
      <c r="S446" s="23"/>
      <c r="T446" s="26" t="str">
        <f aca="false">IF(OR($O446="",$D446=""),"",WORKDAY($O446,-IFERROR(VLOOKUP($D446,'Rules &amp; Guardrails'!$A$9:$D$24,3,0),10)))</f>
        <v/>
      </c>
      <c r="U446" s="23"/>
      <c r="V446" s="23"/>
      <c r="W446" s="23"/>
      <c r="X446" s="6"/>
      <c r="Y446" s="23"/>
      <c r="Z446" s="23"/>
      <c r="AA446" s="23"/>
      <c r="AB446" s="23"/>
      <c r="AC446" s="23"/>
      <c r="AD446" s="23"/>
      <c r="AE446" s="23"/>
      <c r="AF446" s="27" t="str">
        <f aca="true">IF($O446="","",IF(OR($AE446="Cancelled",$AE446="On hold",$AE446="Launched"),$AE446,IF(AND($Y446="Approved",OR($Z446="Yes",$Z446="N/A"),OR($AA446="Yes",$AA446="N/A"),OR($AB446="No",$AB446="N/A",AND($AB446="Yes",$AD446="Yes"))),"Ready",IF($O446&lt;TODAY(),"Overdue",IF($O446-TODAY()&lt;='Rules &amp; Guardrails'!$C$5,"At Risk","In Progress")))))</f>
        <v/>
      </c>
      <c r="AG446" s="28" t="str">
        <f aca="false">IF($O446="","",IF(OR($AE446="Launched",$AE446="Cancelled"),"",MID(IF($Y446&lt;&gt;"Approved",", Content approval","")&amp;IF(NOT(OR($Z446="Yes",$Z446="N/A")),", Assets","")&amp;IF(NOT(OR($AA446="Yes",$AA446="N/A")),", List","")&amp;IF($AB446="",", Ops decision",IF(AND($AB446="Yes",$AD446&lt;&gt;"Yes"),", Ops",""))&amp;IF($U446="",", Owner","")&amp;IF($K446="",", Segment",""),3,200)))</f>
        <v/>
      </c>
      <c r="AH446" s="29" t="str">
        <f aca="true">IF($O446="","",$O446-TODAY())</f>
        <v/>
      </c>
      <c r="AI446" s="26" t="str">
        <f aca="false">IF($O446="","",$O446-WEEKDAY($O446,3))</f>
        <v/>
      </c>
      <c r="AJ446" s="30" t="str">
        <f aca="false">IF($O446="","",DATE(YEAR($O446),MONTH($O446),1))</f>
        <v/>
      </c>
      <c r="AK446" s="31" t="str">
        <f aca="false">IF(OR($O446="",$K446=""),"",COUNTIFS('Comms Calendar'!$K$5:$K$504,$K446,'Comms Calendar'!$B$5:$B$504,$B446,'Comms Calendar'!$AI$5:$AI$504,$AI446,'Comms Calendar'!$AE$5:$AE$504,"&lt;&gt;Cancelled"))</f>
        <v/>
      </c>
      <c r="AL446" s="27" t="str">
        <f aca="false">IF($AK446="","",IF($AK446&gt;'Rules &amp; Guardrails'!$C$3,"Over cap","OK"))</f>
        <v/>
      </c>
      <c r="AM446" s="27" t="str">
        <f aca="false">IF(OR($O446="",$K446=""),"",IF(COUNTIFS('Comms Calendar'!$K$5:$K$504,$K446,'Comms Calendar'!$B$5:$B$504,$B446,'Comms Calendar'!$O$5:$O$504,$O446,'Comms Calendar'!$AE$5:$AE$504,"&lt;&gt;Cancelled")&gt;1,"Clash",""))</f>
        <v/>
      </c>
      <c r="AN446" s="27" t="str">
        <f aca="false">IF($O446="","",IF(IF($B446="Global",COUNTIF('Rules &amp; Guardrails'!$F$9:$F$60,$O446),COUNTIFS('Rules &amp; Guardrails'!$F$9:$F$60,$O446,'Rules &amp; Guardrails'!$G$9:$G$60,$B446)+COUNTIFS('Rules &amp; Guardrails'!$F$9:$F$60,$O446,'Rules &amp; Guardrails'!$G$9:$G$60,"Global"))&gt;0,"Blackout",""))</f>
        <v/>
      </c>
      <c r="AO446" s="6"/>
      <c r="AP446" s="25"/>
      <c r="AQ446" s="23"/>
      <c r="AR446" s="31" t="str">
        <f aca="false">IF($D446="","",IFERROR(VLOOKUP($D446,'Rules &amp; Guardrails'!$A$9:$D$24,2,0),"Other"))</f>
        <v/>
      </c>
      <c r="AS446" s="31" t="str">
        <f aca="false">IF($O446="","",$O446&amp;"|"&amp;$B446)</f>
        <v/>
      </c>
    </row>
    <row r="447" customFormat="false" ht="15" hidden="false" customHeight="false" outlineLevel="0" collapsed="false">
      <c r="A447" s="23"/>
      <c r="B447" s="23"/>
      <c r="C447" s="23"/>
      <c r="D447" s="23"/>
      <c r="E447" s="23"/>
      <c r="F447" s="23"/>
      <c r="G447" s="6"/>
      <c r="H447" s="6"/>
      <c r="I447" s="23"/>
      <c r="J447" s="23"/>
      <c r="K447" s="23"/>
      <c r="L447" s="6"/>
      <c r="M447" s="6"/>
      <c r="N447" s="24"/>
      <c r="O447" s="25"/>
      <c r="P447" s="23"/>
      <c r="Q447" s="23"/>
      <c r="R447" s="23"/>
      <c r="S447" s="23"/>
      <c r="T447" s="26" t="str">
        <f aca="false">IF(OR($O447="",$D447=""),"",WORKDAY($O447,-IFERROR(VLOOKUP($D447,'Rules &amp; Guardrails'!$A$9:$D$24,3,0),10)))</f>
        <v/>
      </c>
      <c r="U447" s="23"/>
      <c r="V447" s="23"/>
      <c r="W447" s="23"/>
      <c r="X447" s="6"/>
      <c r="Y447" s="23"/>
      <c r="Z447" s="23"/>
      <c r="AA447" s="23"/>
      <c r="AB447" s="23"/>
      <c r="AC447" s="23"/>
      <c r="AD447" s="23"/>
      <c r="AE447" s="23"/>
      <c r="AF447" s="27" t="str">
        <f aca="true">IF($O447="","",IF(OR($AE447="Cancelled",$AE447="On hold",$AE447="Launched"),$AE447,IF(AND($Y447="Approved",OR($Z447="Yes",$Z447="N/A"),OR($AA447="Yes",$AA447="N/A"),OR($AB447="No",$AB447="N/A",AND($AB447="Yes",$AD447="Yes"))),"Ready",IF($O447&lt;TODAY(),"Overdue",IF($O447-TODAY()&lt;='Rules &amp; Guardrails'!$C$5,"At Risk","In Progress")))))</f>
        <v/>
      </c>
      <c r="AG447" s="28" t="str">
        <f aca="false">IF($O447="","",IF(OR($AE447="Launched",$AE447="Cancelled"),"",MID(IF($Y447&lt;&gt;"Approved",", Content approval","")&amp;IF(NOT(OR($Z447="Yes",$Z447="N/A")),", Assets","")&amp;IF(NOT(OR($AA447="Yes",$AA447="N/A")),", List","")&amp;IF($AB447="",", Ops decision",IF(AND($AB447="Yes",$AD447&lt;&gt;"Yes"),", Ops",""))&amp;IF($U447="",", Owner","")&amp;IF($K447="",", Segment",""),3,200)))</f>
        <v/>
      </c>
      <c r="AH447" s="29" t="str">
        <f aca="true">IF($O447="","",$O447-TODAY())</f>
        <v/>
      </c>
      <c r="AI447" s="26" t="str">
        <f aca="false">IF($O447="","",$O447-WEEKDAY($O447,3))</f>
        <v/>
      </c>
      <c r="AJ447" s="30" t="str">
        <f aca="false">IF($O447="","",DATE(YEAR($O447),MONTH($O447),1))</f>
        <v/>
      </c>
      <c r="AK447" s="31" t="str">
        <f aca="false">IF(OR($O447="",$K447=""),"",COUNTIFS('Comms Calendar'!$K$5:$K$504,$K447,'Comms Calendar'!$B$5:$B$504,$B447,'Comms Calendar'!$AI$5:$AI$504,$AI447,'Comms Calendar'!$AE$5:$AE$504,"&lt;&gt;Cancelled"))</f>
        <v/>
      </c>
      <c r="AL447" s="27" t="str">
        <f aca="false">IF($AK447="","",IF($AK447&gt;'Rules &amp; Guardrails'!$C$3,"Over cap","OK"))</f>
        <v/>
      </c>
      <c r="AM447" s="27" t="str">
        <f aca="false">IF(OR($O447="",$K447=""),"",IF(COUNTIFS('Comms Calendar'!$K$5:$K$504,$K447,'Comms Calendar'!$B$5:$B$504,$B447,'Comms Calendar'!$O$5:$O$504,$O447,'Comms Calendar'!$AE$5:$AE$504,"&lt;&gt;Cancelled")&gt;1,"Clash",""))</f>
        <v/>
      </c>
      <c r="AN447" s="27" t="str">
        <f aca="false">IF($O447="","",IF(IF($B447="Global",COUNTIF('Rules &amp; Guardrails'!$F$9:$F$60,$O447),COUNTIFS('Rules &amp; Guardrails'!$F$9:$F$60,$O447,'Rules &amp; Guardrails'!$G$9:$G$60,$B447)+COUNTIFS('Rules &amp; Guardrails'!$F$9:$F$60,$O447,'Rules &amp; Guardrails'!$G$9:$G$60,"Global"))&gt;0,"Blackout",""))</f>
        <v/>
      </c>
      <c r="AO447" s="6"/>
      <c r="AP447" s="25"/>
      <c r="AQ447" s="23"/>
      <c r="AR447" s="31" t="str">
        <f aca="false">IF($D447="","",IFERROR(VLOOKUP($D447,'Rules &amp; Guardrails'!$A$9:$D$24,2,0),"Other"))</f>
        <v/>
      </c>
      <c r="AS447" s="31" t="str">
        <f aca="false">IF($O447="","",$O447&amp;"|"&amp;$B447)</f>
        <v/>
      </c>
    </row>
    <row r="448" customFormat="false" ht="15" hidden="false" customHeight="false" outlineLevel="0" collapsed="false">
      <c r="A448" s="23"/>
      <c r="B448" s="23"/>
      <c r="C448" s="23"/>
      <c r="D448" s="23"/>
      <c r="E448" s="23"/>
      <c r="F448" s="23"/>
      <c r="G448" s="6"/>
      <c r="H448" s="6"/>
      <c r="I448" s="23"/>
      <c r="J448" s="23"/>
      <c r="K448" s="23"/>
      <c r="L448" s="6"/>
      <c r="M448" s="6"/>
      <c r="N448" s="24"/>
      <c r="O448" s="25"/>
      <c r="P448" s="23"/>
      <c r="Q448" s="23"/>
      <c r="R448" s="23"/>
      <c r="S448" s="23"/>
      <c r="T448" s="26" t="str">
        <f aca="false">IF(OR($O448="",$D448=""),"",WORKDAY($O448,-IFERROR(VLOOKUP($D448,'Rules &amp; Guardrails'!$A$9:$D$24,3,0),10)))</f>
        <v/>
      </c>
      <c r="U448" s="23"/>
      <c r="V448" s="23"/>
      <c r="W448" s="23"/>
      <c r="X448" s="6"/>
      <c r="Y448" s="23"/>
      <c r="Z448" s="23"/>
      <c r="AA448" s="23"/>
      <c r="AB448" s="23"/>
      <c r="AC448" s="23"/>
      <c r="AD448" s="23"/>
      <c r="AE448" s="23"/>
      <c r="AF448" s="27" t="str">
        <f aca="true">IF($O448="","",IF(OR($AE448="Cancelled",$AE448="On hold",$AE448="Launched"),$AE448,IF(AND($Y448="Approved",OR($Z448="Yes",$Z448="N/A"),OR($AA448="Yes",$AA448="N/A"),OR($AB448="No",$AB448="N/A",AND($AB448="Yes",$AD448="Yes"))),"Ready",IF($O448&lt;TODAY(),"Overdue",IF($O448-TODAY()&lt;='Rules &amp; Guardrails'!$C$5,"At Risk","In Progress")))))</f>
        <v/>
      </c>
      <c r="AG448" s="28" t="str">
        <f aca="false">IF($O448="","",IF(OR($AE448="Launched",$AE448="Cancelled"),"",MID(IF($Y448&lt;&gt;"Approved",", Content approval","")&amp;IF(NOT(OR($Z448="Yes",$Z448="N/A")),", Assets","")&amp;IF(NOT(OR($AA448="Yes",$AA448="N/A")),", List","")&amp;IF($AB448="",", Ops decision",IF(AND($AB448="Yes",$AD448&lt;&gt;"Yes"),", Ops",""))&amp;IF($U448="",", Owner","")&amp;IF($K448="",", Segment",""),3,200)))</f>
        <v/>
      </c>
      <c r="AH448" s="29" t="str">
        <f aca="true">IF($O448="","",$O448-TODAY())</f>
        <v/>
      </c>
      <c r="AI448" s="26" t="str">
        <f aca="false">IF($O448="","",$O448-WEEKDAY($O448,3))</f>
        <v/>
      </c>
      <c r="AJ448" s="30" t="str">
        <f aca="false">IF($O448="","",DATE(YEAR($O448),MONTH($O448),1))</f>
        <v/>
      </c>
      <c r="AK448" s="31" t="str">
        <f aca="false">IF(OR($O448="",$K448=""),"",COUNTIFS('Comms Calendar'!$K$5:$K$504,$K448,'Comms Calendar'!$B$5:$B$504,$B448,'Comms Calendar'!$AI$5:$AI$504,$AI448,'Comms Calendar'!$AE$5:$AE$504,"&lt;&gt;Cancelled"))</f>
        <v/>
      </c>
      <c r="AL448" s="27" t="str">
        <f aca="false">IF($AK448="","",IF($AK448&gt;'Rules &amp; Guardrails'!$C$3,"Over cap","OK"))</f>
        <v/>
      </c>
      <c r="AM448" s="27" t="str">
        <f aca="false">IF(OR($O448="",$K448=""),"",IF(COUNTIFS('Comms Calendar'!$K$5:$K$504,$K448,'Comms Calendar'!$B$5:$B$504,$B448,'Comms Calendar'!$O$5:$O$504,$O448,'Comms Calendar'!$AE$5:$AE$504,"&lt;&gt;Cancelled")&gt;1,"Clash",""))</f>
        <v/>
      </c>
      <c r="AN448" s="27" t="str">
        <f aca="false">IF($O448="","",IF(IF($B448="Global",COUNTIF('Rules &amp; Guardrails'!$F$9:$F$60,$O448),COUNTIFS('Rules &amp; Guardrails'!$F$9:$F$60,$O448,'Rules &amp; Guardrails'!$G$9:$G$60,$B448)+COUNTIFS('Rules &amp; Guardrails'!$F$9:$F$60,$O448,'Rules &amp; Guardrails'!$G$9:$G$60,"Global"))&gt;0,"Blackout",""))</f>
        <v/>
      </c>
      <c r="AO448" s="6"/>
      <c r="AP448" s="25"/>
      <c r="AQ448" s="23"/>
      <c r="AR448" s="31" t="str">
        <f aca="false">IF($D448="","",IFERROR(VLOOKUP($D448,'Rules &amp; Guardrails'!$A$9:$D$24,2,0),"Other"))</f>
        <v/>
      </c>
      <c r="AS448" s="31" t="str">
        <f aca="false">IF($O448="","",$O448&amp;"|"&amp;$B448)</f>
        <v/>
      </c>
    </row>
    <row r="449" customFormat="false" ht="15" hidden="false" customHeight="false" outlineLevel="0" collapsed="false">
      <c r="A449" s="23"/>
      <c r="B449" s="23"/>
      <c r="C449" s="23"/>
      <c r="D449" s="23"/>
      <c r="E449" s="23"/>
      <c r="F449" s="23"/>
      <c r="G449" s="6"/>
      <c r="H449" s="6"/>
      <c r="I449" s="23"/>
      <c r="J449" s="23"/>
      <c r="K449" s="23"/>
      <c r="L449" s="6"/>
      <c r="M449" s="6"/>
      <c r="N449" s="24"/>
      <c r="O449" s="25"/>
      <c r="P449" s="23"/>
      <c r="Q449" s="23"/>
      <c r="R449" s="23"/>
      <c r="S449" s="23"/>
      <c r="T449" s="26" t="str">
        <f aca="false">IF(OR($O449="",$D449=""),"",WORKDAY($O449,-IFERROR(VLOOKUP($D449,'Rules &amp; Guardrails'!$A$9:$D$24,3,0),10)))</f>
        <v/>
      </c>
      <c r="U449" s="23"/>
      <c r="V449" s="23"/>
      <c r="W449" s="23"/>
      <c r="X449" s="6"/>
      <c r="Y449" s="23"/>
      <c r="Z449" s="23"/>
      <c r="AA449" s="23"/>
      <c r="AB449" s="23"/>
      <c r="AC449" s="23"/>
      <c r="AD449" s="23"/>
      <c r="AE449" s="23"/>
      <c r="AF449" s="27" t="str">
        <f aca="true">IF($O449="","",IF(OR($AE449="Cancelled",$AE449="On hold",$AE449="Launched"),$AE449,IF(AND($Y449="Approved",OR($Z449="Yes",$Z449="N/A"),OR($AA449="Yes",$AA449="N/A"),OR($AB449="No",$AB449="N/A",AND($AB449="Yes",$AD449="Yes"))),"Ready",IF($O449&lt;TODAY(),"Overdue",IF($O449-TODAY()&lt;='Rules &amp; Guardrails'!$C$5,"At Risk","In Progress")))))</f>
        <v/>
      </c>
      <c r="AG449" s="28" t="str">
        <f aca="false">IF($O449="","",IF(OR($AE449="Launched",$AE449="Cancelled"),"",MID(IF($Y449&lt;&gt;"Approved",", Content approval","")&amp;IF(NOT(OR($Z449="Yes",$Z449="N/A")),", Assets","")&amp;IF(NOT(OR($AA449="Yes",$AA449="N/A")),", List","")&amp;IF($AB449="",", Ops decision",IF(AND($AB449="Yes",$AD449&lt;&gt;"Yes"),", Ops",""))&amp;IF($U449="",", Owner","")&amp;IF($K449="",", Segment",""),3,200)))</f>
        <v/>
      </c>
      <c r="AH449" s="29" t="str">
        <f aca="true">IF($O449="","",$O449-TODAY())</f>
        <v/>
      </c>
      <c r="AI449" s="26" t="str">
        <f aca="false">IF($O449="","",$O449-WEEKDAY($O449,3))</f>
        <v/>
      </c>
      <c r="AJ449" s="30" t="str">
        <f aca="false">IF($O449="","",DATE(YEAR($O449),MONTH($O449),1))</f>
        <v/>
      </c>
      <c r="AK449" s="31" t="str">
        <f aca="false">IF(OR($O449="",$K449=""),"",COUNTIFS('Comms Calendar'!$K$5:$K$504,$K449,'Comms Calendar'!$B$5:$B$504,$B449,'Comms Calendar'!$AI$5:$AI$504,$AI449,'Comms Calendar'!$AE$5:$AE$504,"&lt;&gt;Cancelled"))</f>
        <v/>
      </c>
      <c r="AL449" s="27" t="str">
        <f aca="false">IF($AK449="","",IF($AK449&gt;'Rules &amp; Guardrails'!$C$3,"Over cap","OK"))</f>
        <v/>
      </c>
      <c r="AM449" s="27" t="str">
        <f aca="false">IF(OR($O449="",$K449=""),"",IF(COUNTIFS('Comms Calendar'!$K$5:$K$504,$K449,'Comms Calendar'!$B$5:$B$504,$B449,'Comms Calendar'!$O$5:$O$504,$O449,'Comms Calendar'!$AE$5:$AE$504,"&lt;&gt;Cancelled")&gt;1,"Clash",""))</f>
        <v/>
      </c>
      <c r="AN449" s="27" t="str">
        <f aca="false">IF($O449="","",IF(IF($B449="Global",COUNTIF('Rules &amp; Guardrails'!$F$9:$F$60,$O449),COUNTIFS('Rules &amp; Guardrails'!$F$9:$F$60,$O449,'Rules &amp; Guardrails'!$G$9:$G$60,$B449)+COUNTIFS('Rules &amp; Guardrails'!$F$9:$F$60,$O449,'Rules &amp; Guardrails'!$G$9:$G$60,"Global"))&gt;0,"Blackout",""))</f>
        <v/>
      </c>
      <c r="AO449" s="6"/>
      <c r="AP449" s="25"/>
      <c r="AQ449" s="23"/>
      <c r="AR449" s="31" t="str">
        <f aca="false">IF($D449="","",IFERROR(VLOOKUP($D449,'Rules &amp; Guardrails'!$A$9:$D$24,2,0),"Other"))</f>
        <v/>
      </c>
      <c r="AS449" s="31" t="str">
        <f aca="false">IF($O449="","",$O449&amp;"|"&amp;$B449)</f>
        <v/>
      </c>
    </row>
    <row r="450" customFormat="false" ht="15" hidden="false" customHeight="false" outlineLevel="0" collapsed="false">
      <c r="A450" s="23"/>
      <c r="B450" s="23"/>
      <c r="C450" s="23"/>
      <c r="D450" s="23"/>
      <c r="E450" s="23"/>
      <c r="F450" s="23"/>
      <c r="G450" s="6"/>
      <c r="H450" s="6"/>
      <c r="I450" s="23"/>
      <c r="J450" s="23"/>
      <c r="K450" s="23"/>
      <c r="L450" s="6"/>
      <c r="M450" s="6"/>
      <c r="N450" s="24"/>
      <c r="O450" s="25"/>
      <c r="P450" s="23"/>
      <c r="Q450" s="23"/>
      <c r="R450" s="23"/>
      <c r="S450" s="23"/>
      <c r="T450" s="26" t="str">
        <f aca="false">IF(OR($O450="",$D450=""),"",WORKDAY($O450,-IFERROR(VLOOKUP($D450,'Rules &amp; Guardrails'!$A$9:$D$24,3,0),10)))</f>
        <v/>
      </c>
      <c r="U450" s="23"/>
      <c r="V450" s="23"/>
      <c r="W450" s="23"/>
      <c r="X450" s="6"/>
      <c r="Y450" s="23"/>
      <c r="Z450" s="23"/>
      <c r="AA450" s="23"/>
      <c r="AB450" s="23"/>
      <c r="AC450" s="23"/>
      <c r="AD450" s="23"/>
      <c r="AE450" s="23"/>
      <c r="AF450" s="27" t="str">
        <f aca="true">IF($O450="","",IF(OR($AE450="Cancelled",$AE450="On hold",$AE450="Launched"),$AE450,IF(AND($Y450="Approved",OR($Z450="Yes",$Z450="N/A"),OR($AA450="Yes",$AA450="N/A"),OR($AB450="No",$AB450="N/A",AND($AB450="Yes",$AD450="Yes"))),"Ready",IF($O450&lt;TODAY(),"Overdue",IF($O450-TODAY()&lt;='Rules &amp; Guardrails'!$C$5,"At Risk","In Progress")))))</f>
        <v/>
      </c>
      <c r="AG450" s="28" t="str">
        <f aca="false">IF($O450="","",IF(OR($AE450="Launched",$AE450="Cancelled"),"",MID(IF($Y450&lt;&gt;"Approved",", Content approval","")&amp;IF(NOT(OR($Z450="Yes",$Z450="N/A")),", Assets","")&amp;IF(NOT(OR($AA450="Yes",$AA450="N/A")),", List","")&amp;IF($AB450="",", Ops decision",IF(AND($AB450="Yes",$AD450&lt;&gt;"Yes"),", Ops",""))&amp;IF($U450="",", Owner","")&amp;IF($K450="",", Segment",""),3,200)))</f>
        <v/>
      </c>
      <c r="AH450" s="29" t="str">
        <f aca="true">IF($O450="","",$O450-TODAY())</f>
        <v/>
      </c>
      <c r="AI450" s="26" t="str">
        <f aca="false">IF($O450="","",$O450-WEEKDAY($O450,3))</f>
        <v/>
      </c>
      <c r="AJ450" s="30" t="str">
        <f aca="false">IF($O450="","",DATE(YEAR($O450),MONTH($O450),1))</f>
        <v/>
      </c>
      <c r="AK450" s="31" t="str">
        <f aca="false">IF(OR($O450="",$K450=""),"",COUNTIFS('Comms Calendar'!$K$5:$K$504,$K450,'Comms Calendar'!$B$5:$B$504,$B450,'Comms Calendar'!$AI$5:$AI$504,$AI450,'Comms Calendar'!$AE$5:$AE$504,"&lt;&gt;Cancelled"))</f>
        <v/>
      </c>
      <c r="AL450" s="27" t="str">
        <f aca="false">IF($AK450="","",IF($AK450&gt;'Rules &amp; Guardrails'!$C$3,"Over cap","OK"))</f>
        <v/>
      </c>
      <c r="AM450" s="27" t="str">
        <f aca="false">IF(OR($O450="",$K450=""),"",IF(COUNTIFS('Comms Calendar'!$K$5:$K$504,$K450,'Comms Calendar'!$B$5:$B$504,$B450,'Comms Calendar'!$O$5:$O$504,$O450,'Comms Calendar'!$AE$5:$AE$504,"&lt;&gt;Cancelled")&gt;1,"Clash",""))</f>
        <v/>
      </c>
      <c r="AN450" s="27" t="str">
        <f aca="false">IF($O450="","",IF(IF($B450="Global",COUNTIF('Rules &amp; Guardrails'!$F$9:$F$60,$O450),COUNTIFS('Rules &amp; Guardrails'!$F$9:$F$60,$O450,'Rules &amp; Guardrails'!$G$9:$G$60,$B450)+COUNTIFS('Rules &amp; Guardrails'!$F$9:$F$60,$O450,'Rules &amp; Guardrails'!$G$9:$G$60,"Global"))&gt;0,"Blackout",""))</f>
        <v/>
      </c>
      <c r="AO450" s="6"/>
      <c r="AP450" s="25"/>
      <c r="AQ450" s="23"/>
      <c r="AR450" s="31" t="str">
        <f aca="false">IF($D450="","",IFERROR(VLOOKUP($D450,'Rules &amp; Guardrails'!$A$9:$D$24,2,0),"Other"))</f>
        <v/>
      </c>
      <c r="AS450" s="31" t="str">
        <f aca="false">IF($O450="","",$O450&amp;"|"&amp;$B450)</f>
        <v/>
      </c>
    </row>
    <row r="451" customFormat="false" ht="15" hidden="false" customHeight="false" outlineLevel="0" collapsed="false">
      <c r="A451" s="23"/>
      <c r="B451" s="23"/>
      <c r="C451" s="23"/>
      <c r="D451" s="23"/>
      <c r="E451" s="23"/>
      <c r="F451" s="23"/>
      <c r="G451" s="6"/>
      <c r="H451" s="6"/>
      <c r="I451" s="23"/>
      <c r="J451" s="23"/>
      <c r="K451" s="23"/>
      <c r="L451" s="6"/>
      <c r="M451" s="6"/>
      <c r="N451" s="24"/>
      <c r="O451" s="25"/>
      <c r="P451" s="23"/>
      <c r="Q451" s="23"/>
      <c r="R451" s="23"/>
      <c r="S451" s="23"/>
      <c r="T451" s="26" t="str">
        <f aca="false">IF(OR($O451="",$D451=""),"",WORKDAY($O451,-IFERROR(VLOOKUP($D451,'Rules &amp; Guardrails'!$A$9:$D$24,3,0),10)))</f>
        <v/>
      </c>
      <c r="U451" s="23"/>
      <c r="V451" s="23"/>
      <c r="W451" s="23"/>
      <c r="X451" s="6"/>
      <c r="Y451" s="23"/>
      <c r="Z451" s="23"/>
      <c r="AA451" s="23"/>
      <c r="AB451" s="23"/>
      <c r="AC451" s="23"/>
      <c r="AD451" s="23"/>
      <c r="AE451" s="23"/>
      <c r="AF451" s="27" t="str">
        <f aca="true">IF($O451="","",IF(OR($AE451="Cancelled",$AE451="On hold",$AE451="Launched"),$AE451,IF(AND($Y451="Approved",OR($Z451="Yes",$Z451="N/A"),OR($AA451="Yes",$AA451="N/A"),OR($AB451="No",$AB451="N/A",AND($AB451="Yes",$AD451="Yes"))),"Ready",IF($O451&lt;TODAY(),"Overdue",IF($O451-TODAY()&lt;='Rules &amp; Guardrails'!$C$5,"At Risk","In Progress")))))</f>
        <v/>
      </c>
      <c r="AG451" s="28" t="str">
        <f aca="false">IF($O451="","",IF(OR($AE451="Launched",$AE451="Cancelled"),"",MID(IF($Y451&lt;&gt;"Approved",", Content approval","")&amp;IF(NOT(OR($Z451="Yes",$Z451="N/A")),", Assets","")&amp;IF(NOT(OR($AA451="Yes",$AA451="N/A")),", List","")&amp;IF($AB451="",", Ops decision",IF(AND($AB451="Yes",$AD451&lt;&gt;"Yes"),", Ops",""))&amp;IF($U451="",", Owner","")&amp;IF($K451="",", Segment",""),3,200)))</f>
        <v/>
      </c>
      <c r="AH451" s="29" t="str">
        <f aca="true">IF($O451="","",$O451-TODAY())</f>
        <v/>
      </c>
      <c r="AI451" s="26" t="str">
        <f aca="false">IF($O451="","",$O451-WEEKDAY($O451,3))</f>
        <v/>
      </c>
      <c r="AJ451" s="30" t="str">
        <f aca="false">IF($O451="","",DATE(YEAR($O451),MONTH($O451),1))</f>
        <v/>
      </c>
      <c r="AK451" s="31" t="str">
        <f aca="false">IF(OR($O451="",$K451=""),"",COUNTIFS('Comms Calendar'!$K$5:$K$504,$K451,'Comms Calendar'!$B$5:$B$504,$B451,'Comms Calendar'!$AI$5:$AI$504,$AI451,'Comms Calendar'!$AE$5:$AE$504,"&lt;&gt;Cancelled"))</f>
        <v/>
      </c>
      <c r="AL451" s="27" t="str">
        <f aca="false">IF($AK451="","",IF($AK451&gt;'Rules &amp; Guardrails'!$C$3,"Over cap","OK"))</f>
        <v/>
      </c>
      <c r="AM451" s="27" t="str">
        <f aca="false">IF(OR($O451="",$K451=""),"",IF(COUNTIFS('Comms Calendar'!$K$5:$K$504,$K451,'Comms Calendar'!$B$5:$B$504,$B451,'Comms Calendar'!$O$5:$O$504,$O451,'Comms Calendar'!$AE$5:$AE$504,"&lt;&gt;Cancelled")&gt;1,"Clash",""))</f>
        <v/>
      </c>
      <c r="AN451" s="27" t="str">
        <f aca="false">IF($O451="","",IF(IF($B451="Global",COUNTIF('Rules &amp; Guardrails'!$F$9:$F$60,$O451),COUNTIFS('Rules &amp; Guardrails'!$F$9:$F$60,$O451,'Rules &amp; Guardrails'!$G$9:$G$60,$B451)+COUNTIFS('Rules &amp; Guardrails'!$F$9:$F$60,$O451,'Rules &amp; Guardrails'!$G$9:$G$60,"Global"))&gt;0,"Blackout",""))</f>
        <v/>
      </c>
      <c r="AO451" s="6"/>
      <c r="AP451" s="25"/>
      <c r="AQ451" s="23"/>
      <c r="AR451" s="31" t="str">
        <f aca="false">IF($D451="","",IFERROR(VLOOKUP($D451,'Rules &amp; Guardrails'!$A$9:$D$24,2,0),"Other"))</f>
        <v/>
      </c>
      <c r="AS451" s="31" t="str">
        <f aca="false">IF($O451="","",$O451&amp;"|"&amp;$B451)</f>
        <v/>
      </c>
    </row>
    <row r="452" customFormat="false" ht="15" hidden="false" customHeight="false" outlineLevel="0" collapsed="false">
      <c r="A452" s="23"/>
      <c r="B452" s="23"/>
      <c r="C452" s="23"/>
      <c r="D452" s="23"/>
      <c r="E452" s="23"/>
      <c r="F452" s="23"/>
      <c r="G452" s="6"/>
      <c r="H452" s="6"/>
      <c r="I452" s="23"/>
      <c r="J452" s="23"/>
      <c r="K452" s="23"/>
      <c r="L452" s="6"/>
      <c r="M452" s="6"/>
      <c r="N452" s="24"/>
      <c r="O452" s="25"/>
      <c r="P452" s="23"/>
      <c r="Q452" s="23"/>
      <c r="R452" s="23"/>
      <c r="S452" s="23"/>
      <c r="T452" s="26" t="str">
        <f aca="false">IF(OR($O452="",$D452=""),"",WORKDAY($O452,-IFERROR(VLOOKUP($D452,'Rules &amp; Guardrails'!$A$9:$D$24,3,0),10)))</f>
        <v/>
      </c>
      <c r="U452" s="23"/>
      <c r="V452" s="23"/>
      <c r="W452" s="23"/>
      <c r="X452" s="6"/>
      <c r="Y452" s="23"/>
      <c r="Z452" s="23"/>
      <c r="AA452" s="23"/>
      <c r="AB452" s="23"/>
      <c r="AC452" s="23"/>
      <c r="AD452" s="23"/>
      <c r="AE452" s="23"/>
      <c r="AF452" s="27" t="str">
        <f aca="true">IF($O452="","",IF(OR($AE452="Cancelled",$AE452="On hold",$AE452="Launched"),$AE452,IF(AND($Y452="Approved",OR($Z452="Yes",$Z452="N/A"),OR($AA452="Yes",$AA452="N/A"),OR($AB452="No",$AB452="N/A",AND($AB452="Yes",$AD452="Yes"))),"Ready",IF($O452&lt;TODAY(),"Overdue",IF($O452-TODAY()&lt;='Rules &amp; Guardrails'!$C$5,"At Risk","In Progress")))))</f>
        <v/>
      </c>
      <c r="AG452" s="28" t="str">
        <f aca="false">IF($O452="","",IF(OR($AE452="Launched",$AE452="Cancelled"),"",MID(IF($Y452&lt;&gt;"Approved",", Content approval","")&amp;IF(NOT(OR($Z452="Yes",$Z452="N/A")),", Assets","")&amp;IF(NOT(OR($AA452="Yes",$AA452="N/A")),", List","")&amp;IF($AB452="",", Ops decision",IF(AND($AB452="Yes",$AD452&lt;&gt;"Yes"),", Ops",""))&amp;IF($U452="",", Owner","")&amp;IF($K452="",", Segment",""),3,200)))</f>
        <v/>
      </c>
      <c r="AH452" s="29" t="str">
        <f aca="true">IF($O452="","",$O452-TODAY())</f>
        <v/>
      </c>
      <c r="AI452" s="26" t="str">
        <f aca="false">IF($O452="","",$O452-WEEKDAY($O452,3))</f>
        <v/>
      </c>
      <c r="AJ452" s="30" t="str">
        <f aca="false">IF($O452="","",DATE(YEAR($O452),MONTH($O452),1))</f>
        <v/>
      </c>
      <c r="AK452" s="31" t="str">
        <f aca="false">IF(OR($O452="",$K452=""),"",COUNTIFS('Comms Calendar'!$K$5:$K$504,$K452,'Comms Calendar'!$B$5:$B$504,$B452,'Comms Calendar'!$AI$5:$AI$504,$AI452,'Comms Calendar'!$AE$5:$AE$504,"&lt;&gt;Cancelled"))</f>
        <v/>
      </c>
      <c r="AL452" s="27" t="str">
        <f aca="false">IF($AK452="","",IF($AK452&gt;'Rules &amp; Guardrails'!$C$3,"Over cap","OK"))</f>
        <v/>
      </c>
      <c r="AM452" s="27" t="str">
        <f aca="false">IF(OR($O452="",$K452=""),"",IF(COUNTIFS('Comms Calendar'!$K$5:$K$504,$K452,'Comms Calendar'!$B$5:$B$504,$B452,'Comms Calendar'!$O$5:$O$504,$O452,'Comms Calendar'!$AE$5:$AE$504,"&lt;&gt;Cancelled")&gt;1,"Clash",""))</f>
        <v/>
      </c>
      <c r="AN452" s="27" t="str">
        <f aca="false">IF($O452="","",IF(IF($B452="Global",COUNTIF('Rules &amp; Guardrails'!$F$9:$F$60,$O452),COUNTIFS('Rules &amp; Guardrails'!$F$9:$F$60,$O452,'Rules &amp; Guardrails'!$G$9:$G$60,$B452)+COUNTIFS('Rules &amp; Guardrails'!$F$9:$F$60,$O452,'Rules &amp; Guardrails'!$G$9:$G$60,"Global"))&gt;0,"Blackout",""))</f>
        <v/>
      </c>
      <c r="AO452" s="6"/>
      <c r="AP452" s="25"/>
      <c r="AQ452" s="23"/>
      <c r="AR452" s="31" t="str">
        <f aca="false">IF($D452="","",IFERROR(VLOOKUP($D452,'Rules &amp; Guardrails'!$A$9:$D$24,2,0),"Other"))</f>
        <v/>
      </c>
      <c r="AS452" s="31" t="str">
        <f aca="false">IF($O452="","",$O452&amp;"|"&amp;$B452)</f>
        <v/>
      </c>
    </row>
    <row r="453" customFormat="false" ht="15" hidden="false" customHeight="false" outlineLevel="0" collapsed="false">
      <c r="A453" s="23"/>
      <c r="B453" s="23"/>
      <c r="C453" s="23"/>
      <c r="D453" s="23"/>
      <c r="E453" s="23"/>
      <c r="F453" s="23"/>
      <c r="G453" s="6"/>
      <c r="H453" s="6"/>
      <c r="I453" s="23"/>
      <c r="J453" s="23"/>
      <c r="K453" s="23"/>
      <c r="L453" s="6"/>
      <c r="M453" s="6"/>
      <c r="N453" s="24"/>
      <c r="O453" s="25"/>
      <c r="P453" s="23"/>
      <c r="Q453" s="23"/>
      <c r="R453" s="23"/>
      <c r="S453" s="23"/>
      <c r="T453" s="26" t="str">
        <f aca="false">IF(OR($O453="",$D453=""),"",WORKDAY($O453,-IFERROR(VLOOKUP($D453,'Rules &amp; Guardrails'!$A$9:$D$24,3,0),10)))</f>
        <v/>
      </c>
      <c r="U453" s="23"/>
      <c r="V453" s="23"/>
      <c r="W453" s="23"/>
      <c r="X453" s="6"/>
      <c r="Y453" s="23"/>
      <c r="Z453" s="23"/>
      <c r="AA453" s="23"/>
      <c r="AB453" s="23"/>
      <c r="AC453" s="23"/>
      <c r="AD453" s="23"/>
      <c r="AE453" s="23"/>
      <c r="AF453" s="27" t="str">
        <f aca="true">IF($O453="","",IF(OR($AE453="Cancelled",$AE453="On hold",$AE453="Launched"),$AE453,IF(AND($Y453="Approved",OR($Z453="Yes",$Z453="N/A"),OR($AA453="Yes",$AA453="N/A"),OR($AB453="No",$AB453="N/A",AND($AB453="Yes",$AD453="Yes"))),"Ready",IF($O453&lt;TODAY(),"Overdue",IF($O453-TODAY()&lt;='Rules &amp; Guardrails'!$C$5,"At Risk","In Progress")))))</f>
        <v/>
      </c>
      <c r="AG453" s="28" t="str">
        <f aca="false">IF($O453="","",IF(OR($AE453="Launched",$AE453="Cancelled"),"",MID(IF($Y453&lt;&gt;"Approved",", Content approval","")&amp;IF(NOT(OR($Z453="Yes",$Z453="N/A")),", Assets","")&amp;IF(NOT(OR($AA453="Yes",$AA453="N/A")),", List","")&amp;IF($AB453="",", Ops decision",IF(AND($AB453="Yes",$AD453&lt;&gt;"Yes"),", Ops",""))&amp;IF($U453="",", Owner","")&amp;IF($K453="",", Segment",""),3,200)))</f>
        <v/>
      </c>
      <c r="AH453" s="29" t="str">
        <f aca="true">IF($O453="","",$O453-TODAY())</f>
        <v/>
      </c>
      <c r="AI453" s="26" t="str">
        <f aca="false">IF($O453="","",$O453-WEEKDAY($O453,3))</f>
        <v/>
      </c>
      <c r="AJ453" s="30" t="str">
        <f aca="false">IF($O453="","",DATE(YEAR($O453),MONTH($O453),1))</f>
        <v/>
      </c>
      <c r="AK453" s="31" t="str">
        <f aca="false">IF(OR($O453="",$K453=""),"",COUNTIFS('Comms Calendar'!$K$5:$K$504,$K453,'Comms Calendar'!$B$5:$B$504,$B453,'Comms Calendar'!$AI$5:$AI$504,$AI453,'Comms Calendar'!$AE$5:$AE$504,"&lt;&gt;Cancelled"))</f>
        <v/>
      </c>
      <c r="AL453" s="27" t="str">
        <f aca="false">IF($AK453="","",IF($AK453&gt;'Rules &amp; Guardrails'!$C$3,"Over cap","OK"))</f>
        <v/>
      </c>
      <c r="AM453" s="27" t="str">
        <f aca="false">IF(OR($O453="",$K453=""),"",IF(COUNTIFS('Comms Calendar'!$K$5:$K$504,$K453,'Comms Calendar'!$B$5:$B$504,$B453,'Comms Calendar'!$O$5:$O$504,$O453,'Comms Calendar'!$AE$5:$AE$504,"&lt;&gt;Cancelled")&gt;1,"Clash",""))</f>
        <v/>
      </c>
      <c r="AN453" s="27" t="str">
        <f aca="false">IF($O453="","",IF(IF($B453="Global",COUNTIF('Rules &amp; Guardrails'!$F$9:$F$60,$O453),COUNTIFS('Rules &amp; Guardrails'!$F$9:$F$60,$O453,'Rules &amp; Guardrails'!$G$9:$G$60,$B453)+COUNTIFS('Rules &amp; Guardrails'!$F$9:$F$60,$O453,'Rules &amp; Guardrails'!$G$9:$G$60,"Global"))&gt;0,"Blackout",""))</f>
        <v/>
      </c>
      <c r="AO453" s="6"/>
      <c r="AP453" s="25"/>
      <c r="AQ453" s="23"/>
      <c r="AR453" s="31" t="str">
        <f aca="false">IF($D453="","",IFERROR(VLOOKUP($D453,'Rules &amp; Guardrails'!$A$9:$D$24,2,0),"Other"))</f>
        <v/>
      </c>
      <c r="AS453" s="31" t="str">
        <f aca="false">IF($O453="","",$O453&amp;"|"&amp;$B453)</f>
        <v/>
      </c>
    </row>
    <row r="454" customFormat="false" ht="15" hidden="false" customHeight="false" outlineLevel="0" collapsed="false">
      <c r="A454" s="23"/>
      <c r="B454" s="23"/>
      <c r="C454" s="23"/>
      <c r="D454" s="23"/>
      <c r="E454" s="23"/>
      <c r="F454" s="23"/>
      <c r="G454" s="6"/>
      <c r="H454" s="6"/>
      <c r="I454" s="23"/>
      <c r="J454" s="23"/>
      <c r="K454" s="23"/>
      <c r="L454" s="6"/>
      <c r="M454" s="6"/>
      <c r="N454" s="24"/>
      <c r="O454" s="25"/>
      <c r="P454" s="23"/>
      <c r="Q454" s="23"/>
      <c r="R454" s="23"/>
      <c r="S454" s="23"/>
      <c r="T454" s="26" t="str">
        <f aca="false">IF(OR($O454="",$D454=""),"",WORKDAY($O454,-IFERROR(VLOOKUP($D454,'Rules &amp; Guardrails'!$A$9:$D$24,3,0),10)))</f>
        <v/>
      </c>
      <c r="U454" s="23"/>
      <c r="V454" s="23"/>
      <c r="W454" s="23"/>
      <c r="X454" s="6"/>
      <c r="Y454" s="23"/>
      <c r="Z454" s="23"/>
      <c r="AA454" s="23"/>
      <c r="AB454" s="23"/>
      <c r="AC454" s="23"/>
      <c r="AD454" s="23"/>
      <c r="AE454" s="23"/>
      <c r="AF454" s="27" t="str">
        <f aca="true">IF($O454="","",IF(OR($AE454="Cancelled",$AE454="On hold",$AE454="Launched"),$AE454,IF(AND($Y454="Approved",OR($Z454="Yes",$Z454="N/A"),OR($AA454="Yes",$AA454="N/A"),OR($AB454="No",$AB454="N/A",AND($AB454="Yes",$AD454="Yes"))),"Ready",IF($O454&lt;TODAY(),"Overdue",IF($O454-TODAY()&lt;='Rules &amp; Guardrails'!$C$5,"At Risk","In Progress")))))</f>
        <v/>
      </c>
      <c r="AG454" s="28" t="str">
        <f aca="false">IF($O454="","",IF(OR($AE454="Launched",$AE454="Cancelled"),"",MID(IF($Y454&lt;&gt;"Approved",", Content approval","")&amp;IF(NOT(OR($Z454="Yes",$Z454="N/A")),", Assets","")&amp;IF(NOT(OR($AA454="Yes",$AA454="N/A")),", List","")&amp;IF($AB454="",", Ops decision",IF(AND($AB454="Yes",$AD454&lt;&gt;"Yes"),", Ops",""))&amp;IF($U454="",", Owner","")&amp;IF($K454="",", Segment",""),3,200)))</f>
        <v/>
      </c>
      <c r="AH454" s="29" t="str">
        <f aca="true">IF($O454="","",$O454-TODAY())</f>
        <v/>
      </c>
      <c r="AI454" s="26" t="str">
        <f aca="false">IF($O454="","",$O454-WEEKDAY($O454,3))</f>
        <v/>
      </c>
      <c r="AJ454" s="30" t="str">
        <f aca="false">IF($O454="","",DATE(YEAR($O454),MONTH($O454),1))</f>
        <v/>
      </c>
      <c r="AK454" s="31" t="str">
        <f aca="false">IF(OR($O454="",$K454=""),"",COUNTIFS('Comms Calendar'!$K$5:$K$504,$K454,'Comms Calendar'!$B$5:$B$504,$B454,'Comms Calendar'!$AI$5:$AI$504,$AI454,'Comms Calendar'!$AE$5:$AE$504,"&lt;&gt;Cancelled"))</f>
        <v/>
      </c>
      <c r="AL454" s="27" t="str">
        <f aca="false">IF($AK454="","",IF($AK454&gt;'Rules &amp; Guardrails'!$C$3,"Over cap","OK"))</f>
        <v/>
      </c>
      <c r="AM454" s="27" t="str">
        <f aca="false">IF(OR($O454="",$K454=""),"",IF(COUNTIFS('Comms Calendar'!$K$5:$K$504,$K454,'Comms Calendar'!$B$5:$B$504,$B454,'Comms Calendar'!$O$5:$O$504,$O454,'Comms Calendar'!$AE$5:$AE$504,"&lt;&gt;Cancelled")&gt;1,"Clash",""))</f>
        <v/>
      </c>
      <c r="AN454" s="27" t="str">
        <f aca="false">IF($O454="","",IF(IF($B454="Global",COUNTIF('Rules &amp; Guardrails'!$F$9:$F$60,$O454),COUNTIFS('Rules &amp; Guardrails'!$F$9:$F$60,$O454,'Rules &amp; Guardrails'!$G$9:$G$60,$B454)+COUNTIFS('Rules &amp; Guardrails'!$F$9:$F$60,$O454,'Rules &amp; Guardrails'!$G$9:$G$60,"Global"))&gt;0,"Blackout",""))</f>
        <v/>
      </c>
      <c r="AO454" s="6"/>
      <c r="AP454" s="25"/>
      <c r="AQ454" s="23"/>
      <c r="AR454" s="31" t="str">
        <f aca="false">IF($D454="","",IFERROR(VLOOKUP($D454,'Rules &amp; Guardrails'!$A$9:$D$24,2,0),"Other"))</f>
        <v/>
      </c>
      <c r="AS454" s="31" t="str">
        <f aca="false">IF($O454="","",$O454&amp;"|"&amp;$B454)</f>
        <v/>
      </c>
    </row>
    <row r="455" customFormat="false" ht="15" hidden="false" customHeight="false" outlineLevel="0" collapsed="false">
      <c r="A455" s="23"/>
      <c r="B455" s="23"/>
      <c r="C455" s="23"/>
      <c r="D455" s="23"/>
      <c r="E455" s="23"/>
      <c r="F455" s="23"/>
      <c r="G455" s="6"/>
      <c r="H455" s="6"/>
      <c r="I455" s="23"/>
      <c r="J455" s="23"/>
      <c r="K455" s="23"/>
      <c r="L455" s="6"/>
      <c r="M455" s="6"/>
      <c r="N455" s="24"/>
      <c r="O455" s="25"/>
      <c r="P455" s="23"/>
      <c r="Q455" s="23"/>
      <c r="R455" s="23"/>
      <c r="S455" s="23"/>
      <c r="T455" s="26" t="str">
        <f aca="false">IF(OR($O455="",$D455=""),"",WORKDAY($O455,-IFERROR(VLOOKUP($D455,'Rules &amp; Guardrails'!$A$9:$D$24,3,0),10)))</f>
        <v/>
      </c>
      <c r="U455" s="23"/>
      <c r="V455" s="23"/>
      <c r="W455" s="23"/>
      <c r="X455" s="6"/>
      <c r="Y455" s="23"/>
      <c r="Z455" s="23"/>
      <c r="AA455" s="23"/>
      <c r="AB455" s="23"/>
      <c r="AC455" s="23"/>
      <c r="AD455" s="23"/>
      <c r="AE455" s="23"/>
      <c r="AF455" s="27" t="str">
        <f aca="true">IF($O455="","",IF(OR($AE455="Cancelled",$AE455="On hold",$AE455="Launched"),$AE455,IF(AND($Y455="Approved",OR($Z455="Yes",$Z455="N/A"),OR($AA455="Yes",$AA455="N/A"),OR($AB455="No",$AB455="N/A",AND($AB455="Yes",$AD455="Yes"))),"Ready",IF($O455&lt;TODAY(),"Overdue",IF($O455-TODAY()&lt;='Rules &amp; Guardrails'!$C$5,"At Risk","In Progress")))))</f>
        <v/>
      </c>
      <c r="AG455" s="28" t="str">
        <f aca="false">IF($O455="","",IF(OR($AE455="Launched",$AE455="Cancelled"),"",MID(IF($Y455&lt;&gt;"Approved",", Content approval","")&amp;IF(NOT(OR($Z455="Yes",$Z455="N/A")),", Assets","")&amp;IF(NOT(OR($AA455="Yes",$AA455="N/A")),", List","")&amp;IF($AB455="",", Ops decision",IF(AND($AB455="Yes",$AD455&lt;&gt;"Yes"),", Ops",""))&amp;IF($U455="",", Owner","")&amp;IF($K455="",", Segment",""),3,200)))</f>
        <v/>
      </c>
      <c r="AH455" s="29" t="str">
        <f aca="true">IF($O455="","",$O455-TODAY())</f>
        <v/>
      </c>
      <c r="AI455" s="26" t="str">
        <f aca="false">IF($O455="","",$O455-WEEKDAY($O455,3))</f>
        <v/>
      </c>
      <c r="AJ455" s="30" t="str">
        <f aca="false">IF($O455="","",DATE(YEAR($O455),MONTH($O455),1))</f>
        <v/>
      </c>
      <c r="AK455" s="31" t="str">
        <f aca="false">IF(OR($O455="",$K455=""),"",COUNTIFS('Comms Calendar'!$K$5:$K$504,$K455,'Comms Calendar'!$B$5:$B$504,$B455,'Comms Calendar'!$AI$5:$AI$504,$AI455,'Comms Calendar'!$AE$5:$AE$504,"&lt;&gt;Cancelled"))</f>
        <v/>
      </c>
      <c r="AL455" s="27" t="str">
        <f aca="false">IF($AK455="","",IF($AK455&gt;'Rules &amp; Guardrails'!$C$3,"Over cap","OK"))</f>
        <v/>
      </c>
      <c r="AM455" s="27" t="str">
        <f aca="false">IF(OR($O455="",$K455=""),"",IF(COUNTIFS('Comms Calendar'!$K$5:$K$504,$K455,'Comms Calendar'!$B$5:$B$504,$B455,'Comms Calendar'!$O$5:$O$504,$O455,'Comms Calendar'!$AE$5:$AE$504,"&lt;&gt;Cancelled")&gt;1,"Clash",""))</f>
        <v/>
      </c>
      <c r="AN455" s="27" t="str">
        <f aca="false">IF($O455="","",IF(IF($B455="Global",COUNTIF('Rules &amp; Guardrails'!$F$9:$F$60,$O455),COUNTIFS('Rules &amp; Guardrails'!$F$9:$F$60,$O455,'Rules &amp; Guardrails'!$G$9:$G$60,$B455)+COUNTIFS('Rules &amp; Guardrails'!$F$9:$F$60,$O455,'Rules &amp; Guardrails'!$G$9:$G$60,"Global"))&gt;0,"Blackout",""))</f>
        <v/>
      </c>
      <c r="AO455" s="6"/>
      <c r="AP455" s="25"/>
      <c r="AQ455" s="23"/>
      <c r="AR455" s="31" t="str">
        <f aca="false">IF($D455="","",IFERROR(VLOOKUP($D455,'Rules &amp; Guardrails'!$A$9:$D$24,2,0),"Other"))</f>
        <v/>
      </c>
      <c r="AS455" s="31" t="str">
        <f aca="false">IF($O455="","",$O455&amp;"|"&amp;$B455)</f>
        <v/>
      </c>
    </row>
    <row r="456" customFormat="false" ht="15" hidden="false" customHeight="false" outlineLevel="0" collapsed="false">
      <c r="A456" s="23"/>
      <c r="B456" s="23"/>
      <c r="C456" s="23"/>
      <c r="D456" s="23"/>
      <c r="E456" s="23"/>
      <c r="F456" s="23"/>
      <c r="G456" s="6"/>
      <c r="H456" s="6"/>
      <c r="I456" s="23"/>
      <c r="J456" s="23"/>
      <c r="K456" s="23"/>
      <c r="L456" s="6"/>
      <c r="M456" s="6"/>
      <c r="N456" s="24"/>
      <c r="O456" s="25"/>
      <c r="P456" s="23"/>
      <c r="Q456" s="23"/>
      <c r="R456" s="23"/>
      <c r="S456" s="23"/>
      <c r="T456" s="26" t="str">
        <f aca="false">IF(OR($O456="",$D456=""),"",WORKDAY($O456,-IFERROR(VLOOKUP($D456,'Rules &amp; Guardrails'!$A$9:$D$24,3,0),10)))</f>
        <v/>
      </c>
      <c r="U456" s="23"/>
      <c r="V456" s="23"/>
      <c r="W456" s="23"/>
      <c r="X456" s="6"/>
      <c r="Y456" s="23"/>
      <c r="Z456" s="23"/>
      <c r="AA456" s="23"/>
      <c r="AB456" s="23"/>
      <c r="AC456" s="23"/>
      <c r="AD456" s="23"/>
      <c r="AE456" s="23"/>
      <c r="AF456" s="27" t="str">
        <f aca="true">IF($O456="","",IF(OR($AE456="Cancelled",$AE456="On hold",$AE456="Launched"),$AE456,IF(AND($Y456="Approved",OR($Z456="Yes",$Z456="N/A"),OR($AA456="Yes",$AA456="N/A"),OR($AB456="No",$AB456="N/A",AND($AB456="Yes",$AD456="Yes"))),"Ready",IF($O456&lt;TODAY(),"Overdue",IF($O456-TODAY()&lt;='Rules &amp; Guardrails'!$C$5,"At Risk","In Progress")))))</f>
        <v/>
      </c>
      <c r="AG456" s="28" t="str">
        <f aca="false">IF($O456="","",IF(OR($AE456="Launched",$AE456="Cancelled"),"",MID(IF($Y456&lt;&gt;"Approved",", Content approval","")&amp;IF(NOT(OR($Z456="Yes",$Z456="N/A")),", Assets","")&amp;IF(NOT(OR($AA456="Yes",$AA456="N/A")),", List","")&amp;IF($AB456="",", Ops decision",IF(AND($AB456="Yes",$AD456&lt;&gt;"Yes"),", Ops",""))&amp;IF($U456="",", Owner","")&amp;IF($K456="",", Segment",""),3,200)))</f>
        <v/>
      </c>
      <c r="AH456" s="29" t="str">
        <f aca="true">IF($O456="","",$O456-TODAY())</f>
        <v/>
      </c>
      <c r="AI456" s="26" t="str">
        <f aca="false">IF($O456="","",$O456-WEEKDAY($O456,3))</f>
        <v/>
      </c>
      <c r="AJ456" s="30" t="str">
        <f aca="false">IF($O456="","",DATE(YEAR($O456),MONTH($O456),1))</f>
        <v/>
      </c>
      <c r="AK456" s="31" t="str">
        <f aca="false">IF(OR($O456="",$K456=""),"",COUNTIFS('Comms Calendar'!$K$5:$K$504,$K456,'Comms Calendar'!$B$5:$B$504,$B456,'Comms Calendar'!$AI$5:$AI$504,$AI456,'Comms Calendar'!$AE$5:$AE$504,"&lt;&gt;Cancelled"))</f>
        <v/>
      </c>
      <c r="AL456" s="27" t="str">
        <f aca="false">IF($AK456="","",IF($AK456&gt;'Rules &amp; Guardrails'!$C$3,"Over cap","OK"))</f>
        <v/>
      </c>
      <c r="AM456" s="27" t="str">
        <f aca="false">IF(OR($O456="",$K456=""),"",IF(COUNTIFS('Comms Calendar'!$K$5:$K$504,$K456,'Comms Calendar'!$B$5:$B$504,$B456,'Comms Calendar'!$O$5:$O$504,$O456,'Comms Calendar'!$AE$5:$AE$504,"&lt;&gt;Cancelled")&gt;1,"Clash",""))</f>
        <v/>
      </c>
      <c r="AN456" s="27" t="str">
        <f aca="false">IF($O456="","",IF(IF($B456="Global",COUNTIF('Rules &amp; Guardrails'!$F$9:$F$60,$O456),COUNTIFS('Rules &amp; Guardrails'!$F$9:$F$60,$O456,'Rules &amp; Guardrails'!$G$9:$G$60,$B456)+COUNTIFS('Rules &amp; Guardrails'!$F$9:$F$60,$O456,'Rules &amp; Guardrails'!$G$9:$G$60,"Global"))&gt;0,"Blackout",""))</f>
        <v/>
      </c>
      <c r="AO456" s="6"/>
      <c r="AP456" s="25"/>
      <c r="AQ456" s="23"/>
      <c r="AR456" s="31" t="str">
        <f aca="false">IF($D456="","",IFERROR(VLOOKUP($D456,'Rules &amp; Guardrails'!$A$9:$D$24,2,0),"Other"))</f>
        <v/>
      </c>
      <c r="AS456" s="31" t="str">
        <f aca="false">IF($O456="","",$O456&amp;"|"&amp;$B456)</f>
        <v/>
      </c>
    </row>
    <row r="457" customFormat="false" ht="15" hidden="false" customHeight="false" outlineLevel="0" collapsed="false">
      <c r="A457" s="23"/>
      <c r="B457" s="23"/>
      <c r="C457" s="23"/>
      <c r="D457" s="23"/>
      <c r="E457" s="23"/>
      <c r="F457" s="23"/>
      <c r="G457" s="6"/>
      <c r="H457" s="6"/>
      <c r="I457" s="23"/>
      <c r="J457" s="23"/>
      <c r="K457" s="23"/>
      <c r="L457" s="6"/>
      <c r="M457" s="6"/>
      <c r="N457" s="24"/>
      <c r="O457" s="25"/>
      <c r="P457" s="23"/>
      <c r="Q457" s="23"/>
      <c r="R457" s="23"/>
      <c r="S457" s="23"/>
      <c r="T457" s="26" t="str">
        <f aca="false">IF(OR($O457="",$D457=""),"",WORKDAY($O457,-IFERROR(VLOOKUP($D457,'Rules &amp; Guardrails'!$A$9:$D$24,3,0),10)))</f>
        <v/>
      </c>
      <c r="U457" s="23"/>
      <c r="V457" s="23"/>
      <c r="W457" s="23"/>
      <c r="X457" s="6"/>
      <c r="Y457" s="23"/>
      <c r="Z457" s="23"/>
      <c r="AA457" s="23"/>
      <c r="AB457" s="23"/>
      <c r="AC457" s="23"/>
      <c r="AD457" s="23"/>
      <c r="AE457" s="23"/>
      <c r="AF457" s="27" t="str">
        <f aca="true">IF($O457="","",IF(OR($AE457="Cancelled",$AE457="On hold",$AE457="Launched"),$AE457,IF(AND($Y457="Approved",OR($Z457="Yes",$Z457="N/A"),OR($AA457="Yes",$AA457="N/A"),OR($AB457="No",$AB457="N/A",AND($AB457="Yes",$AD457="Yes"))),"Ready",IF($O457&lt;TODAY(),"Overdue",IF($O457-TODAY()&lt;='Rules &amp; Guardrails'!$C$5,"At Risk","In Progress")))))</f>
        <v/>
      </c>
      <c r="AG457" s="28" t="str">
        <f aca="false">IF($O457="","",IF(OR($AE457="Launched",$AE457="Cancelled"),"",MID(IF($Y457&lt;&gt;"Approved",", Content approval","")&amp;IF(NOT(OR($Z457="Yes",$Z457="N/A")),", Assets","")&amp;IF(NOT(OR($AA457="Yes",$AA457="N/A")),", List","")&amp;IF($AB457="",", Ops decision",IF(AND($AB457="Yes",$AD457&lt;&gt;"Yes"),", Ops",""))&amp;IF($U457="",", Owner","")&amp;IF($K457="",", Segment",""),3,200)))</f>
        <v/>
      </c>
      <c r="AH457" s="29" t="str">
        <f aca="true">IF($O457="","",$O457-TODAY())</f>
        <v/>
      </c>
      <c r="AI457" s="26" t="str">
        <f aca="false">IF($O457="","",$O457-WEEKDAY($O457,3))</f>
        <v/>
      </c>
      <c r="AJ457" s="30" t="str">
        <f aca="false">IF($O457="","",DATE(YEAR($O457),MONTH($O457),1))</f>
        <v/>
      </c>
      <c r="AK457" s="31" t="str">
        <f aca="false">IF(OR($O457="",$K457=""),"",COUNTIFS('Comms Calendar'!$K$5:$K$504,$K457,'Comms Calendar'!$B$5:$B$504,$B457,'Comms Calendar'!$AI$5:$AI$504,$AI457,'Comms Calendar'!$AE$5:$AE$504,"&lt;&gt;Cancelled"))</f>
        <v/>
      </c>
      <c r="AL457" s="27" t="str">
        <f aca="false">IF($AK457="","",IF($AK457&gt;'Rules &amp; Guardrails'!$C$3,"Over cap","OK"))</f>
        <v/>
      </c>
      <c r="AM457" s="27" t="str">
        <f aca="false">IF(OR($O457="",$K457=""),"",IF(COUNTIFS('Comms Calendar'!$K$5:$K$504,$K457,'Comms Calendar'!$B$5:$B$504,$B457,'Comms Calendar'!$O$5:$O$504,$O457,'Comms Calendar'!$AE$5:$AE$504,"&lt;&gt;Cancelled")&gt;1,"Clash",""))</f>
        <v/>
      </c>
      <c r="AN457" s="27" t="str">
        <f aca="false">IF($O457="","",IF(IF($B457="Global",COUNTIF('Rules &amp; Guardrails'!$F$9:$F$60,$O457),COUNTIFS('Rules &amp; Guardrails'!$F$9:$F$60,$O457,'Rules &amp; Guardrails'!$G$9:$G$60,$B457)+COUNTIFS('Rules &amp; Guardrails'!$F$9:$F$60,$O457,'Rules &amp; Guardrails'!$G$9:$G$60,"Global"))&gt;0,"Blackout",""))</f>
        <v/>
      </c>
      <c r="AO457" s="6"/>
      <c r="AP457" s="25"/>
      <c r="AQ457" s="23"/>
      <c r="AR457" s="31" t="str">
        <f aca="false">IF($D457="","",IFERROR(VLOOKUP($D457,'Rules &amp; Guardrails'!$A$9:$D$24,2,0),"Other"))</f>
        <v/>
      </c>
      <c r="AS457" s="31" t="str">
        <f aca="false">IF($O457="","",$O457&amp;"|"&amp;$B457)</f>
        <v/>
      </c>
    </row>
    <row r="458" customFormat="false" ht="15" hidden="false" customHeight="false" outlineLevel="0" collapsed="false">
      <c r="A458" s="23"/>
      <c r="B458" s="23"/>
      <c r="C458" s="23"/>
      <c r="D458" s="23"/>
      <c r="E458" s="23"/>
      <c r="F458" s="23"/>
      <c r="G458" s="6"/>
      <c r="H458" s="6"/>
      <c r="I458" s="23"/>
      <c r="J458" s="23"/>
      <c r="K458" s="23"/>
      <c r="L458" s="6"/>
      <c r="M458" s="6"/>
      <c r="N458" s="24"/>
      <c r="O458" s="25"/>
      <c r="P458" s="23"/>
      <c r="Q458" s="23"/>
      <c r="R458" s="23"/>
      <c r="S458" s="23"/>
      <c r="T458" s="26" t="str">
        <f aca="false">IF(OR($O458="",$D458=""),"",WORKDAY($O458,-IFERROR(VLOOKUP($D458,'Rules &amp; Guardrails'!$A$9:$D$24,3,0),10)))</f>
        <v/>
      </c>
      <c r="U458" s="23"/>
      <c r="V458" s="23"/>
      <c r="W458" s="23"/>
      <c r="X458" s="6"/>
      <c r="Y458" s="23"/>
      <c r="Z458" s="23"/>
      <c r="AA458" s="23"/>
      <c r="AB458" s="23"/>
      <c r="AC458" s="23"/>
      <c r="AD458" s="23"/>
      <c r="AE458" s="23"/>
      <c r="AF458" s="27" t="str">
        <f aca="true">IF($O458="","",IF(OR($AE458="Cancelled",$AE458="On hold",$AE458="Launched"),$AE458,IF(AND($Y458="Approved",OR($Z458="Yes",$Z458="N/A"),OR($AA458="Yes",$AA458="N/A"),OR($AB458="No",$AB458="N/A",AND($AB458="Yes",$AD458="Yes"))),"Ready",IF($O458&lt;TODAY(),"Overdue",IF($O458-TODAY()&lt;='Rules &amp; Guardrails'!$C$5,"At Risk","In Progress")))))</f>
        <v/>
      </c>
      <c r="AG458" s="28" t="str">
        <f aca="false">IF($O458="","",IF(OR($AE458="Launched",$AE458="Cancelled"),"",MID(IF($Y458&lt;&gt;"Approved",", Content approval","")&amp;IF(NOT(OR($Z458="Yes",$Z458="N/A")),", Assets","")&amp;IF(NOT(OR($AA458="Yes",$AA458="N/A")),", List","")&amp;IF($AB458="",", Ops decision",IF(AND($AB458="Yes",$AD458&lt;&gt;"Yes"),", Ops",""))&amp;IF($U458="",", Owner","")&amp;IF($K458="",", Segment",""),3,200)))</f>
        <v/>
      </c>
      <c r="AH458" s="29" t="str">
        <f aca="true">IF($O458="","",$O458-TODAY())</f>
        <v/>
      </c>
      <c r="AI458" s="26" t="str">
        <f aca="false">IF($O458="","",$O458-WEEKDAY($O458,3))</f>
        <v/>
      </c>
      <c r="AJ458" s="30" t="str">
        <f aca="false">IF($O458="","",DATE(YEAR($O458),MONTH($O458),1))</f>
        <v/>
      </c>
      <c r="AK458" s="31" t="str">
        <f aca="false">IF(OR($O458="",$K458=""),"",COUNTIFS('Comms Calendar'!$K$5:$K$504,$K458,'Comms Calendar'!$B$5:$B$504,$B458,'Comms Calendar'!$AI$5:$AI$504,$AI458,'Comms Calendar'!$AE$5:$AE$504,"&lt;&gt;Cancelled"))</f>
        <v/>
      </c>
      <c r="AL458" s="27" t="str">
        <f aca="false">IF($AK458="","",IF($AK458&gt;'Rules &amp; Guardrails'!$C$3,"Over cap","OK"))</f>
        <v/>
      </c>
      <c r="AM458" s="27" t="str">
        <f aca="false">IF(OR($O458="",$K458=""),"",IF(COUNTIFS('Comms Calendar'!$K$5:$K$504,$K458,'Comms Calendar'!$B$5:$B$504,$B458,'Comms Calendar'!$O$5:$O$504,$O458,'Comms Calendar'!$AE$5:$AE$504,"&lt;&gt;Cancelled")&gt;1,"Clash",""))</f>
        <v/>
      </c>
      <c r="AN458" s="27" t="str">
        <f aca="false">IF($O458="","",IF(IF($B458="Global",COUNTIF('Rules &amp; Guardrails'!$F$9:$F$60,$O458),COUNTIFS('Rules &amp; Guardrails'!$F$9:$F$60,$O458,'Rules &amp; Guardrails'!$G$9:$G$60,$B458)+COUNTIFS('Rules &amp; Guardrails'!$F$9:$F$60,$O458,'Rules &amp; Guardrails'!$G$9:$G$60,"Global"))&gt;0,"Blackout",""))</f>
        <v/>
      </c>
      <c r="AO458" s="6"/>
      <c r="AP458" s="25"/>
      <c r="AQ458" s="23"/>
      <c r="AR458" s="31" t="str">
        <f aca="false">IF($D458="","",IFERROR(VLOOKUP($D458,'Rules &amp; Guardrails'!$A$9:$D$24,2,0),"Other"))</f>
        <v/>
      </c>
      <c r="AS458" s="31" t="str">
        <f aca="false">IF($O458="","",$O458&amp;"|"&amp;$B458)</f>
        <v/>
      </c>
    </row>
    <row r="459" customFormat="false" ht="15" hidden="false" customHeight="false" outlineLevel="0" collapsed="false">
      <c r="A459" s="23"/>
      <c r="B459" s="23"/>
      <c r="C459" s="23"/>
      <c r="D459" s="23"/>
      <c r="E459" s="23"/>
      <c r="F459" s="23"/>
      <c r="G459" s="6"/>
      <c r="H459" s="6"/>
      <c r="I459" s="23"/>
      <c r="J459" s="23"/>
      <c r="K459" s="23"/>
      <c r="L459" s="6"/>
      <c r="M459" s="6"/>
      <c r="N459" s="24"/>
      <c r="O459" s="25"/>
      <c r="P459" s="23"/>
      <c r="Q459" s="23"/>
      <c r="R459" s="23"/>
      <c r="S459" s="23"/>
      <c r="T459" s="26" t="str">
        <f aca="false">IF(OR($O459="",$D459=""),"",WORKDAY($O459,-IFERROR(VLOOKUP($D459,'Rules &amp; Guardrails'!$A$9:$D$24,3,0),10)))</f>
        <v/>
      </c>
      <c r="U459" s="23"/>
      <c r="V459" s="23"/>
      <c r="W459" s="23"/>
      <c r="X459" s="6"/>
      <c r="Y459" s="23"/>
      <c r="Z459" s="23"/>
      <c r="AA459" s="23"/>
      <c r="AB459" s="23"/>
      <c r="AC459" s="23"/>
      <c r="AD459" s="23"/>
      <c r="AE459" s="23"/>
      <c r="AF459" s="27" t="str">
        <f aca="true">IF($O459="","",IF(OR($AE459="Cancelled",$AE459="On hold",$AE459="Launched"),$AE459,IF(AND($Y459="Approved",OR($Z459="Yes",$Z459="N/A"),OR($AA459="Yes",$AA459="N/A"),OR($AB459="No",$AB459="N/A",AND($AB459="Yes",$AD459="Yes"))),"Ready",IF($O459&lt;TODAY(),"Overdue",IF($O459-TODAY()&lt;='Rules &amp; Guardrails'!$C$5,"At Risk","In Progress")))))</f>
        <v/>
      </c>
      <c r="AG459" s="28" t="str">
        <f aca="false">IF($O459="","",IF(OR($AE459="Launched",$AE459="Cancelled"),"",MID(IF($Y459&lt;&gt;"Approved",", Content approval","")&amp;IF(NOT(OR($Z459="Yes",$Z459="N/A")),", Assets","")&amp;IF(NOT(OR($AA459="Yes",$AA459="N/A")),", List","")&amp;IF($AB459="",", Ops decision",IF(AND($AB459="Yes",$AD459&lt;&gt;"Yes"),", Ops",""))&amp;IF($U459="",", Owner","")&amp;IF($K459="",", Segment",""),3,200)))</f>
        <v/>
      </c>
      <c r="AH459" s="29" t="str">
        <f aca="true">IF($O459="","",$O459-TODAY())</f>
        <v/>
      </c>
      <c r="AI459" s="26" t="str">
        <f aca="false">IF($O459="","",$O459-WEEKDAY($O459,3))</f>
        <v/>
      </c>
      <c r="AJ459" s="30" t="str">
        <f aca="false">IF($O459="","",DATE(YEAR($O459),MONTH($O459),1))</f>
        <v/>
      </c>
      <c r="AK459" s="31" t="str">
        <f aca="false">IF(OR($O459="",$K459=""),"",COUNTIFS('Comms Calendar'!$K$5:$K$504,$K459,'Comms Calendar'!$B$5:$B$504,$B459,'Comms Calendar'!$AI$5:$AI$504,$AI459,'Comms Calendar'!$AE$5:$AE$504,"&lt;&gt;Cancelled"))</f>
        <v/>
      </c>
      <c r="AL459" s="27" t="str">
        <f aca="false">IF($AK459="","",IF($AK459&gt;'Rules &amp; Guardrails'!$C$3,"Over cap","OK"))</f>
        <v/>
      </c>
      <c r="AM459" s="27" t="str">
        <f aca="false">IF(OR($O459="",$K459=""),"",IF(COUNTIFS('Comms Calendar'!$K$5:$K$504,$K459,'Comms Calendar'!$B$5:$B$504,$B459,'Comms Calendar'!$O$5:$O$504,$O459,'Comms Calendar'!$AE$5:$AE$504,"&lt;&gt;Cancelled")&gt;1,"Clash",""))</f>
        <v/>
      </c>
      <c r="AN459" s="27" t="str">
        <f aca="false">IF($O459="","",IF(IF($B459="Global",COUNTIF('Rules &amp; Guardrails'!$F$9:$F$60,$O459),COUNTIFS('Rules &amp; Guardrails'!$F$9:$F$60,$O459,'Rules &amp; Guardrails'!$G$9:$G$60,$B459)+COUNTIFS('Rules &amp; Guardrails'!$F$9:$F$60,$O459,'Rules &amp; Guardrails'!$G$9:$G$60,"Global"))&gt;0,"Blackout",""))</f>
        <v/>
      </c>
      <c r="AO459" s="6"/>
      <c r="AP459" s="25"/>
      <c r="AQ459" s="23"/>
      <c r="AR459" s="31" t="str">
        <f aca="false">IF($D459="","",IFERROR(VLOOKUP($D459,'Rules &amp; Guardrails'!$A$9:$D$24,2,0),"Other"))</f>
        <v/>
      </c>
      <c r="AS459" s="31" t="str">
        <f aca="false">IF($O459="","",$O459&amp;"|"&amp;$B459)</f>
        <v/>
      </c>
    </row>
    <row r="460" customFormat="false" ht="15" hidden="false" customHeight="false" outlineLevel="0" collapsed="false">
      <c r="A460" s="23"/>
      <c r="B460" s="23"/>
      <c r="C460" s="23"/>
      <c r="D460" s="23"/>
      <c r="E460" s="23"/>
      <c r="F460" s="23"/>
      <c r="G460" s="6"/>
      <c r="H460" s="6"/>
      <c r="I460" s="23"/>
      <c r="J460" s="23"/>
      <c r="K460" s="23"/>
      <c r="L460" s="6"/>
      <c r="M460" s="6"/>
      <c r="N460" s="24"/>
      <c r="O460" s="25"/>
      <c r="P460" s="23"/>
      <c r="Q460" s="23"/>
      <c r="R460" s="23"/>
      <c r="S460" s="23"/>
      <c r="T460" s="26" t="str">
        <f aca="false">IF(OR($O460="",$D460=""),"",WORKDAY($O460,-IFERROR(VLOOKUP($D460,'Rules &amp; Guardrails'!$A$9:$D$24,3,0),10)))</f>
        <v/>
      </c>
      <c r="U460" s="23"/>
      <c r="V460" s="23"/>
      <c r="W460" s="23"/>
      <c r="X460" s="6"/>
      <c r="Y460" s="23"/>
      <c r="Z460" s="23"/>
      <c r="AA460" s="23"/>
      <c r="AB460" s="23"/>
      <c r="AC460" s="23"/>
      <c r="AD460" s="23"/>
      <c r="AE460" s="23"/>
      <c r="AF460" s="27" t="str">
        <f aca="true">IF($O460="","",IF(OR($AE460="Cancelled",$AE460="On hold",$AE460="Launched"),$AE460,IF(AND($Y460="Approved",OR($Z460="Yes",$Z460="N/A"),OR($AA460="Yes",$AA460="N/A"),OR($AB460="No",$AB460="N/A",AND($AB460="Yes",$AD460="Yes"))),"Ready",IF($O460&lt;TODAY(),"Overdue",IF($O460-TODAY()&lt;='Rules &amp; Guardrails'!$C$5,"At Risk","In Progress")))))</f>
        <v/>
      </c>
      <c r="AG460" s="28" t="str">
        <f aca="false">IF($O460="","",IF(OR($AE460="Launched",$AE460="Cancelled"),"",MID(IF($Y460&lt;&gt;"Approved",", Content approval","")&amp;IF(NOT(OR($Z460="Yes",$Z460="N/A")),", Assets","")&amp;IF(NOT(OR($AA460="Yes",$AA460="N/A")),", List","")&amp;IF($AB460="",", Ops decision",IF(AND($AB460="Yes",$AD460&lt;&gt;"Yes"),", Ops",""))&amp;IF($U460="",", Owner","")&amp;IF($K460="",", Segment",""),3,200)))</f>
        <v/>
      </c>
      <c r="AH460" s="29" t="str">
        <f aca="true">IF($O460="","",$O460-TODAY())</f>
        <v/>
      </c>
      <c r="AI460" s="26" t="str">
        <f aca="false">IF($O460="","",$O460-WEEKDAY($O460,3))</f>
        <v/>
      </c>
      <c r="AJ460" s="30" t="str">
        <f aca="false">IF($O460="","",DATE(YEAR($O460),MONTH($O460),1))</f>
        <v/>
      </c>
      <c r="AK460" s="31" t="str">
        <f aca="false">IF(OR($O460="",$K460=""),"",COUNTIFS('Comms Calendar'!$K$5:$K$504,$K460,'Comms Calendar'!$B$5:$B$504,$B460,'Comms Calendar'!$AI$5:$AI$504,$AI460,'Comms Calendar'!$AE$5:$AE$504,"&lt;&gt;Cancelled"))</f>
        <v/>
      </c>
      <c r="AL460" s="27" t="str">
        <f aca="false">IF($AK460="","",IF($AK460&gt;'Rules &amp; Guardrails'!$C$3,"Over cap","OK"))</f>
        <v/>
      </c>
      <c r="AM460" s="27" t="str">
        <f aca="false">IF(OR($O460="",$K460=""),"",IF(COUNTIFS('Comms Calendar'!$K$5:$K$504,$K460,'Comms Calendar'!$B$5:$B$504,$B460,'Comms Calendar'!$O$5:$O$504,$O460,'Comms Calendar'!$AE$5:$AE$504,"&lt;&gt;Cancelled")&gt;1,"Clash",""))</f>
        <v/>
      </c>
      <c r="AN460" s="27" t="str">
        <f aca="false">IF($O460="","",IF(IF($B460="Global",COUNTIF('Rules &amp; Guardrails'!$F$9:$F$60,$O460),COUNTIFS('Rules &amp; Guardrails'!$F$9:$F$60,$O460,'Rules &amp; Guardrails'!$G$9:$G$60,$B460)+COUNTIFS('Rules &amp; Guardrails'!$F$9:$F$60,$O460,'Rules &amp; Guardrails'!$G$9:$G$60,"Global"))&gt;0,"Blackout",""))</f>
        <v/>
      </c>
      <c r="AO460" s="6"/>
      <c r="AP460" s="25"/>
      <c r="AQ460" s="23"/>
      <c r="AR460" s="31" t="str">
        <f aca="false">IF($D460="","",IFERROR(VLOOKUP($D460,'Rules &amp; Guardrails'!$A$9:$D$24,2,0),"Other"))</f>
        <v/>
      </c>
      <c r="AS460" s="31" t="str">
        <f aca="false">IF($O460="","",$O460&amp;"|"&amp;$B460)</f>
        <v/>
      </c>
    </row>
    <row r="461" customFormat="false" ht="15" hidden="false" customHeight="false" outlineLevel="0" collapsed="false">
      <c r="A461" s="23"/>
      <c r="B461" s="23"/>
      <c r="C461" s="23"/>
      <c r="D461" s="23"/>
      <c r="E461" s="23"/>
      <c r="F461" s="23"/>
      <c r="G461" s="6"/>
      <c r="H461" s="6"/>
      <c r="I461" s="23"/>
      <c r="J461" s="23"/>
      <c r="K461" s="23"/>
      <c r="L461" s="6"/>
      <c r="M461" s="6"/>
      <c r="N461" s="24"/>
      <c r="O461" s="25"/>
      <c r="P461" s="23"/>
      <c r="Q461" s="23"/>
      <c r="R461" s="23"/>
      <c r="S461" s="23"/>
      <c r="T461" s="26" t="str">
        <f aca="false">IF(OR($O461="",$D461=""),"",WORKDAY($O461,-IFERROR(VLOOKUP($D461,'Rules &amp; Guardrails'!$A$9:$D$24,3,0),10)))</f>
        <v/>
      </c>
      <c r="U461" s="23"/>
      <c r="V461" s="23"/>
      <c r="W461" s="23"/>
      <c r="X461" s="6"/>
      <c r="Y461" s="23"/>
      <c r="Z461" s="23"/>
      <c r="AA461" s="23"/>
      <c r="AB461" s="23"/>
      <c r="AC461" s="23"/>
      <c r="AD461" s="23"/>
      <c r="AE461" s="23"/>
      <c r="AF461" s="27" t="str">
        <f aca="true">IF($O461="","",IF(OR($AE461="Cancelled",$AE461="On hold",$AE461="Launched"),$AE461,IF(AND($Y461="Approved",OR($Z461="Yes",$Z461="N/A"),OR($AA461="Yes",$AA461="N/A"),OR($AB461="No",$AB461="N/A",AND($AB461="Yes",$AD461="Yes"))),"Ready",IF($O461&lt;TODAY(),"Overdue",IF($O461-TODAY()&lt;='Rules &amp; Guardrails'!$C$5,"At Risk","In Progress")))))</f>
        <v/>
      </c>
      <c r="AG461" s="28" t="str">
        <f aca="false">IF($O461="","",IF(OR($AE461="Launched",$AE461="Cancelled"),"",MID(IF($Y461&lt;&gt;"Approved",", Content approval","")&amp;IF(NOT(OR($Z461="Yes",$Z461="N/A")),", Assets","")&amp;IF(NOT(OR($AA461="Yes",$AA461="N/A")),", List","")&amp;IF($AB461="",", Ops decision",IF(AND($AB461="Yes",$AD461&lt;&gt;"Yes"),", Ops",""))&amp;IF($U461="",", Owner","")&amp;IF($K461="",", Segment",""),3,200)))</f>
        <v/>
      </c>
      <c r="AH461" s="29" t="str">
        <f aca="true">IF($O461="","",$O461-TODAY())</f>
        <v/>
      </c>
      <c r="AI461" s="26" t="str">
        <f aca="false">IF($O461="","",$O461-WEEKDAY($O461,3))</f>
        <v/>
      </c>
      <c r="AJ461" s="30" t="str">
        <f aca="false">IF($O461="","",DATE(YEAR($O461),MONTH($O461),1))</f>
        <v/>
      </c>
      <c r="AK461" s="31" t="str">
        <f aca="false">IF(OR($O461="",$K461=""),"",COUNTIFS('Comms Calendar'!$K$5:$K$504,$K461,'Comms Calendar'!$B$5:$B$504,$B461,'Comms Calendar'!$AI$5:$AI$504,$AI461,'Comms Calendar'!$AE$5:$AE$504,"&lt;&gt;Cancelled"))</f>
        <v/>
      </c>
      <c r="AL461" s="27" t="str">
        <f aca="false">IF($AK461="","",IF($AK461&gt;'Rules &amp; Guardrails'!$C$3,"Over cap","OK"))</f>
        <v/>
      </c>
      <c r="AM461" s="27" t="str">
        <f aca="false">IF(OR($O461="",$K461=""),"",IF(COUNTIFS('Comms Calendar'!$K$5:$K$504,$K461,'Comms Calendar'!$B$5:$B$504,$B461,'Comms Calendar'!$O$5:$O$504,$O461,'Comms Calendar'!$AE$5:$AE$504,"&lt;&gt;Cancelled")&gt;1,"Clash",""))</f>
        <v/>
      </c>
      <c r="AN461" s="27" t="str">
        <f aca="false">IF($O461="","",IF(IF($B461="Global",COUNTIF('Rules &amp; Guardrails'!$F$9:$F$60,$O461),COUNTIFS('Rules &amp; Guardrails'!$F$9:$F$60,$O461,'Rules &amp; Guardrails'!$G$9:$G$60,$B461)+COUNTIFS('Rules &amp; Guardrails'!$F$9:$F$60,$O461,'Rules &amp; Guardrails'!$G$9:$G$60,"Global"))&gt;0,"Blackout",""))</f>
        <v/>
      </c>
      <c r="AO461" s="6"/>
      <c r="AP461" s="25"/>
      <c r="AQ461" s="23"/>
      <c r="AR461" s="31" t="str">
        <f aca="false">IF($D461="","",IFERROR(VLOOKUP($D461,'Rules &amp; Guardrails'!$A$9:$D$24,2,0),"Other"))</f>
        <v/>
      </c>
      <c r="AS461" s="31" t="str">
        <f aca="false">IF($O461="","",$O461&amp;"|"&amp;$B461)</f>
        <v/>
      </c>
    </row>
    <row r="462" customFormat="false" ht="15" hidden="false" customHeight="false" outlineLevel="0" collapsed="false">
      <c r="A462" s="23"/>
      <c r="B462" s="23"/>
      <c r="C462" s="23"/>
      <c r="D462" s="23"/>
      <c r="E462" s="23"/>
      <c r="F462" s="23"/>
      <c r="G462" s="6"/>
      <c r="H462" s="6"/>
      <c r="I462" s="23"/>
      <c r="J462" s="23"/>
      <c r="K462" s="23"/>
      <c r="L462" s="6"/>
      <c r="M462" s="6"/>
      <c r="N462" s="24"/>
      <c r="O462" s="25"/>
      <c r="P462" s="23"/>
      <c r="Q462" s="23"/>
      <c r="R462" s="23"/>
      <c r="S462" s="23"/>
      <c r="T462" s="26" t="str">
        <f aca="false">IF(OR($O462="",$D462=""),"",WORKDAY($O462,-IFERROR(VLOOKUP($D462,'Rules &amp; Guardrails'!$A$9:$D$24,3,0),10)))</f>
        <v/>
      </c>
      <c r="U462" s="23"/>
      <c r="V462" s="23"/>
      <c r="W462" s="23"/>
      <c r="X462" s="6"/>
      <c r="Y462" s="23"/>
      <c r="Z462" s="23"/>
      <c r="AA462" s="23"/>
      <c r="AB462" s="23"/>
      <c r="AC462" s="23"/>
      <c r="AD462" s="23"/>
      <c r="AE462" s="23"/>
      <c r="AF462" s="27" t="str">
        <f aca="true">IF($O462="","",IF(OR($AE462="Cancelled",$AE462="On hold",$AE462="Launched"),$AE462,IF(AND($Y462="Approved",OR($Z462="Yes",$Z462="N/A"),OR($AA462="Yes",$AA462="N/A"),OR($AB462="No",$AB462="N/A",AND($AB462="Yes",$AD462="Yes"))),"Ready",IF($O462&lt;TODAY(),"Overdue",IF($O462-TODAY()&lt;='Rules &amp; Guardrails'!$C$5,"At Risk","In Progress")))))</f>
        <v/>
      </c>
      <c r="AG462" s="28" t="str">
        <f aca="false">IF($O462="","",IF(OR($AE462="Launched",$AE462="Cancelled"),"",MID(IF($Y462&lt;&gt;"Approved",", Content approval","")&amp;IF(NOT(OR($Z462="Yes",$Z462="N/A")),", Assets","")&amp;IF(NOT(OR($AA462="Yes",$AA462="N/A")),", List","")&amp;IF($AB462="",", Ops decision",IF(AND($AB462="Yes",$AD462&lt;&gt;"Yes"),", Ops",""))&amp;IF($U462="",", Owner","")&amp;IF($K462="",", Segment",""),3,200)))</f>
        <v/>
      </c>
      <c r="AH462" s="29" t="str">
        <f aca="true">IF($O462="","",$O462-TODAY())</f>
        <v/>
      </c>
      <c r="AI462" s="26" t="str">
        <f aca="false">IF($O462="","",$O462-WEEKDAY($O462,3))</f>
        <v/>
      </c>
      <c r="AJ462" s="30" t="str">
        <f aca="false">IF($O462="","",DATE(YEAR($O462),MONTH($O462),1))</f>
        <v/>
      </c>
      <c r="AK462" s="31" t="str">
        <f aca="false">IF(OR($O462="",$K462=""),"",COUNTIFS('Comms Calendar'!$K$5:$K$504,$K462,'Comms Calendar'!$B$5:$B$504,$B462,'Comms Calendar'!$AI$5:$AI$504,$AI462,'Comms Calendar'!$AE$5:$AE$504,"&lt;&gt;Cancelled"))</f>
        <v/>
      </c>
      <c r="AL462" s="27" t="str">
        <f aca="false">IF($AK462="","",IF($AK462&gt;'Rules &amp; Guardrails'!$C$3,"Over cap","OK"))</f>
        <v/>
      </c>
      <c r="AM462" s="27" t="str">
        <f aca="false">IF(OR($O462="",$K462=""),"",IF(COUNTIFS('Comms Calendar'!$K$5:$K$504,$K462,'Comms Calendar'!$B$5:$B$504,$B462,'Comms Calendar'!$O$5:$O$504,$O462,'Comms Calendar'!$AE$5:$AE$504,"&lt;&gt;Cancelled")&gt;1,"Clash",""))</f>
        <v/>
      </c>
      <c r="AN462" s="27" t="str">
        <f aca="false">IF($O462="","",IF(IF($B462="Global",COUNTIF('Rules &amp; Guardrails'!$F$9:$F$60,$O462),COUNTIFS('Rules &amp; Guardrails'!$F$9:$F$60,$O462,'Rules &amp; Guardrails'!$G$9:$G$60,$B462)+COUNTIFS('Rules &amp; Guardrails'!$F$9:$F$60,$O462,'Rules &amp; Guardrails'!$G$9:$G$60,"Global"))&gt;0,"Blackout",""))</f>
        <v/>
      </c>
      <c r="AO462" s="6"/>
      <c r="AP462" s="25"/>
      <c r="AQ462" s="23"/>
      <c r="AR462" s="31" t="str">
        <f aca="false">IF($D462="","",IFERROR(VLOOKUP($D462,'Rules &amp; Guardrails'!$A$9:$D$24,2,0),"Other"))</f>
        <v/>
      </c>
      <c r="AS462" s="31" t="str">
        <f aca="false">IF($O462="","",$O462&amp;"|"&amp;$B462)</f>
        <v/>
      </c>
    </row>
    <row r="463" customFormat="false" ht="15" hidden="false" customHeight="false" outlineLevel="0" collapsed="false">
      <c r="A463" s="23"/>
      <c r="B463" s="23"/>
      <c r="C463" s="23"/>
      <c r="D463" s="23"/>
      <c r="E463" s="23"/>
      <c r="F463" s="23"/>
      <c r="G463" s="6"/>
      <c r="H463" s="6"/>
      <c r="I463" s="23"/>
      <c r="J463" s="23"/>
      <c r="K463" s="23"/>
      <c r="L463" s="6"/>
      <c r="M463" s="6"/>
      <c r="N463" s="24"/>
      <c r="O463" s="25"/>
      <c r="P463" s="23"/>
      <c r="Q463" s="23"/>
      <c r="R463" s="23"/>
      <c r="S463" s="23"/>
      <c r="T463" s="26" t="str">
        <f aca="false">IF(OR($O463="",$D463=""),"",WORKDAY($O463,-IFERROR(VLOOKUP($D463,'Rules &amp; Guardrails'!$A$9:$D$24,3,0),10)))</f>
        <v/>
      </c>
      <c r="U463" s="23"/>
      <c r="V463" s="23"/>
      <c r="W463" s="23"/>
      <c r="X463" s="6"/>
      <c r="Y463" s="23"/>
      <c r="Z463" s="23"/>
      <c r="AA463" s="23"/>
      <c r="AB463" s="23"/>
      <c r="AC463" s="23"/>
      <c r="AD463" s="23"/>
      <c r="AE463" s="23"/>
      <c r="AF463" s="27" t="str">
        <f aca="true">IF($O463="","",IF(OR($AE463="Cancelled",$AE463="On hold",$AE463="Launched"),$AE463,IF(AND($Y463="Approved",OR($Z463="Yes",$Z463="N/A"),OR($AA463="Yes",$AA463="N/A"),OR($AB463="No",$AB463="N/A",AND($AB463="Yes",$AD463="Yes"))),"Ready",IF($O463&lt;TODAY(),"Overdue",IF($O463-TODAY()&lt;='Rules &amp; Guardrails'!$C$5,"At Risk","In Progress")))))</f>
        <v/>
      </c>
      <c r="AG463" s="28" t="str">
        <f aca="false">IF($O463="","",IF(OR($AE463="Launched",$AE463="Cancelled"),"",MID(IF($Y463&lt;&gt;"Approved",", Content approval","")&amp;IF(NOT(OR($Z463="Yes",$Z463="N/A")),", Assets","")&amp;IF(NOT(OR($AA463="Yes",$AA463="N/A")),", List","")&amp;IF($AB463="",", Ops decision",IF(AND($AB463="Yes",$AD463&lt;&gt;"Yes"),", Ops",""))&amp;IF($U463="",", Owner","")&amp;IF($K463="",", Segment",""),3,200)))</f>
        <v/>
      </c>
      <c r="AH463" s="29" t="str">
        <f aca="true">IF($O463="","",$O463-TODAY())</f>
        <v/>
      </c>
      <c r="AI463" s="26" t="str">
        <f aca="false">IF($O463="","",$O463-WEEKDAY($O463,3))</f>
        <v/>
      </c>
      <c r="AJ463" s="30" t="str">
        <f aca="false">IF($O463="","",DATE(YEAR($O463),MONTH($O463),1))</f>
        <v/>
      </c>
      <c r="AK463" s="31" t="str">
        <f aca="false">IF(OR($O463="",$K463=""),"",COUNTIFS('Comms Calendar'!$K$5:$K$504,$K463,'Comms Calendar'!$B$5:$B$504,$B463,'Comms Calendar'!$AI$5:$AI$504,$AI463,'Comms Calendar'!$AE$5:$AE$504,"&lt;&gt;Cancelled"))</f>
        <v/>
      </c>
      <c r="AL463" s="27" t="str">
        <f aca="false">IF($AK463="","",IF($AK463&gt;'Rules &amp; Guardrails'!$C$3,"Over cap","OK"))</f>
        <v/>
      </c>
      <c r="AM463" s="27" t="str">
        <f aca="false">IF(OR($O463="",$K463=""),"",IF(COUNTIFS('Comms Calendar'!$K$5:$K$504,$K463,'Comms Calendar'!$B$5:$B$504,$B463,'Comms Calendar'!$O$5:$O$504,$O463,'Comms Calendar'!$AE$5:$AE$504,"&lt;&gt;Cancelled")&gt;1,"Clash",""))</f>
        <v/>
      </c>
      <c r="AN463" s="27" t="str">
        <f aca="false">IF($O463="","",IF(IF($B463="Global",COUNTIF('Rules &amp; Guardrails'!$F$9:$F$60,$O463),COUNTIFS('Rules &amp; Guardrails'!$F$9:$F$60,$O463,'Rules &amp; Guardrails'!$G$9:$G$60,$B463)+COUNTIFS('Rules &amp; Guardrails'!$F$9:$F$60,$O463,'Rules &amp; Guardrails'!$G$9:$G$60,"Global"))&gt;0,"Blackout",""))</f>
        <v/>
      </c>
      <c r="AO463" s="6"/>
      <c r="AP463" s="25"/>
      <c r="AQ463" s="23"/>
      <c r="AR463" s="31" t="str">
        <f aca="false">IF($D463="","",IFERROR(VLOOKUP($D463,'Rules &amp; Guardrails'!$A$9:$D$24,2,0),"Other"))</f>
        <v/>
      </c>
      <c r="AS463" s="31" t="str">
        <f aca="false">IF($O463="","",$O463&amp;"|"&amp;$B463)</f>
        <v/>
      </c>
    </row>
    <row r="464" customFormat="false" ht="15" hidden="false" customHeight="false" outlineLevel="0" collapsed="false">
      <c r="A464" s="23"/>
      <c r="B464" s="23"/>
      <c r="C464" s="23"/>
      <c r="D464" s="23"/>
      <c r="E464" s="23"/>
      <c r="F464" s="23"/>
      <c r="G464" s="6"/>
      <c r="H464" s="6"/>
      <c r="I464" s="23"/>
      <c r="J464" s="23"/>
      <c r="K464" s="23"/>
      <c r="L464" s="6"/>
      <c r="M464" s="6"/>
      <c r="N464" s="24"/>
      <c r="O464" s="25"/>
      <c r="P464" s="23"/>
      <c r="Q464" s="23"/>
      <c r="R464" s="23"/>
      <c r="S464" s="23"/>
      <c r="T464" s="26" t="str">
        <f aca="false">IF(OR($O464="",$D464=""),"",WORKDAY($O464,-IFERROR(VLOOKUP($D464,'Rules &amp; Guardrails'!$A$9:$D$24,3,0),10)))</f>
        <v/>
      </c>
      <c r="U464" s="23"/>
      <c r="V464" s="23"/>
      <c r="W464" s="23"/>
      <c r="X464" s="6"/>
      <c r="Y464" s="23"/>
      <c r="Z464" s="23"/>
      <c r="AA464" s="23"/>
      <c r="AB464" s="23"/>
      <c r="AC464" s="23"/>
      <c r="AD464" s="23"/>
      <c r="AE464" s="23"/>
      <c r="AF464" s="27" t="str">
        <f aca="true">IF($O464="","",IF(OR($AE464="Cancelled",$AE464="On hold",$AE464="Launched"),$AE464,IF(AND($Y464="Approved",OR($Z464="Yes",$Z464="N/A"),OR($AA464="Yes",$AA464="N/A"),OR($AB464="No",$AB464="N/A",AND($AB464="Yes",$AD464="Yes"))),"Ready",IF($O464&lt;TODAY(),"Overdue",IF($O464-TODAY()&lt;='Rules &amp; Guardrails'!$C$5,"At Risk","In Progress")))))</f>
        <v/>
      </c>
      <c r="AG464" s="28" t="str">
        <f aca="false">IF($O464="","",IF(OR($AE464="Launched",$AE464="Cancelled"),"",MID(IF($Y464&lt;&gt;"Approved",", Content approval","")&amp;IF(NOT(OR($Z464="Yes",$Z464="N/A")),", Assets","")&amp;IF(NOT(OR($AA464="Yes",$AA464="N/A")),", List","")&amp;IF($AB464="",", Ops decision",IF(AND($AB464="Yes",$AD464&lt;&gt;"Yes"),", Ops",""))&amp;IF($U464="",", Owner","")&amp;IF($K464="",", Segment",""),3,200)))</f>
        <v/>
      </c>
      <c r="AH464" s="29" t="str">
        <f aca="true">IF($O464="","",$O464-TODAY())</f>
        <v/>
      </c>
      <c r="AI464" s="26" t="str">
        <f aca="false">IF($O464="","",$O464-WEEKDAY($O464,3))</f>
        <v/>
      </c>
      <c r="AJ464" s="30" t="str">
        <f aca="false">IF($O464="","",DATE(YEAR($O464),MONTH($O464),1))</f>
        <v/>
      </c>
      <c r="AK464" s="31" t="str">
        <f aca="false">IF(OR($O464="",$K464=""),"",COUNTIFS('Comms Calendar'!$K$5:$K$504,$K464,'Comms Calendar'!$B$5:$B$504,$B464,'Comms Calendar'!$AI$5:$AI$504,$AI464,'Comms Calendar'!$AE$5:$AE$504,"&lt;&gt;Cancelled"))</f>
        <v/>
      </c>
      <c r="AL464" s="27" t="str">
        <f aca="false">IF($AK464="","",IF($AK464&gt;'Rules &amp; Guardrails'!$C$3,"Over cap","OK"))</f>
        <v/>
      </c>
      <c r="AM464" s="27" t="str">
        <f aca="false">IF(OR($O464="",$K464=""),"",IF(COUNTIFS('Comms Calendar'!$K$5:$K$504,$K464,'Comms Calendar'!$B$5:$B$504,$B464,'Comms Calendar'!$O$5:$O$504,$O464,'Comms Calendar'!$AE$5:$AE$504,"&lt;&gt;Cancelled")&gt;1,"Clash",""))</f>
        <v/>
      </c>
      <c r="AN464" s="27" t="str">
        <f aca="false">IF($O464="","",IF(IF($B464="Global",COUNTIF('Rules &amp; Guardrails'!$F$9:$F$60,$O464),COUNTIFS('Rules &amp; Guardrails'!$F$9:$F$60,$O464,'Rules &amp; Guardrails'!$G$9:$G$60,$B464)+COUNTIFS('Rules &amp; Guardrails'!$F$9:$F$60,$O464,'Rules &amp; Guardrails'!$G$9:$G$60,"Global"))&gt;0,"Blackout",""))</f>
        <v/>
      </c>
      <c r="AO464" s="6"/>
      <c r="AP464" s="25"/>
      <c r="AQ464" s="23"/>
      <c r="AR464" s="31" t="str">
        <f aca="false">IF($D464="","",IFERROR(VLOOKUP($D464,'Rules &amp; Guardrails'!$A$9:$D$24,2,0),"Other"))</f>
        <v/>
      </c>
      <c r="AS464" s="31" t="str">
        <f aca="false">IF($O464="","",$O464&amp;"|"&amp;$B464)</f>
        <v/>
      </c>
    </row>
    <row r="465" customFormat="false" ht="15" hidden="false" customHeight="false" outlineLevel="0" collapsed="false">
      <c r="A465" s="23"/>
      <c r="B465" s="23"/>
      <c r="C465" s="23"/>
      <c r="D465" s="23"/>
      <c r="E465" s="23"/>
      <c r="F465" s="23"/>
      <c r="G465" s="6"/>
      <c r="H465" s="6"/>
      <c r="I465" s="23"/>
      <c r="J465" s="23"/>
      <c r="K465" s="23"/>
      <c r="L465" s="6"/>
      <c r="M465" s="6"/>
      <c r="N465" s="24"/>
      <c r="O465" s="25"/>
      <c r="P465" s="23"/>
      <c r="Q465" s="23"/>
      <c r="R465" s="23"/>
      <c r="S465" s="23"/>
      <c r="T465" s="26" t="str">
        <f aca="false">IF(OR($O465="",$D465=""),"",WORKDAY($O465,-IFERROR(VLOOKUP($D465,'Rules &amp; Guardrails'!$A$9:$D$24,3,0),10)))</f>
        <v/>
      </c>
      <c r="U465" s="23"/>
      <c r="V465" s="23"/>
      <c r="W465" s="23"/>
      <c r="X465" s="6"/>
      <c r="Y465" s="23"/>
      <c r="Z465" s="23"/>
      <c r="AA465" s="23"/>
      <c r="AB465" s="23"/>
      <c r="AC465" s="23"/>
      <c r="AD465" s="23"/>
      <c r="AE465" s="23"/>
      <c r="AF465" s="27" t="str">
        <f aca="true">IF($O465="","",IF(OR($AE465="Cancelled",$AE465="On hold",$AE465="Launched"),$AE465,IF(AND($Y465="Approved",OR($Z465="Yes",$Z465="N/A"),OR($AA465="Yes",$AA465="N/A"),OR($AB465="No",$AB465="N/A",AND($AB465="Yes",$AD465="Yes"))),"Ready",IF($O465&lt;TODAY(),"Overdue",IF($O465-TODAY()&lt;='Rules &amp; Guardrails'!$C$5,"At Risk","In Progress")))))</f>
        <v/>
      </c>
      <c r="AG465" s="28" t="str">
        <f aca="false">IF($O465="","",IF(OR($AE465="Launched",$AE465="Cancelled"),"",MID(IF($Y465&lt;&gt;"Approved",", Content approval","")&amp;IF(NOT(OR($Z465="Yes",$Z465="N/A")),", Assets","")&amp;IF(NOT(OR($AA465="Yes",$AA465="N/A")),", List","")&amp;IF($AB465="",", Ops decision",IF(AND($AB465="Yes",$AD465&lt;&gt;"Yes"),", Ops",""))&amp;IF($U465="",", Owner","")&amp;IF($K465="",", Segment",""),3,200)))</f>
        <v/>
      </c>
      <c r="AH465" s="29" t="str">
        <f aca="true">IF($O465="","",$O465-TODAY())</f>
        <v/>
      </c>
      <c r="AI465" s="26" t="str">
        <f aca="false">IF($O465="","",$O465-WEEKDAY($O465,3))</f>
        <v/>
      </c>
      <c r="AJ465" s="30" t="str">
        <f aca="false">IF($O465="","",DATE(YEAR($O465),MONTH($O465),1))</f>
        <v/>
      </c>
      <c r="AK465" s="31" t="str">
        <f aca="false">IF(OR($O465="",$K465=""),"",COUNTIFS('Comms Calendar'!$K$5:$K$504,$K465,'Comms Calendar'!$B$5:$B$504,$B465,'Comms Calendar'!$AI$5:$AI$504,$AI465,'Comms Calendar'!$AE$5:$AE$504,"&lt;&gt;Cancelled"))</f>
        <v/>
      </c>
      <c r="AL465" s="27" t="str">
        <f aca="false">IF($AK465="","",IF($AK465&gt;'Rules &amp; Guardrails'!$C$3,"Over cap","OK"))</f>
        <v/>
      </c>
      <c r="AM465" s="27" t="str">
        <f aca="false">IF(OR($O465="",$K465=""),"",IF(COUNTIFS('Comms Calendar'!$K$5:$K$504,$K465,'Comms Calendar'!$B$5:$B$504,$B465,'Comms Calendar'!$O$5:$O$504,$O465,'Comms Calendar'!$AE$5:$AE$504,"&lt;&gt;Cancelled")&gt;1,"Clash",""))</f>
        <v/>
      </c>
      <c r="AN465" s="27" t="str">
        <f aca="false">IF($O465="","",IF(IF($B465="Global",COUNTIF('Rules &amp; Guardrails'!$F$9:$F$60,$O465),COUNTIFS('Rules &amp; Guardrails'!$F$9:$F$60,$O465,'Rules &amp; Guardrails'!$G$9:$G$60,$B465)+COUNTIFS('Rules &amp; Guardrails'!$F$9:$F$60,$O465,'Rules &amp; Guardrails'!$G$9:$G$60,"Global"))&gt;0,"Blackout",""))</f>
        <v/>
      </c>
      <c r="AO465" s="6"/>
      <c r="AP465" s="25"/>
      <c r="AQ465" s="23"/>
      <c r="AR465" s="31" t="str">
        <f aca="false">IF($D465="","",IFERROR(VLOOKUP($D465,'Rules &amp; Guardrails'!$A$9:$D$24,2,0),"Other"))</f>
        <v/>
      </c>
      <c r="AS465" s="31" t="str">
        <f aca="false">IF($O465="","",$O465&amp;"|"&amp;$B465)</f>
        <v/>
      </c>
    </row>
    <row r="466" customFormat="false" ht="15" hidden="false" customHeight="false" outlineLevel="0" collapsed="false">
      <c r="A466" s="23"/>
      <c r="B466" s="23"/>
      <c r="C466" s="23"/>
      <c r="D466" s="23"/>
      <c r="E466" s="23"/>
      <c r="F466" s="23"/>
      <c r="G466" s="6"/>
      <c r="H466" s="6"/>
      <c r="I466" s="23"/>
      <c r="J466" s="23"/>
      <c r="K466" s="23"/>
      <c r="L466" s="6"/>
      <c r="M466" s="6"/>
      <c r="N466" s="24"/>
      <c r="O466" s="25"/>
      <c r="P466" s="23"/>
      <c r="Q466" s="23"/>
      <c r="R466" s="23"/>
      <c r="S466" s="23"/>
      <c r="T466" s="26" t="str">
        <f aca="false">IF(OR($O466="",$D466=""),"",WORKDAY($O466,-IFERROR(VLOOKUP($D466,'Rules &amp; Guardrails'!$A$9:$D$24,3,0),10)))</f>
        <v/>
      </c>
      <c r="U466" s="23"/>
      <c r="V466" s="23"/>
      <c r="W466" s="23"/>
      <c r="X466" s="6"/>
      <c r="Y466" s="23"/>
      <c r="Z466" s="23"/>
      <c r="AA466" s="23"/>
      <c r="AB466" s="23"/>
      <c r="AC466" s="23"/>
      <c r="AD466" s="23"/>
      <c r="AE466" s="23"/>
      <c r="AF466" s="27" t="str">
        <f aca="true">IF($O466="","",IF(OR($AE466="Cancelled",$AE466="On hold",$AE466="Launched"),$AE466,IF(AND($Y466="Approved",OR($Z466="Yes",$Z466="N/A"),OR($AA466="Yes",$AA466="N/A"),OR($AB466="No",$AB466="N/A",AND($AB466="Yes",$AD466="Yes"))),"Ready",IF($O466&lt;TODAY(),"Overdue",IF($O466-TODAY()&lt;='Rules &amp; Guardrails'!$C$5,"At Risk","In Progress")))))</f>
        <v/>
      </c>
      <c r="AG466" s="28" t="str">
        <f aca="false">IF($O466="","",IF(OR($AE466="Launched",$AE466="Cancelled"),"",MID(IF($Y466&lt;&gt;"Approved",", Content approval","")&amp;IF(NOT(OR($Z466="Yes",$Z466="N/A")),", Assets","")&amp;IF(NOT(OR($AA466="Yes",$AA466="N/A")),", List","")&amp;IF($AB466="",", Ops decision",IF(AND($AB466="Yes",$AD466&lt;&gt;"Yes"),", Ops",""))&amp;IF($U466="",", Owner","")&amp;IF($K466="",", Segment",""),3,200)))</f>
        <v/>
      </c>
      <c r="AH466" s="29" t="str">
        <f aca="true">IF($O466="","",$O466-TODAY())</f>
        <v/>
      </c>
      <c r="AI466" s="26" t="str">
        <f aca="false">IF($O466="","",$O466-WEEKDAY($O466,3))</f>
        <v/>
      </c>
      <c r="AJ466" s="30" t="str">
        <f aca="false">IF($O466="","",DATE(YEAR($O466),MONTH($O466),1))</f>
        <v/>
      </c>
      <c r="AK466" s="31" t="str">
        <f aca="false">IF(OR($O466="",$K466=""),"",COUNTIFS('Comms Calendar'!$K$5:$K$504,$K466,'Comms Calendar'!$B$5:$B$504,$B466,'Comms Calendar'!$AI$5:$AI$504,$AI466,'Comms Calendar'!$AE$5:$AE$504,"&lt;&gt;Cancelled"))</f>
        <v/>
      </c>
      <c r="AL466" s="27" t="str">
        <f aca="false">IF($AK466="","",IF($AK466&gt;'Rules &amp; Guardrails'!$C$3,"Over cap","OK"))</f>
        <v/>
      </c>
      <c r="AM466" s="27" t="str">
        <f aca="false">IF(OR($O466="",$K466=""),"",IF(COUNTIFS('Comms Calendar'!$K$5:$K$504,$K466,'Comms Calendar'!$B$5:$B$504,$B466,'Comms Calendar'!$O$5:$O$504,$O466,'Comms Calendar'!$AE$5:$AE$504,"&lt;&gt;Cancelled")&gt;1,"Clash",""))</f>
        <v/>
      </c>
      <c r="AN466" s="27" t="str">
        <f aca="false">IF($O466="","",IF(IF($B466="Global",COUNTIF('Rules &amp; Guardrails'!$F$9:$F$60,$O466),COUNTIFS('Rules &amp; Guardrails'!$F$9:$F$60,$O466,'Rules &amp; Guardrails'!$G$9:$G$60,$B466)+COUNTIFS('Rules &amp; Guardrails'!$F$9:$F$60,$O466,'Rules &amp; Guardrails'!$G$9:$G$60,"Global"))&gt;0,"Blackout",""))</f>
        <v/>
      </c>
      <c r="AO466" s="6"/>
      <c r="AP466" s="25"/>
      <c r="AQ466" s="23"/>
      <c r="AR466" s="31" t="str">
        <f aca="false">IF($D466="","",IFERROR(VLOOKUP($D466,'Rules &amp; Guardrails'!$A$9:$D$24,2,0),"Other"))</f>
        <v/>
      </c>
      <c r="AS466" s="31" t="str">
        <f aca="false">IF($O466="","",$O466&amp;"|"&amp;$B466)</f>
        <v/>
      </c>
    </row>
    <row r="467" customFormat="false" ht="15" hidden="false" customHeight="false" outlineLevel="0" collapsed="false">
      <c r="A467" s="23"/>
      <c r="B467" s="23"/>
      <c r="C467" s="23"/>
      <c r="D467" s="23"/>
      <c r="E467" s="23"/>
      <c r="F467" s="23"/>
      <c r="G467" s="6"/>
      <c r="H467" s="6"/>
      <c r="I467" s="23"/>
      <c r="J467" s="23"/>
      <c r="K467" s="23"/>
      <c r="L467" s="6"/>
      <c r="M467" s="6"/>
      <c r="N467" s="24"/>
      <c r="O467" s="25"/>
      <c r="P467" s="23"/>
      <c r="Q467" s="23"/>
      <c r="R467" s="23"/>
      <c r="S467" s="23"/>
      <c r="T467" s="26" t="str">
        <f aca="false">IF(OR($O467="",$D467=""),"",WORKDAY($O467,-IFERROR(VLOOKUP($D467,'Rules &amp; Guardrails'!$A$9:$D$24,3,0),10)))</f>
        <v/>
      </c>
      <c r="U467" s="23"/>
      <c r="V467" s="23"/>
      <c r="W467" s="23"/>
      <c r="X467" s="6"/>
      <c r="Y467" s="23"/>
      <c r="Z467" s="23"/>
      <c r="AA467" s="23"/>
      <c r="AB467" s="23"/>
      <c r="AC467" s="23"/>
      <c r="AD467" s="23"/>
      <c r="AE467" s="23"/>
      <c r="AF467" s="27" t="str">
        <f aca="true">IF($O467="","",IF(OR($AE467="Cancelled",$AE467="On hold",$AE467="Launched"),$AE467,IF(AND($Y467="Approved",OR($Z467="Yes",$Z467="N/A"),OR($AA467="Yes",$AA467="N/A"),OR($AB467="No",$AB467="N/A",AND($AB467="Yes",$AD467="Yes"))),"Ready",IF($O467&lt;TODAY(),"Overdue",IF($O467-TODAY()&lt;='Rules &amp; Guardrails'!$C$5,"At Risk","In Progress")))))</f>
        <v/>
      </c>
      <c r="AG467" s="28" t="str">
        <f aca="false">IF($O467="","",IF(OR($AE467="Launched",$AE467="Cancelled"),"",MID(IF($Y467&lt;&gt;"Approved",", Content approval","")&amp;IF(NOT(OR($Z467="Yes",$Z467="N/A")),", Assets","")&amp;IF(NOT(OR($AA467="Yes",$AA467="N/A")),", List","")&amp;IF($AB467="",", Ops decision",IF(AND($AB467="Yes",$AD467&lt;&gt;"Yes"),", Ops",""))&amp;IF($U467="",", Owner","")&amp;IF($K467="",", Segment",""),3,200)))</f>
        <v/>
      </c>
      <c r="AH467" s="29" t="str">
        <f aca="true">IF($O467="","",$O467-TODAY())</f>
        <v/>
      </c>
      <c r="AI467" s="26" t="str">
        <f aca="false">IF($O467="","",$O467-WEEKDAY($O467,3))</f>
        <v/>
      </c>
      <c r="AJ467" s="30" t="str">
        <f aca="false">IF($O467="","",DATE(YEAR($O467),MONTH($O467),1))</f>
        <v/>
      </c>
      <c r="AK467" s="31" t="str">
        <f aca="false">IF(OR($O467="",$K467=""),"",COUNTIFS('Comms Calendar'!$K$5:$K$504,$K467,'Comms Calendar'!$B$5:$B$504,$B467,'Comms Calendar'!$AI$5:$AI$504,$AI467,'Comms Calendar'!$AE$5:$AE$504,"&lt;&gt;Cancelled"))</f>
        <v/>
      </c>
      <c r="AL467" s="27" t="str">
        <f aca="false">IF($AK467="","",IF($AK467&gt;'Rules &amp; Guardrails'!$C$3,"Over cap","OK"))</f>
        <v/>
      </c>
      <c r="AM467" s="27" t="str">
        <f aca="false">IF(OR($O467="",$K467=""),"",IF(COUNTIFS('Comms Calendar'!$K$5:$K$504,$K467,'Comms Calendar'!$B$5:$B$504,$B467,'Comms Calendar'!$O$5:$O$504,$O467,'Comms Calendar'!$AE$5:$AE$504,"&lt;&gt;Cancelled")&gt;1,"Clash",""))</f>
        <v/>
      </c>
      <c r="AN467" s="27" t="str">
        <f aca="false">IF($O467="","",IF(IF($B467="Global",COUNTIF('Rules &amp; Guardrails'!$F$9:$F$60,$O467),COUNTIFS('Rules &amp; Guardrails'!$F$9:$F$60,$O467,'Rules &amp; Guardrails'!$G$9:$G$60,$B467)+COUNTIFS('Rules &amp; Guardrails'!$F$9:$F$60,$O467,'Rules &amp; Guardrails'!$G$9:$G$60,"Global"))&gt;0,"Blackout",""))</f>
        <v/>
      </c>
      <c r="AO467" s="6"/>
      <c r="AP467" s="25"/>
      <c r="AQ467" s="23"/>
      <c r="AR467" s="31" t="str">
        <f aca="false">IF($D467="","",IFERROR(VLOOKUP($D467,'Rules &amp; Guardrails'!$A$9:$D$24,2,0),"Other"))</f>
        <v/>
      </c>
      <c r="AS467" s="31" t="str">
        <f aca="false">IF($O467="","",$O467&amp;"|"&amp;$B467)</f>
        <v/>
      </c>
    </row>
    <row r="468" customFormat="false" ht="15" hidden="false" customHeight="false" outlineLevel="0" collapsed="false">
      <c r="A468" s="23"/>
      <c r="B468" s="23"/>
      <c r="C468" s="23"/>
      <c r="D468" s="23"/>
      <c r="E468" s="23"/>
      <c r="F468" s="23"/>
      <c r="G468" s="6"/>
      <c r="H468" s="6"/>
      <c r="I468" s="23"/>
      <c r="J468" s="23"/>
      <c r="K468" s="23"/>
      <c r="L468" s="6"/>
      <c r="M468" s="6"/>
      <c r="N468" s="24"/>
      <c r="O468" s="25"/>
      <c r="P468" s="23"/>
      <c r="Q468" s="23"/>
      <c r="R468" s="23"/>
      <c r="S468" s="23"/>
      <c r="T468" s="26" t="str">
        <f aca="false">IF(OR($O468="",$D468=""),"",WORKDAY($O468,-IFERROR(VLOOKUP($D468,'Rules &amp; Guardrails'!$A$9:$D$24,3,0),10)))</f>
        <v/>
      </c>
      <c r="U468" s="23"/>
      <c r="V468" s="23"/>
      <c r="W468" s="23"/>
      <c r="X468" s="6"/>
      <c r="Y468" s="23"/>
      <c r="Z468" s="23"/>
      <c r="AA468" s="23"/>
      <c r="AB468" s="23"/>
      <c r="AC468" s="23"/>
      <c r="AD468" s="23"/>
      <c r="AE468" s="23"/>
      <c r="AF468" s="27" t="str">
        <f aca="true">IF($O468="","",IF(OR($AE468="Cancelled",$AE468="On hold",$AE468="Launched"),$AE468,IF(AND($Y468="Approved",OR($Z468="Yes",$Z468="N/A"),OR($AA468="Yes",$AA468="N/A"),OR($AB468="No",$AB468="N/A",AND($AB468="Yes",$AD468="Yes"))),"Ready",IF($O468&lt;TODAY(),"Overdue",IF($O468-TODAY()&lt;='Rules &amp; Guardrails'!$C$5,"At Risk","In Progress")))))</f>
        <v/>
      </c>
      <c r="AG468" s="28" t="str">
        <f aca="false">IF($O468="","",IF(OR($AE468="Launched",$AE468="Cancelled"),"",MID(IF($Y468&lt;&gt;"Approved",", Content approval","")&amp;IF(NOT(OR($Z468="Yes",$Z468="N/A")),", Assets","")&amp;IF(NOT(OR($AA468="Yes",$AA468="N/A")),", List","")&amp;IF($AB468="",", Ops decision",IF(AND($AB468="Yes",$AD468&lt;&gt;"Yes"),", Ops",""))&amp;IF($U468="",", Owner","")&amp;IF($K468="",", Segment",""),3,200)))</f>
        <v/>
      </c>
      <c r="AH468" s="29" t="str">
        <f aca="true">IF($O468="","",$O468-TODAY())</f>
        <v/>
      </c>
      <c r="AI468" s="26" t="str">
        <f aca="false">IF($O468="","",$O468-WEEKDAY($O468,3))</f>
        <v/>
      </c>
      <c r="AJ468" s="30" t="str">
        <f aca="false">IF($O468="","",DATE(YEAR($O468),MONTH($O468),1))</f>
        <v/>
      </c>
      <c r="AK468" s="31" t="str">
        <f aca="false">IF(OR($O468="",$K468=""),"",COUNTIFS('Comms Calendar'!$K$5:$K$504,$K468,'Comms Calendar'!$B$5:$B$504,$B468,'Comms Calendar'!$AI$5:$AI$504,$AI468,'Comms Calendar'!$AE$5:$AE$504,"&lt;&gt;Cancelled"))</f>
        <v/>
      </c>
      <c r="AL468" s="27" t="str">
        <f aca="false">IF($AK468="","",IF($AK468&gt;'Rules &amp; Guardrails'!$C$3,"Over cap","OK"))</f>
        <v/>
      </c>
      <c r="AM468" s="27" t="str">
        <f aca="false">IF(OR($O468="",$K468=""),"",IF(COUNTIFS('Comms Calendar'!$K$5:$K$504,$K468,'Comms Calendar'!$B$5:$B$504,$B468,'Comms Calendar'!$O$5:$O$504,$O468,'Comms Calendar'!$AE$5:$AE$504,"&lt;&gt;Cancelled")&gt;1,"Clash",""))</f>
        <v/>
      </c>
      <c r="AN468" s="27" t="str">
        <f aca="false">IF($O468="","",IF(IF($B468="Global",COUNTIF('Rules &amp; Guardrails'!$F$9:$F$60,$O468),COUNTIFS('Rules &amp; Guardrails'!$F$9:$F$60,$O468,'Rules &amp; Guardrails'!$G$9:$G$60,$B468)+COUNTIFS('Rules &amp; Guardrails'!$F$9:$F$60,$O468,'Rules &amp; Guardrails'!$G$9:$G$60,"Global"))&gt;0,"Blackout",""))</f>
        <v/>
      </c>
      <c r="AO468" s="6"/>
      <c r="AP468" s="25"/>
      <c r="AQ468" s="23"/>
      <c r="AR468" s="31" t="str">
        <f aca="false">IF($D468="","",IFERROR(VLOOKUP($D468,'Rules &amp; Guardrails'!$A$9:$D$24,2,0),"Other"))</f>
        <v/>
      </c>
      <c r="AS468" s="31" t="str">
        <f aca="false">IF($O468="","",$O468&amp;"|"&amp;$B468)</f>
        <v/>
      </c>
    </row>
    <row r="469" customFormat="false" ht="15" hidden="false" customHeight="false" outlineLevel="0" collapsed="false">
      <c r="A469" s="23"/>
      <c r="B469" s="23"/>
      <c r="C469" s="23"/>
      <c r="D469" s="23"/>
      <c r="E469" s="23"/>
      <c r="F469" s="23"/>
      <c r="G469" s="6"/>
      <c r="H469" s="6"/>
      <c r="I469" s="23"/>
      <c r="J469" s="23"/>
      <c r="K469" s="23"/>
      <c r="L469" s="6"/>
      <c r="M469" s="6"/>
      <c r="N469" s="24"/>
      <c r="O469" s="25"/>
      <c r="P469" s="23"/>
      <c r="Q469" s="23"/>
      <c r="R469" s="23"/>
      <c r="S469" s="23"/>
      <c r="T469" s="26" t="str">
        <f aca="false">IF(OR($O469="",$D469=""),"",WORKDAY($O469,-IFERROR(VLOOKUP($D469,'Rules &amp; Guardrails'!$A$9:$D$24,3,0),10)))</f>
        <v/>
      </c>
      <c r="U469" s="23"/>
      <c r="V469" s="23"/>
      <c r="W469" s="23"/>
      <c r="X469" s="6"/>
      <c r="Y469" s="23"/>
      <c r="Z469" s="23"/>
      <c r="AA469" s="23"/>
      <c r="AB469" s="23"/>
      <c r="AC469" s="23"/>
      <c r="AD469" s="23"/>
      <c r="AE469" s="23"/>
      <c r="AF469" s="27" t="str">
        <f aca="true">IF($O469="","",IF(OR($AE469="Cancelled",$AE469="On hold",$AE469="Launched"),$AE469,IF(AND($Y469="Approved",OR($Z469="Yes",$Z469="N/A"),OR($AA469="Yes",$AA469="N/A"),OR($AB469="No",$AB469="N/A",AND($AB469="Yes",$AD469="Yes"))),"Ready",IF($O469&lt;TODAY(),"Overdue",IF($O469-TODAY()&lt;='Rules &amp; Guardrails'!$C$5,"At Risk","In Progress")))))</f>
        <v/>
      </c>
      <c r="AG469" s="28" t="str">
        <f aca="false">IF($O469="","",IF(OR($AE469="Launched",$AE469="Cancelled"),"",MID(IF($Y469&lt;&gt;"Approved",", Content approval","")&amp;IF(NOT(OR($Z469="Yes",$Z469="N/A")),", Assets","")&amp;IF(NOT(OR($AA469="Yes",$AA469="N/A")),", List","")&amp;IF($AB469="",", Ops decision",IF(AND($AB469="Yes",$AD469&lt;&gt;"Yes"),", Ops",""))&amp;IF($U469="",", Owner","")&amp;IF($K469="",", Segment",""),3,200)))</f>
        <v/>
      </c>
      <c r="AH469" s="29" t="str">
        <f aca="true">IF($O469="","",$O469-TODAY())</f>
        <v/>
      </c>
      <c r="AI469" s="26" t="str">
        <f aca="false">IF($O469="","",$O469-WEEKDAY($O469,3))</f>
        <v/>
      </c>
      <c r="AJ469" s="30" t="str">
        <f aca="false">IF($O469="","",DATE(YEAR($O469),MONTH($O469),1))</f>
        <v/>
      </c>
      <c r="AK469" s="31" t="str">
        <f aca="false">IF(OR($O469="",$K469=""),"",COUNTIFS('Comms Calendar'!$K$5:$K$504,$K469,'Comms Calendar'!$B$5:$B$504,$B469,'Comms Calendar'!$AI$5:$AI$504,$AI469,'Comms Calendar'!$AE$5:$AE$504,"&lt;&gt;Cancelled"))</f>
        <v/>
      </c>
      <c r="AL469" s="27" t="str">
        <f aca="false">IF($AK469="","",IF($AK469&gt;'Rules &amp; Guardrails'!$C$3,"Over cap","OK"))</f>
        <v/>
      </c>
      <c r="AM469" s="27" t="str">
        <f aca="false">IF(OR($O469="",$K469=""),"",IF(COUNTIFS('Comms Calendar'!$K$5:$K$504,$K469,'Comms Calendar'!$B$5:$B$504,$B469,'Comms Calendar'!$O$5:$O$504,$O469,'Comms Calendar'!$AE$5:$AE$504,"&lt;&gt;Cancelled")&gt;1,"Clash",""))</f>
        <v/>
      </c>
      <c r="AN469" s="27" t="str">
        <f aca="false">IF($O469="","",IF(IF($B469="Global",COUNTIF('Rules &amp; Guardrails'!$F$9:$F$60,$O469),COUNTIFS('Rules &amp; Guardrails'!$F$9:$F$60,$O469,'Rules &amp; Guardrails'!$G$9:$G$60,$B469)+COUNTIFS('Rules &amp; Guardrails'!$F$9:$F$60,$O469,'Rules &amp; Guardrails'!$G$9:$G$60,"Global"))&gt;0,"Blackout",""))</f>
        <v/>
      </c>
      <c r="AO469" s="6"/>
      <c r="AP469" s="25"/>
      <c r="AQ469" s="23"/>
      <c r="AR469" s="31" t="str">
        <f aca="false">IF($D469="","",IFERROR(VLOOKUP($D469,'Rules &amp; Guardrails'!$A$9:$D$24,2,0),"Other"))</f>
        <v/>
      </c>
      <c r="AS469" s="31" t="str">
        <f aca="false">IF($O469="","",$O469&amp;"|"&amp;$B469)</f>
        <v/>
      </c>
    </row>
    <row r="470" customFormat="false" ht="15" hidden="false" customHeight="false" outlineLevel="0" collapsed="false">
      <c r="A470" s="23"/>
      <c r="B470" s="23"/>
      <c r="C470" s="23"/>
      <c r="D470" s="23"/>
      <c r="E470" s="23"/>
      <c r="F470" s="23"/>
      <c r="G470" s="6"/>
      <c r="H470" s="6"/>
      <c r="I470" s="23"/>
      <c r="J470" s="23"/>
      <c r="K470" s="23"/>
      <c r="L470" s="6"/>
      <c r="M470" s="6"/>
      <c r="N470" s="24"/>
      <c r="O470" s="25"/>
      <c r="P470" s="23"/>
      <c r="Q470" s="23"/>
      <c r="R470" s="23"/>
      <c r="S470" s="23"/>
      <c r="T470" s="26" t="str">
        <f aca="false">IF(OR($O470="",$D470=""),"",WORKDAY($O470,-IFERROR(VLOOKUP($D470,'Rules &amp; Guardrails'!$A$9:$D$24,3,0),10)))</f>
        <v/>
      </c>
      <c r="U470" s="23"/>
      <c r="V470" s="23"/>
      <c r="W470" s="23"/>
      <c r="X470" s="6"/>
      <c r="Y470" s="23"/>
      <c r="Z470" s="23"/>
      <c r="AA470" s="23"/>
      <c r="AB470" s="23"/>
      <c r="AC470" s="23"/>
      <c r="AD470" s="23"/>
      <c r="AE470" s="23"/>
      <c r="AF470" s="27" t="str">
        <f aca="true">IF($O470="","",IF(OR($AE470="Cancelled",$AE470="On hold",$AE470="Launched"),$AE470,IF(AND($Y470="Approved",OR($Z470="Yes",$Z470="N/A"),OR($AA470="Yes",$AA470="N/A"),OR($AB470="No",$AB470="N/A",AND($AB470="Yes",$AD470="Yes"))),"Ready",IF($O470&lt;TODAY(),"Overdue",IF($O470-TODAY()&lt;='Rules &amp; Guardrails'!$C$5,"At Risk","In Progress")))))</f>
        <v/>
      </c>
      <c r="AG470" s="28" t="str">
        <f aca="false">IF($O470="","",IF(OR($AE470="Launched",$AE470="Cancelled"),"",MID(IF($Y470&lt;&gt;"Approved",", Content approval","")&amp;IF(NOT(OR($Z470="Yes",$Z470="N/A")),", Assets","")&amp;IF(NOT(OR($AA470="Yes",$AA470="N/A")),", List","")&amp;IF($AB470="",", Ops decision",IF(AND($AB470="Yes",$AD470&lt;&gt;"Yes"),", Ops",""))&amp;IF($U470="",", Owner","")&amp;IF($K470="",", Segment",""),3,200)))</f>
        <v/>
      </c>
      <c r="AH470" s="29" t="str">
        <f aca="true">IF($O470="","",$O470-TODAY())</f>
        <v/>
      </c>
      <c r="AI470" s="26" t="str">
        <f aca="false">IF($O470="","",$O470-WEEKDAY($O470,3))</f>
        <v/>
      </c>
      <c r="AJ470" s="30" t="str">
        <f aca="false">IF($O470="","",DATE(YEAR($O470),MONTH($O470),1))</f>
        <v/>
      </c>
      <c r="AK470" s="31" t="str">
        <f aca="false">IF(OR($O470="",$K470=""),"",COUNTIFS('Comms Calendar'!$K$5:$K$504,$K470,'Comms Calendar'!$B$5:$B$504,$B470,'Comms Calendar'!$AI$5:$AI$504,$AI470,'Comms Calendar'!$AE$5:$AE$504,"&lt;&gt;Cancelled"))</f>
        <v/>
      </c>
      <c r="AL470" s="27" t="str">
        <f aca="false">IF($AK470="","",IF($AK470&gt;'Rules &amp; Guardrails'!$C$3,"Over cap","OK"))</f>
        <v/>
      </c>
      <c r="AM470" s="27" t="str">
        <f aca="false">IF(OR($O470="",$K470=""),"",IF(COUNTIFS('Comms Calendar'!$K$5:$K$504,$K470,'Comms Calendar'!$B$5:$B$504,$B470,'Comms Calendar'!$O$5:$O$504,$O470,'Comms Calendar'!$AE$5:$AE$504,"&lt;&gt;Cancelled")&gt;1,"Clash",""))</f>
        <v/>
      </c>
      <c r="AN470" s="27" t="str">
        <f aca="false">IF($O470="","",IF(IF($B470="Global",COUNTIF('Rules &amp; Guardrails'!$F$9:$F$60,$O470),COUNTIFS('Rules &amp; Guardrails'!$F$9:$F$60,$O470,'Rules &amp; Guardrails'!$G$9:$G$60,$B470)+COUNTIFS('Rules &amp; Guardrails'!$F$9:$F$60,$O470,'Rules &amp; Guardrails'!$G$9:$G$60,"Global"))&gt;0,"Blackout",""))</f>
        <v/>
      </c>
      <c r="AO470" s="6"/>
      <c r="AP470" s="25"/>
      <c r="AQ470" s="23"/>
      <c r="AR470" s="31" t="str">
        <f aca="false">IF($D470="","",IFERROR(VLOOKUP($D470,'Rules &amp; Guardrails'!$A$9:$D$24,2,0),"Other"))</f>
        <v/>
      </c>
      <c r="AS470" s="31" t="str">
        <f aca="false">IF($O470="","",$O470&amp;"|"&amp;$B470)</f>
        <v/>
      </c>
    </row>
    <row r="471" customFormat="false" ht="15" hidden="false" customHeight="false" outlineLevel="0" collapsed="false">
      <c r="A471" s="23"/>
      <c r="B471" s="23"/>
      <c r="C471" s="23"/>
      <c r="D471" s="23"/>
      <c r="E471" s="23"/>
      <c r="F471" s="23"/>
      <c r="G471" s="6"/>
      <c r="H471" s="6"/>
      <c r="I471" s="23"/>
      <c r="J471" s="23"/>
      <c r="K471" s="23"/>
      <c r="L471" s="6"/>
      <c r="M471" s="6"/>
      <c r="N471" s="24"/>
      <c r="O471" s="25"/>
      <c r="P471" s="23"/>
      <c r="Q471" s="23"/>
      <c r="R471" s="23"/>
      <c r="S471" s="23"/>
      <c r="T471" s="26" t="str">
        <f aca="false">IF(OR($O471="",$D471=""),"",WORKDAY($O471,-IFERROR(VLOOKUP($D471,'Rules &amp; Guardrails'!$A$9:$D$24,3,0),10)))</f>
        <v/>
      </c>
      <c r="U471" s="23"/>
      <c r="V471" s="23"/>
      <c r="W471" s="23"/>
      <c r="X471" s="6"/>
      <c r="Y471" s="23"/>
      <c r="Z471" s="23"/>
      <c r="AA471" s="23"/>
      <c r="AB471" s="23"/>
      <c r="AC471" s="23"/>
      <c r="AD471" s="23"/>
      <c r="AE471" s="23"/>
      <c r="AF471" s="27" t="str">
        <f aca="true">IF($O471="","",IF(OR($AE471="Cancelled",$AE471="On hold",$AE471="Launched"),$AE471,IF(AND($Y471="Approved",OR($Z471="Yes",$Z471="N/A"),OR($AA471="Yes",$AA471="N/A"),OR($AB471="No",$AB471="N/A",AND($AB471="Yes",$AD471="Yes"))),"Ready",IF($O471&lt;TODAY(),"Overdue",IF($O471-TODAY()&lt;='Rules &amp; Guardrails'!$C$5,"At Risk","In Progress")))))</f>
        <v/>
      </c>
      <c r="AG471" s="28" t="str">
        <f aca="false">IF($O471="","",IF(OR($AE471="Launched",$AE471="Cancelled"),"",MID(IF($Y471&lt;&gt;"Approved",", Content approval","")&amp;IF(NOT(OR($Z471="Yes",$Z471="N/A")),", Assets","")&amp;IF(NOT(OR($AA471="Yes",$AA471="N/A")),", List","")&amp;IF($AB471="",", Ops decision",IF(AND($AB471="Yes",$AD471&lt;&gt;"Yes"),", Ops",""))&amp;IF($U471="",", Owner","")&amp;IF($K471="",", Segment",""),3,200)))</f>
        <v/>
      </c>
      <c r="AH471" s="29" t="str">
        <f aca="true">IF($O471="","",$O471-TODAY())</f>
        <v/>
      </c>
      <c r="AI471" s="26" t="str">
        <f aca="false">IF($O471="","",$O471-WEEKDAY($O471,3))</f>
        <v/>
      </c>
      <c r="AJ471" s="30" t="str">
        <f aca="false">IF($O471="","",DATE(YEAR($O471),MONTH($O471),1))</f>
        <v/>
      </c>
      <c r="AK471" s="31" t="str">
        <f aca="false">IF(OR($O471="",$K471=""),"",COUNTIFS('Comms Calendar'!$K$5:$K$504,$K471,'Comms Calendar'!$B$5:$B$504,$B471,'Comms Calendar'!$AI$5:$AI$504,$AI471,'Comms Calendar'!$AE$5:$AE$504,"&lt;&gt;Cancelled"))</f>
        <v/>
      </c>
      <c r="AL471" s="27" t="str">
        <f aca="false">IF($AK471="","",IF($AK471&gt;'Rules &amp; Guardrails'!$C$3,"Over cap","OK"))</f>
        <v/>
      </c>
      <c r="AM471" s="27" t="str">
        <f aca="false">IF(OR($O471="",$K471=""),"",IF(COUNTIFS('Comms Calendar'!$K$5:$K$504,$K471,'Comms Calendar'!$B$5:$B$504,$B471,'Comms Calendar'!$O$5:$O$504,$O471,'Comms Calendar'!$AE$5:$AE$504,"&lt;&gt;Cancelled")&gt;1,"Clash",""))</f>
        <v/>
      </c>
      <c r="AN471" s="27" t="str">
        <f aca="false">IF($O471="","",IF(IF($B471="Global",COUNTIF('Rules &amp; Guardrails'!$F$9:$F$60,$O471),COUNTIFS('Rules &amp; Guardrails'!$F$9:$F$60,$O471,'Rules &amp; Guardrails'!$G$9:$G$60,$B471)+COUNTIFS('Rules &amp; Guardrails'!$F$9:$F$60,$O471,'Rules &amp; Guardrails'!$G$9:$G$60,"Global"))&gt;0,"Blackout",""))</f>
        <v/>
      </c>
      <c r="AO471" s="6"/>
      <c r="AP471" s="25"/>
      <c r="AQ471" s="23"/>
      <c r="AR471" s="31" t="str">
        <f aca="false">IF($D471="","",IFERROR(VLOOKUP($D471,'Rules &amp; Guardrails'!$A$9:$D$24,2,0),"Other"))</f>
        <v/>
      </c>
      <c r="AS471" s="31" t="str">
        <f aca="false">IF($O471="","",$O471&amp;"|"&amp;$B471)</f>
        <v/>
      </c>
    </row>
    <row r="472" customFormat="false" ht="15" hidden="false" customHeight="false" outlineLevel="0" collapsed="false">
      <c r="A472" s="23"/>
      <c r="B472" s="23"/>
      <c r="C472" s="23"/>
      <c r="D472" s="23"/>
      <c r="E472" s="23"/>
      <c r="F472" s="23"/>
      <c r="G472" s="6"/>
      <c r="H472" s="6"/>
      <c r="I472" s="23"/>
      <c r="J472" s="23"/>
      <c r="K472" s="23"/>
      <c r="L472" s="6"/>
      <c r="M472" s="6"/>
      <c r="N472" s="24"/>
      <c r="O472" s="25"/>
      <c r="P472" s="23"/>
      <c r="Q472" s="23"/>
      <c r="R472" s="23"/>
      <c r="S472" s="23"/>
      <c r="T472" s="26" t="str">
        <f aca="false">IF(OR($O472="",$D472=""),"",WORKDAY($O472,-IFERROR(VLOOKUP($D472,'Rules &amp; Guardrails'!$A$9:$D$24,3,0),10)))</f>
        <v/>
      </c>
      <c r="U472" s="23"/>
      <c r="V472" s="23"/>
      <c r="W472" s="23"/>
      <c r="X472" s="6"/>
      <c r="Y472" s="23"/>
      <c r="Z472" s="23"/>
      <c r="AA472" s="23"/>
      <c r="AB472" s="23"/>
      <c r="AC472" s="23"/>
      <c r="AD472" s="23"/>
      <c r="AE472" s="23"/>
      <c r="AF472" s="27" t="str">
        <f aca="true">IF($O472="","",IF(OR($AE472="Cancelled",$AE472="On hold",$AE472="Launched"),$AE472,IF(AND($Y472="Approved",OR($Z472="Yes",$Z472="N/A"),OR($AA472="Yes",$AA472="N/A"),OR($AB472="No",$AB472="N/A",AND($AB472="Yes",$AD472="Yes"))),"Ready",IF($O472&lt;TODAY(),"Overdue",IF($O472-TODAY()&lt;='Rules &amp; Guardrails'!$C$5,"At Risk","In Progress")))))</f>
        <v/>
      </c>
      <c r="AG472" s="28" t="str">
        <f aca="false">IF($O472="","",IF(OR($AE472="Launched",$AE472="Cancelled"),"",MID(IF($Y472&lt;&gt;"Approved",", Content approval","")&amp;IF(NOT(OR($Z472="Yes",$Z472="N/A")),", Assets","")&amp;IF(NOT(OR($AA472="Yes",$AA472="N/A")),", List","")&amp;IF($AB472="",", Ops decision",IF(AND($AB472="Yes",$AD472&lt;&gt;"Yes"),", Ops",""))&amp;IF($U472="",", Owner","")&amp;IF($K472="",", Segment",""),3,200)))</f>
        <v/>
      </c>
      <c r="AH472" s="29" t="str">
        <f aca="true">IF($O472="","",$O472-TODAY())</f>
        <v/>
      </c>
      <c r="AI472" s="26" t="str">
        <f aca="false">IF($O472="","",$O472-WEEKDAY($O472,3))</f>
        <v/>
      </c>
      <c r="AJ472" s="30" t="str">
        <f aca="false">IF($O472="","",DATE(YEAR($O472),MONTH($O472),1))</f>
        <v/>
      </c>
      <c r="AK472" s="31" t="str">
        <f aca="false">IF(OR($O472="",$K472=""),"",COUNTIFS('Comms Calendar'!$K$5:$K$504,$K472,'Comms Calendar'!$B$5:$B$504,$B472,'Comms Calendar'!$AI$5:$AI$504,$AI472,'Comms Calendar'!$AE$5:$AE$504,"&lt;&gt;Cancelled"))</f>
        <v/>
      </c>
      <c r="AL472" s="27" t="str">
        <f aca="false">IF($AK472="","",IF($AK472&gt;'Rules &amp; Guardrails'!$C$3,"Over cap","OK"))</f>
        <v/>
      </c>
      <c r="AM472" s="27" t="str">
        <f aca="false">IF(OR($O472="",$K472=""),"",IF(COUNTIFS('Comms Calendar'!$K$5:$K$504,$K472,'Comms Calendar'!$B$5:$B$504,$B472,'Comms Calendar'!$O$5:$O$504,$O472,'Comms Calendar'!$AE$5:$AE$504,"&lt;&gt;Cancelled")&gt;1,"Clash",""))</f>
        <v/>
      </c>
      <c r="AN472" s="27" t="str">
        <f aca="false">IF($O472="","",IF(IF($B472="Global",COUNTIF('Rules &amp; Guardrails'!$F$9:$F$60,$O472),COUNTIFS('Rules &amp; Guardrails'!$F$9:$F$60,$O472,'Rules &amp; Guardrails'!$G$9:$G$60,$B472)+COUNTIFS('Rules &amp; Guardrails'!$F$9:$F$60,$O472,'Rules &amp; Guardrails'!$G$9:$G$60,"Global"))&gt;0,"Blackout",""))</f>
        <v/>
      </c>
      <c r="AO472" s="6"/>
      <c r="AP472" s="25"/>
      <c r="AQ472" s="23"/>
      <c r="AR472" s="31" t="str">
        <f aca="false">IF($D472="","",IFERROR(VLOOKUP($D472,'Rules &amp; Guardrails'!$A$9:$D$24,2,0),"Other"))</f>
        <v/>
      </c>
      <c r="AS472" s="31" t="str">
        <f aca="false">IF($O472="","",$O472&amp;"|"&amp;$B472)</f>
        <v/>
      </c>
    </row>
    <row r="473" customFormat="false" ht="15" hidden="false" customHeight="false" outlineLevel="0" collapsed="false">
      <c r="A473" s="23"/>
      <c r="B473" s="23"/>
      <c r="C473" s="23"/>
      <c r="D473" s="23"/>
      <c r="E473" s="23"/>
      <c r="F473" s="23"/>
      <c r="G473" s="6"/>
      <c r="H473" s="6"/>
      <c r="I473" s="23"/>
      <c r="J473" s="23"/>
      <c r="K473" s="23"/>
      <c r="L473" s="6"/>
      <c r="M473" s="6"/>
      <c r="N473" s="24"/>
      <c r="O473" s="25"/>
      <c r="P473" s="23"/>
      <c r="Q473" s="23"/>
      <c r="R473" s="23"/>
      <c r="S473" s="23"/>
      <c r="T473" s="26" t="str">
        <f aca="false">IF(OR($O473="",$D473=""),"",WORKDAY($O473,-IFERROR(VLOOKUP($D473,'Rules &amp; Guardrails'!$A$9:$D$24,3,0),10)))</f>
        <v/>
      </c>
      <c r="U473" s="23"/>
      <c r="V473" s="23"/>
      <c r="W473" s="23"/>
      <c r="X473" s="6"/>
      <c r="Y473" s="23"/>
      <c r="Z473" s="23"/>
      <c r="AA473" s="23"/>
      <c r="AB473" s="23"/>
      <c r="AC473" s="23"/>
      <c r="AD473" s="23"/>
      <c r="AE473" s="23"/>
      <c r="AF473" s="27" t="str">
        <f aca="true">IF($O473="","",IF(OR($AE473="Cancelled",$AE473="On hold",$AE473="Launched"),$AE473,IF(AND($Y473="Approved",OR($Z473="Yes",$Z473="N/A"),OR($AA473="Yes",$AA473="N/A"),OR($AB473="No",$AB473="N/A",AND($AB473="Yes",$AD473="Yes"))),"Ready",IF($O473&lt;TODAY(),"Overdue",IF($O473-TODAY()&lt;='Rules &amp; Guardrails'!$C$5,"At Risk","In Progress")))))</f>
        <v/>
      </c>
      <c r="AG473" s="28" t="str">
        <f aca="false">IF($O473="","",IF(OR($AE473="Launched",$AE473="Cancelled"),"",MID(IF($Y473&lt;&gt;"Approved",", Content approval","")&amp;IF(NOT(OR($Z473="Yes",$Z473="N/A")),", Assets","")&amp;IF(NOT(OR($AA473="Yes",$AA473="N/A")),", List","")&amp;IF($AB473="",", Ops decision",IF(AND($AB473="Yes",$AD473&lt;&gt;"Yes"),", Ops",""))&amp;IF($U473="",", Owner","")&amp;IF($K473="",", Segment",""),3,200)))</f>
        <v/>
      </c>
      <c r="AH473" s="29" t="str">
        <f aca="true">IF($O473="","",$O473-TODAY())</f>
        <v/>
      </c>
      <c r="AI473" s="26" t="str">
        <f aca="false">IF($O473="","",$O473-WEEKDAY($O473,3))</f>
        <v/>
      </c>
      <c r="AJ473" s="30" t="str">
        <f aca="false">IF($O473="","",DATE(YEAR($O473),MONTH($O473),1))</f>
        <v/>
      </c>
      <c r="AK473" s="31" t="str">
        <f aca="false">IF(OR($O473="",$K473=""),"",COUNTIFS('Comms Calendar'!$K$5:$K$504,$K473,'Comms Calendar'!$B$5:$B$504,$B473,'Comms Calendar'!$AI$5:$AI$504,$AI473,'Comms Calendar'!$AE$5:$AE$504,"&lt;&gt;Cancelled"))</f>
        <v/>
      </c>
      <c r="AL473" s="27" t="str">
        <f aca="false">IF($AK473="","",IF($AK473&gt;'Rules &amp; Guardrails'!$C$3,"Over cap","OK"))</f>
        <v/>
      </c>
      <c r="AM473" s="27" t="str">
        <f aca="false">IF(OR($O473="",$K473=""),"",IF(COUNTIFS('Comms Calendar'!$K$5:$K$504,$K473,'Comms Calendar'!$B$5:$B$504,$B473,'Comms Calendar'!$O$5:$O$504,$O473,'Comms Calendar'!$AE$5:$AE$504,"&lt;&gt;Cancelled")&gt;1,"Clash",""))</f>
        <v/>
      </c>
      <c r="AN473" s="27" t="str">
        <f aca="false">IF($O473="","",IF(IF($B473="Global",COUNTIF('Rules &amp; Guardrails'!$F$9:$F$60,$O473),COUNTIFS('Rules &amp; Guardrails'!$F$9:$F$60,$O473,'Rules &amp; Guardrails'!$G$9:$G$60,$B473)+COUNTIFS('Rules &amp; Guardrails'!$F$9:$F$60,$O473,'Rules &amp; Guardrails'!$G$9:$G$60,"Global"))&gt;0,"Blackout",""))</f>
        <v/>
      </c>
      <c r="AO473" s="6"/>
      <c r="AP473" s="25"/>
      <c r="AQ473" s="23"/>
      <c r="AR473" s="31" t="str">
        <f aca="false">IF($D473="","",IFERROR(VLOOKUP($D473,'Rules &amp; Guardrails'!$A$9:$D$24,2,0),"Other"))</f>
        <v/>
      </c>
      <c r="AS473" s="31" t="str">
        <f aca="false">IF($O473="","",$O473&amp;"|"&amp;$B473)</f>
        <v/>
      </c>
    </row>
    <row r="474" customFormat="false" ht="15" hidden="false" customHeight="false" outlineLevel="0" collapsed="false">
      <c r="A474" s="23"/>
      <c r="B474" s="23"/>
      <c r="C474" s="23"/>
      <c r="D474" s="23"/>
      <c r="E474" s="23"/>
      <c r="F474" s="23"/>
      <c r="G474" s="6"/>
      <c r="H474" s="6"/>
      <c r="I474" s="23"/>
      <c r="J474" s="23"/>
      <c r="K474" s="23"/>
      <c r="L474" s="6"/>
      <c r="M474" s="6"/>
      <c r="N474" s="24"/>
      <c r="O474" s="25"/>
      <c r="P474" s="23"/>
      <c r="Q474" s="23"/>
      <c r="R474" s="23"/>
      <c r="S474" s="23"/>
      <c r="T474" s="26" t="str">
        <f aca="false">IF(OR($O474="",$D474=""),"",WORKDAY($O474,-IFERROR(VLOOKUP($D474,'Rules &amp; Guardrails'!$A$9:$D$24,3,0),10)))</f>
        <v/>
      </c>
      <c r="U474" s="23"/>
      <c r="V474" s="23"/>
      <c r="W474" s="23"/>
      <c r="X474" s="6"/>
      <c r="Y474" s="23"/>
      <c r="Z474" s="23"/>
      <c r="AA474" s="23"/>
      <c r="AB474" s="23"/>
      <c r="AC474" s="23"/>
      <c r="AD474" s="23"/>
      <c r="AE474" s="23"/>
      <c r="AF474" s="27" t="str">
        <f aca="true">IF($O474="","",IF(OR($AE474="Cancelled",$AE474="On hold",$AE474="Launched"),$AE474,IF(AND($Y474="Approved",OR($Z474="Yes",$Z474="N/A"),OR($AA474="Yes",$AA474="N/A"),OR($AB474="No",$AB474="N/A",AND($AB474="Yes",$AD474="Yes"))),"Ready",IF($O474&lt;TODAY(),"Overdue",IF($O474-TODAY()&lt;='Rules &amp; Guardrails'!$C$5,"At Risk","In Progress")))))</f>
        <v/>
      </c>
      <c r="AG474" s="28" t="str">
        <f aca="false">IF($O474="","",IF(OR($AE474="Launched",$AE474="Cancelled"),"",MID(IF($Y474&lt;&gt;"Approved",", Content approval","")&amp;IF(NOT(OR($Z474="Yes",$Z474="N/A")),", Assets","")&amp;IF(NOT(OR($AA474="Yes",$AA474="N/A")),", List","")&amp;IF($AB474="",", Ops decision",IF(AND($AB474="Yes",$AD474&lt;&gt;"Yes"),", Ops",""))&amp;IF($U474="",", Owner","")&amp;IF($K474="",", Segment",""),3,200)))</f>
        <v/>
      </c>
      <c r="AH474" s="29" t="str">
        <f aca="true">IF($O474="","",$O474-TODAY())</f>
        <v/>
      </c>
      <c r="AI474" s="26" t="str">
        <f aca="false">IF($O474="","",$O474-WEEKDAY($O474,3))</f>
        <v/>
      </c>
      <c r="AJ474" s="30" t="str">
        <f aca="false">IF($O474="","",DATE(YEAR($O474),MONTH($O474),1))</f>
        <v/>
      </c>
      <c r="AK474" s="31" t="str">
        <f aca="false">IF(OR($O474="",$K474=""),"",COUNTIFS('Comms Calendar'!$K$5:$K$504,$K474,'Comms Calendar'!$B$5:$B$504,$B474,'Comms Calendar'!$AI$5:$AI$504,$AI474,'Comms Calendar'!$AE$5:$AE$504,"&lt;&gt;Cancelled"))</f>
        <v/>
      </c>
      <c r="AL474" s="27" t="str">
        <f aca="false">IF($AK474="","",IF($AK474&gt;'Rules &amp; Guardrails'!$C$3,"Over cap","OK"))</f>
        <v/>
      </c>
      <c r="AM474" s="27" t="str">
        <f aca="false">IF(OR($O474="",$K474=""),"",IF(COUNTIFS('Comms Calendar'!$K$5:$K$504,$K474,'Comms Calendar'!$B$5:$B$504,$B474,'Comms Calendar'!$O$5:$O$504,$O474,'Comms Calendar'!$AE$5:$AE$504,"&lt;&gt;Cancelled")&gt;1,"Clash",""))</f>
        <v/>
      </c>
      <c r="AN474" s="27" t="str">
        <f aca="false">IF($O474="","",IF(IF($B474="Global",COUNTIF('Rules &amp; Guardrails'!$F$9:$F$60,$O474),COUNTIFS('Rules &amp; Guardrails'!$F$9:$F$60,$O474,'Rules &amp; Guardrails'!$G$9:$G$60,$B474)+COUNTIFS('Rules &amp; Guardrails'!$F$9:$F$60,$O474,'Rules &amp; Guardrails'!$G$9:$G$60,"Global"))&gt;0,"Blackout",""))</f>
        <v/>
      </c>
      <c r="AO474" s="6"/>
      <c r="AP474" s="25"/>
      <c r="AQ474" s="23"/>
      <c r="AR474" s="31" t="str">
        <f aca="false">IF($D474="","",IFERROR(VLOOKUP($D474,'Rules &amp; Guardrails'!$A$9:$D$24,2,0),"Other"))</f>
        <v/>
      </c>
      <c r="AS474" s="31" t="str">
        <f aca="false">IF($O474="","",$O474&amp;"|"&amp;$B474)</f>
        <v/>
      </c>
    </row>
    <row r="475" customFormat="false" ht="15" hidden="false" customHeight="false" outlineLevel="0" collapsed="false">
      <c r="A475" s="23"/>
      <c r="B475" s="23"/>
      <c r="C475" s="23"/>
      <c r="D475" s="23"/>
      <c r="E475" s="23"/>
      <c r="F475" s="23"/>
      <c r="G475" s="6"/>
      <c r="H475" s="6"/>
      <c r="I475" s="23"/>
      <c r="J475" s="23"/>
      <c r="K475" s="23"/>
      <c r="L475" s="6"/>
      <c r="M475" s="6"/>
      <c r="N475" s="24"/>
      <c r="O475" s="25"/>
      <c r="P475" s="23"/>
      <c r="Q475" s="23"/>
      <c r="R475" s="23"/>
      <c r="S475" s="23"/>
      <c r="T475" s="26" t="str">
        <f aca="false">IF(OR($O475="",$D475=""),"",WORKDAY($O475,-IFERROR(VLOOKUP($D475,'Rules &amp; Guardrails'!$A$9:$D$24,3,0),10)))</f>
        <v/>
      </c>
      <c r="U475" s="23"/>
      <c r="V475" s="23"/>
      <c r="W475" s="23"/>
      <c r="X475" s="6"/>
      <c r="Y475" s="23"/>
      <c r="Z475" s="23"/>
      <c r="AA475" s="23"/>
      <c r="AB475" s="23"/>
      <c r="AC475" s="23"/>
      <c r="AD475" s="23"/>
      <c r="AE475" s="23"/>
      <c r="AF475" s="27" t="str">
        <f aca="true">IF($O475="","",IF(OR($AE475="Cancelled",$AE475="On hold",$AE475="Launched"),$AE475,IF(AND($Y475="Approved",OR($Z475="Yes",$Z475="N/A"),OR($AA475="Yes",$AA475="N/A"),OR($AB475="No",$AB475="N/A",AND($AB475="Yes",$AD475="Yes"))),"Ready",IF($O475&lt;TODAY(),"Overdue",IF($O475-TODAY()&lt;='Rules &amp; Guardrails'!$C$5,"At Risk","In Progress")))))</f>
        <v/>
      </c>
      <c r="AG475" s="28" t="str">
        <f aca="false">IF($O475="","",IF(OR($AE475="Launched",$AE475="Cancelled"),"",MID(IF($Y475&lt;&gt;"Approved",", Content approval","")&amp;IF(NOT(OR($Z475="Yes",$Z475="N/A")),", Assets","")&amp;IF(NOT(OR($AA475="Yes",$AA475="N/A")),", List","")&amp;IF($AB475="",", Ops decision",IF(AND($AB475="Yes",$AD475&lt;&gt;"Yes"),", Ops",""))&amp;IF($U475="",", Owner","")&amp;IF($K475="",", Segment",""),3,200)))</f>
        <v/>
      </c>
      <c r="AH475" s="29" t="str">
        <f aca="true">IF($O475="","",$O475-TODAY())</f>
        <v/>
      </c>
      <c r="AI475" s="26" t="str">
        <f aca="false">IF($O475="","",$O475-WEEKDAY($O475,3))</f>
        <v/>
      </c>
      <c r="AJ475" s="30" t="str">
        <f aca="false">IF($O475="","",DATE(YEAR($O475),MONTH($O475),1))</f>
        <v/>
      </c>
      <c r="AK475" s="31" t="str">
        <f aca="false">IF(OR($O475="",$K475=""),"",COUNTIFS('Comms Calendar'!$K$5:$K$504,$K475,'Comms Calendar'!$B$5:$B$504,$B475,'Comms Calendar'!$AI$5:$AI$504,$AI475,'Comms Calendar'!$AE$5:$AE$504,"&lt;&gt;Cancelled"))</f>
        <v/>
      </c>
      <c r="AL475" s="27" t="str">
        <f aca="false">IF($AK475="","",IF($AK475&gt;'Rules &amp; Guardrails'!$C$3,"Over cap","OK"))</f>
        <v/>
      </c>
      <c r="AM475" s="27" t="str">
        <f aca="false">IF(OR($O475="",$K475=""),"",IF(COUNTIFS('Comms Calendar'!$K$5:$K$504,$K475,'Comms Calendar'!$B$5:$B$504,$B475,'Comms Calendar'!$O$5:$O$504,$O475,'Comms Calendar'!$AE$5:$AE$504,"&lt;&gt;Cancelled")&gt;1,"Clash",""))</f>
        <v/>
      </c>
      <c r="AN475" s="27" t="str">
        <f aca="false">IF($O475="","",IF(IF($B475="Global",COUNTIF('Rules &amp; Guardrails'!$F$9:$F$60,$O475),COUNTIFS('Rules &amp; Guardrails'!$F$9:$F$60,$O475,'Rules &amp; Guardrails'!$G$9:$G$60,$B475)+COUNTIFS('Rules &amp; Guardrails'!$F$9:$F$60,$O475,'Rules &amp; Guardrails'!$G$9:$G$60,"Global"))&gt;0,"Blackout",""))</f>
        <v/>
      </c>
      <c r="AO475" s="6"/>
      <c r="AP475" s="25"/>
      <c r="AQ475" s="23"/>
      <c r="AR475" s="31" t="str">
        <f aca="false">IF($D475="","",IFERROR(VLOOKUP($D475,'Rules &amp; Guardrails'!$A$9:$D$24,2,0),"Other"))</f>
        <v/>
      </c>
      <c r="AS475" s="31" t="str">
        <f aca="false">IF($O475="","",$O475&amp;"|"&amp;$B475)</f>
        <v/>
      </c>
    </row>
    <row r="476" customFormat="false" ht="15" hidden="false" customHeight="false" outlineLevel="0" collapsed="false">
      <c r="A476" s="23"/>
      <c r="B476" s="23"/>
      <c r="C476" s="23"/>
      <c r="D476" s="23"/>
      <c r="E476" s="23"/>
      <c r="F476" s="23"/>
      <c r="G476" s="6"/>
      <c r="H476" s="6"/>
      <c r="I476" s="23"/>
      <c r="J476" s="23"/>
      <c r="K476" s="23"/>
      <c r="L476" s="6"/>
      <c r="M476" s="6"/>
      <c r="N476" s="24"/>
      <c r="O476" s="25"/>
      <c r="P476" s="23"/>
      <c r="Q476" s="23"/>
      <c r="R476" s="23"/>
      <c r="S476" s="23"/>
      <c r="T476" s="26" t="str">
        <f aca="false">IF(OR($O476="",$D476=""),"",WORKDAY($O476,-IFERROR(VLOOKUP($D476,'Rules &amp; Guardrails'!$A$9:$D$24,3,0),10)))</f>
        <v/>
      </c>
      <c r="U476" s="23"/>
      <c r="V476" s="23"/>
      <c r="W476" s="23"/>
      <c r="X476" s="6"/>
      <c r="Y476" s="23"/>
      <c r="Z476" s="23"/>
      <c r="AA476" s="23"/>
      <c r="AB476" s="23"/>
      <c r="AC476" s="23"/>
      <c r="AD476" s="23"/>
      <c r="AE476" s="23"/>
      <c r="AF476" s="27" t="str">
        <f aca="true">IF($O476="","",IF(OR($AE476="Cancelled",$AE476="On hold",$AE476="Launched"),$AE476,IF(AND($Y476="Approved",OR($Z476="Yes",$Z476="N/A"),OR($AA476="Yes",$AA476="N/A"),OR($AB476="No",$AB476="N/A",AND($AB476="Yes",$AD476="Yes"))),"Ready",IF($O476&lt;TODAY(),"Overdue",IF($O476-TODAY()&lt;='Rules &amp; Guardrails'!$C$5,"At Risk","In Progress")))))</f>
        <v/>
      </c>
      <c r="AG476" s="28" t="str">
        <f aca="false">IF($O476="","",IF(OR($AE476="Launched",$AE476="Cancelled"),"",MID(IF($Y476&lt;&gt;"Approved",", Content approval","")&amp;IF(NOT(OR($Z476="Yes",$Z476="N/A")),", Assets","")&amp;IF(NOT(OR($AA476="Yes",$AA476="N/A")),", List","")&amp;IF($AB476="",", Ops decision",IF(AND($AB476="Yes",$AD476&lt;&gt;"Yes"),", Ops",""))&amp;IF($U476="",", Owner","")&amp;IF($K476="",", Segment",""),3,200)))</f>
        <v/>
      </c>
      <c r="AH476" s="29" t="str">
        <f aca="true">IF($O476="","",$O476-TODAY())</f>
        <v/>
      </c>
      <c r="AI476" s="26" t="str">
        <f aca="false">IF($O476="","",$O476-WEEKDAY($O476,3))</f>
        <v/>
      </c>
      <c r="AJ476" s="30" t="str">
        <f aca="false">IF($O476="","",DATE(YEAR($O476),MONTH($O476),1))</f>
        <v/>
      </c>
      <c r="AK476" s="31" t="str">
        <f aca="false">IF(OR($O476="",$K476=""),"",COUNTIFS('Comms Calendar'!$K$5:$K$504,$K476,'Comms Calendar'!$B$5:$B$504,$B476,'Comms Calendar'!$AI$5:$AI$504,$AI476,'Comms Calendar'!$AE$5:$AE$504,"&lt;&gt;Cancelled"))</f>
        <v/>
      </c>
      <c r="AL476" s="27" t="str">
        <f aca="false">IF($AK476="","",IF($AK476&gt;'Rules &amp; Guardrails'!$C$3,"Over cap","OK"))</f>
        <v/>
      </c>
      <c r="AM476" s="27" t="str">
        <f aca="false">IF(OR($O476="",$K476=""),"",IF(COUNTIFS('Comms Calendar'!$K$5:$K$504,$K476,'Comms Calendar'!$B$5:$B$504,$B476,'Comms Calendar'!$O$5:$O$504,$O476,'Comms Calendar'!$AE$5:$AE$504,"&lt;&gt;Cancelled")&gt;1,"Clash",""))</f>
        <v/>
      </c>
      <c r="AN476" s="27" t="str">
        <f aca="false">IF($O476="","",IF(IF($B476="Global",COUNTIF('Rules &amp; Guardrails'!$F$9:$F$60,$O476),COUNTIFS('Rules &amp; Guardrails'!$F$9:$F$60,$O476,'Rules &amp; Guardrails'!$G$9:$G$60,$B476)+COUNTIFS('Rules &amp; Guardrails'!$F$9:$F$60,$O476,'Rules &amp; Guardrails'!$G$9:$G$60,"Global"))&gt;0,"Blackout",""))</f>
        <v/>
      </c>
      <c r="AO476" s="6"/>
      <c r="AP476" s="25"/>
      <c r="AQ476" s="23"/>
      <c r="AR476" s="31" t="str">
        <f aca="false">IF($D476="","",IFERROR(VLOOKUP($D476,'Rules &amp; Guardrails'!$A$9:$D$24,2,0),"Other"))</f>
        <v/>
      </c>
      <c r="AS476" s="31" t="str">
        <f aca="false">IF($O476="","",$O476&amp;"|"&amp;$B476)</f>
        <v/>
      </c>
    </row>
    <row r="477" customFormat="false" ht="15" hidden="false" customHeight="false" outlineLevel="0" collapsed="false">
      <c r="A477" s="23"/>
      <c r="B477" s="23"/>
      <c r="C477" s="23"/>
      <c r="D477" s="23"/>
      <c r="E477" s="23"/>
      <c r="F477" s="23"/>
      <c r="G477" s="6"/>
      <c r="H477" s="6"/>
      <c r="I477" s="23"/>
      <c r="J477" s="23"/>
      <c r="K477" s="23"/>
      <c r="L477" s="6"/>
      <c r="M477" s="6"/>
      <c r="N477" s="24"/>
      <c r="O477" s="25"/>
      <c r="P477" s="23"/>
      <c r="Q477" s="23"/>
      <c r="R477" s="23"/>
      <c r="S477" s="23"/>
      <c r="T477" s="26" t="str">
        <f aca="false">IF(OR($O477="",$D477=""),"",WORKDAY($O477,-IFERROR(VLOOKUP($D477,'Rules &amp; Guardrails'!$A$9:$D$24,3,0),10)))</f>
        <v/>
      </c>
      <c r="U477" s="23"/>
      <c r="V477" s="23"/>
      <c r="W477" s="23"/>
      <c r="X477" s="6"/>
      <c r="Y477" s="23"/>
      <c r="Z477" s="23"/>
      <c r="AA477" s="23"/>
      <c r="AB477" s="23"/>
      <c r="AC477" s="23"/>
      <c r="AD477" s="23"/>
      <c r="AE477" s="23"/>
      <c r="AF477" s="27" t="str">
        <f aca="true">IF($O477="","",IF(OR($AE477="Cancelled",$AE477="On hold",$AE477="Launched"),$AE477,IF(AND($Y477="Approved",OR($Z477="Yes",$Z477="N/A"),OR($AA477="Yes",$AA477="N/A"),OR($AB477="No",$AB477="N/A",AND($AB477="Yes",$AD477="Yes"))),"Ready",IF($O477&lt;TODAY(),"Overdue",IF($O477-TODAY()&lt;='Rules &amp; Guardrails'!$C$5,"At Risk","In Progress")))))</f>
        <v/>
      </c>
      <c r="AG477" s="28" t="str">
        <f aca="false">IF($O477="","",IF(OR($AE477="Launched",$AE477="Cancelled"),"",MID(IF($Y477&lt;&gt;"Approved",", Content approval","")&amp;IF(NOT(OR($Z477="Yes",$Z477="N/A")),", Assets","")&amp;IF(NOT(OR($AA477="Yes",$AA477="N/A")),", List","")&amp;IF($AB477="",", Ops decision",IF(AND($AB477="Yes",$AD477&lt;&gt;"Yes"),", Ops",""))&amp;IF($U477="",", Owner","")&amp;IF($K477="",", Segment",""),3,200)))</f>
        <v/>
      </c>
      <c r="AH477" s="29" t="str">
        <f aca="true">IF($O477="","",$O477-TODAY())</f>
        <v/>
      </c>
      <c r="AI477" s="26" t="str">
        <f aca="false">IF($O477="","",$O477-WEEKDAY($O477,3))</f>
        <v/>
      </c>
      <c r="AJ477" s="30" t="str">
        <f aca="false">IF($O477="","",DATE(YEAR($O477),MONTH($O477),1))</f>
        <v/>
      </c>
      <c r="AK477" s="31" t="str">
        <f aca="false">IF(OR($O477="",$K477=""),"",COUNTIFS('Comms Calendar'!$K$5:$K$504,$K477,'Comms Calendar'!$B$5:$B$504,$B477,'Comms Calendar'!$AI$5:$AI$504,$AI477,'Comms Calendar'!$AE$5:$AE$504,"&lt;&gt;Cancelled"))</f>
        <v/>
      </c>
      <c r="AL477" s="27" t="str">
        <f aca="false">IF($AK477="","",IF($AK477&gt;'Rules &amp; Guardrails'!$C$3,"Over cap","OK"))</f>
        <v/>
      </c>
      <c r="AM477" s="27" t="str">
        <f aca="false">IF(OR($O477="",$K477=""),"",IF(COUNTIFS('Comms Calendar'!$K$5:$K$504,$K477,'Comms Calendar'!$B$5:$B$504,$B477,'Comms Calendar'!$O$5:$O$504,$O477,'Comms Calendar'!$AE$5:$AE$504,"&lt;&gt;Cancelled")&gt;1,"Clash",""))</f>
        <v/>
      </c>
      <c r="AN477" s="27" t="str">
        <f aca="false">IF($O477="","",IF(IF($B477="Global",COUNTIF('Rules &amp; Guardrails'!$F$9:$F$60,$O477),COUNTIFS('Rules &amp; Guardrails'!$F$9:$F$60,$O477,'Rules &amp; Guardrails'!$G$9:$G$60,$B477)+COUNTIFS('Rules &amp; Guardrails'!$F$9:$F$60,$O477,'Rules &amp; Guardrails'!$G$9:$G$60,"Global"))&gt;0,"Blackout",""))</f>
        <v/>
      </c>
      <c r="AO477" s="6"/>
      <c r="AP477" s="25"/>
      <c r="AQ477" s="23"/>
      <c r="AR477" s="31" t="str">
        <f aca="false">IF($D477="","",IFERROR(VLOOKUP($D477,'Rules &amp; Guardrails'!$A$9:$D$24,2,0),"Other"))</f>
        <v/>
      </c>
      <c r="AS477" s="31" t="str">
        <f aca="false">IF($O477="","",$O477&amp;"|"&amp;$B477)</f>
        <v/>
      </c>
    </row>
    <row r="478" customFormat="false" ht="15" hidden="false" customHeight="false" outlineLevel="0" collapsed="false">
      <c r="A478" s="23"/>
      <c r="B478" s="23"/>
      <c r="C478" s="23"/>
      <c r="D478" s="23"/>
      <c r="E478" s="23"/>
      <c r="F478" s="23"/>
      <c r="G478" s="6"/>
      <c r="H478" s="6"/>
      <c r="I478" s="23"/>
      <c r="J478" s="23"/>
      <c r="K478" s="23"/>
      <c r="L478" s="6"/>
      <c r="M478" s="6"/>
      <c r="N478" s="24"/>
      <c r="O478" s="25"/>
      <c r="P478" s="23"/>
      <c r="Q478" s="23"/>
      <c r="R478" s="23"/>
      <c r="S478" s="23"/>
      <c r="T478" s="26" t="str">
        <f aca="false">IF(OR($O478="",$D478=""),"",WORKDAY($O478,-IFERROR(VLOOKUP($D478,'Rules &amp; Guardrails'!$A$9:$D$24,3,0),10)))</f>
        <v/>
      </c>
      <c r="U478" s="23"/>
      <c r="V478" s="23"/>
      <c r="W478" s="23"/>
      <c r="X478" s="6"/>
      <c r="Y478" s="23"/>
      <c r="Z478" s="23"/>
      <c r="AA478" s="23"/>
      <c r="AB478" s="23"/>
      <c r="AC478" s="23"/>
      <c r="AD478" s="23"/>
      <c r="AE478" s="23"/>
      <c r="AF478" s="27" t="str">
        <f aca="true">IF($O478="","",IF(OR($AE478="Cancelled",$AE478="On hold",$AE478="Launched"),$AE478,IF(AND($Y478="Approved",OR($Z478="Yes",$Z478="N/A"),OR($AA478="Yes",$AA478="N/A"),OR($AB478="No",$AB478="N/A",AND($AB478="Yes",$AD478="Yes"))),"Ready",IF($O478&lt;TODAY(),"Overdue",IF($O478-TODAY()&lt;='Rules &amp; Guardrails'!$C$5,"At Risk","In Progress")))))</f>
        <v/>
      </c>
      <c r="AG478" s="28" t="str">
        <f aca="false">IF($O478="","",IF(OR($AE478="Launched",$AE478="Cancelled"),"",MID(IF($Y478&lt;&gt;"Approved",", Content approval","")&amp;IF(NOT(OR($Z478="Yes",$Z478="N/A")),", Assets","")&amp;IF(NOT(OR($AA478="Yes",$AA478="N/A")),", List","")&amp;IF($AB478="",", Ops decision",IF(AND($AB478="Yes",$AD478&lt;&gt;"Yes"),", Ops",""))&amp;IF($U478="",", Owner","")&amp;IF($K478="",", Segment",""),3,200)))</f>
        <v/>
      </c>
      <c r="AH478" s="29" t="str">
        <f aca="true">IF($O478="","",$O478-TODAY())</f>
        <v/>
      </c>
      <c r="AI478" s="26" t="str">
        <f aca="false">IF($O478="","",$O478-WEEKDAY($O478,3))</f>
        <v/>
      </c>
      <c r="AJ478" s="30" t="str">
        <f aca="false">IF($O478="","",DATE(YEAR($O478),MONTH($O478),1))</f>
        <v/>
      </c>
      <c r="AK478" s="31" t="str">
        <f aca="false">IF(OR($O478="",$K478=""),"",COUNTIFS('Comms Calendar'!$K$5:$K$504,$K478,'Comms Calendar'!$B$5:$B$504,$B478,'Comms Calendar'!$AI$5:$AI$504,$AI478,'Comms Calendar'!$AE$5:$AE$504,"&lt;&gt;Cancelled"))</f>
        <v/>
      </c>
      <c r="AL478" s="27" t="str">
        <f aca="false">IF($AK478="","",IF($AK478&gt;'Rules &amp; Guardrails'!$C$3,"Over cap","OK"))</f>
        <v/>
      </c>
      <c r="AM478" s="27" t="str">
        <f aca="false">IF(OR($O478="",$K478=""),"",IF(COUNTIFS('Comms Calendar'!$K$5:$K$504,$K478,'Comms Calendar'!$B$5:$B$504,$B478,'Comms Calendar'!$O$5:$O$504,$O478,'Comms Calendar'!$AE$5:$AE$504,"&lt;&gt;Cancelled")&gt;1,"Clash",""))</f>
        <v/>
      </c>
      <c r="AN478" s="27" t="str">
        <f aca="false">IF($O478="","",IF(IF($B478="Global",COUNTIF('Rules &amp; Guardrails'!$F$9:$F$60,$O478),COUNTIFS('Rules &amp; Guardrails'!$F$9:$F$60,$O478,'Rules &amp; Guardrails'!$G$9:$G$60,$B478)+COUNTIFS('Rules &amp; Guardrails'!$F$9:$F$60,$O478,'Rules &amp; Guardrails'!$G$9:$G$60,"Global"))&gt;0,"Blackout",""))</f>
        <v/>
      </c>
      <c r="AO478" s="6"/>
      <c r="AP478" s="25"/>
      <c r="AQ478" s="23"/>
      <c r="AR478" s="31" t="str">
        <f aca="false">IF($D478="","",IFERROR(VLOOKUP($D478,'Rules &amp; Guardrails'!$A$9:$D$24,2,0),"Other"))</f>
        <v/>
      </c>
      <c r="AS478" s="31" t="str">
        <f aca="false">IF($O478="","",$O478&amp;"|"&amp;$B478)</f>
        <v/>
      </c>
    </row>
    <row r="479" customFormat="false" ht="15" hidden="false" customHeight="false" outlineLevel="0" collapsed="false">
      <c r="A479" s="23"/>
      <c r="B479" s="23"/>
      <c r="C479" s="23"/>
      <c r="D479" s="23"/>
      <c r="E479" s="23"/>
      <c r="F479" s="23"/>
      <c r="G479" s="6"/>
      <c r="H479" s="6"/>
      <c r="I479" s="23"/>
      <c r="J479" s="23"/>
      <c r="K479" s="23"/>
      <c r="L479" s="6"/>
      <c r="M479" s="6"/>
      <c r="N479" s="24"/>
      <c r="O479" s="25"/>
      <c r="P479" s="23"/>
      <c r="Q479" s="23"/>
      <c r="R479" s="23"/>
      <c r="S479" s="23"/>
      <c r="T479" s="26" t="str">
        <f aca="false">IF(OR($O479="",$D479=""),"",WORKDAY($O479,-IFERROR(VLOOKUP($D479,'Rules &amp; Guardrails'!$A$9:$D$24,3,0),10)))</f>
        <v/>
      </c>
      <c r="U479" s="23"/>
      <c r="V479" s="23"/>
      <c r="W479" s="23"/>
      <c r="X479" s="6"/>
      <c r="Y479" s="23"/>
      <c r="Z479" s="23"/>
      <c r="AA479" s="23"/>
      <c r="AB479" s="23"/>
      <c r="AC479" s="23"/>
      <c r="AD479" s="23"/>
      <c r="AE479" s="23"/>
      <c r="AF479" s="27" t="str">
        <f aca="true">IF($O479="","",IF(OR($AE479="Cancelled",$AE479="On hold",$AE479="Launched"),$AE479,IF(AND($Y479="Approved",OR($Z479="Yes",$Z479="N/A"),OR($AA479="Yes",$AA479="N/A"),OR($AB479="No",$AB479="N/A",AND($AB479="Yes",$AD479="Yes"))),"Ready",IF($O479&lt;TODAY(),"Overdue",IF($O479-TODAY()&lt;='Rules &amp; Guardrails'!$C$5,"At Risk","In Progress")))))</f>
        <v/>
      </c>
      <c r="AG479" s="28" t="str">
        <f aca="false">IF($O479="","",IF(OR($AE479="Launched",$AE479="Cancelled"),"",MID(IF($Y479&lt;&gt;"Approved",", Content approval","")&amp;IF(NOT(OR($Z479="Yes",$Z479="N/A")),", Assets","")&amp;IF(NOT(OR($AA479="Yes",$AA479="N/A")),", List","")&amp;IF($AB479="",", Ops decision",IF(AND($AB479="Yes",$AD479&lt;&gt;"Yes"),", Ops",""))&amp;IF($U479="",", Owner","")&amp;IF($K479="",", Segment",""),3,200)))</f>
        <v/>
      </c>
      <c r="AH479" s="29" t="str">
        <f aca="true">IF($O479="","",$O479-TODAY())</f>
        <v/>
      </c>
      <c r="AI479" s="26" t="str">
        <f aca="false">IF($O479="","",$O479-WEEKDAY($O479,3))</f>
        <v/>
      </c>
      <c r="AJ479" s="30" t="str">
        <f aca="false">IF($O479="","",DATE(YEAR($O479),MONTH($O479),1))</f>
        <v/>
      </c>
      <c r="AK479" s="31" t="str">
        <f aca="false">IF(OR($O479="",$K479=""),"",COUNTIFS('Comms Calendar'!$K$5:$K$504,$K479,'Comms Calendar'!$B$5:$B$504,$B479,'Comms Calendar'!$AI$5:$AI$504,$AI479,'Comms Calendar'!$AE$5:$AE$504,"&lt;&gt;Cancelled"))</f>
        <v/>
      </c>
      <c r="AL479" s="27" t="str">
        <f aca="false">IF($AK479="","",IF($AK479&gt;'Rules &amp; Guardrails'!$C$3,"Over cap","OK"))</f>
        <v/>
      </c>
      <c r="AM479" s="27" t="str">
        <f aca="false">IF(OR($O479="",$K479=""),"",IF(COUNTIFS('Comms Calendar'!$K$5:$K$504,$K479,'Comms Calendar'!$B$5:$B$504,$B479,'Comms Calendar'!$O$5:$O$504,$O479,'Comms Calendar'!$AE$5:$AE$504,"&lt;&gt;Cancelled")&gt;1,"Clash",""))</f>
        <v/>
      </c>
      <c r="AN479" s="27" t="str">
        <f aca="false">IF($O479="","",IF(IF($B479="Global",COUNTIF('Rules &amp; Guardrails'!$F$9:$F$60,$O479),COUNTIFS('Rules &amp; Guardrails'!$F$9:$F$60,$O479,'Rules &amp; Guardrails'!$G$9:$G$60,$B479)+COUNTIFS('Rules &amp; Guardrails'!$F$9:$F$60,$O479,'Rules &amp; Guardrails'!$G$9:$G$60,"Global"))&gt;0,"Blackout",""))</f>
        <v/>
      </c>
      <c r="AO479" s="6"/>
      <c r="AP479" s="25"/>
      <c r="AQ479" s="23"/>
      <c r="AR479" s="31" t="str">
        <f aca="false">IF($D479="","",IFERROR(VLOOKUP($D479,'Rules &amp; Guardrails'!$A$9:$D$24,2,0),"Other"))</f>
        <v/>
      </c>
      <c r="AS479" s="31" t="str">
        <f aca="false">IF($O479="","",$O479&amp;"|"&amp;$B479)</f>
        <v/>
      </c>
    </row>
    <row r="480" customFormat="false" ht="15" hidden="false" customHeight="false" outlineLevel="0" collapsed="false">
      <c r="A480" s="23"/>
      <c r="B480" s="23"/>
      <c r="C480" s="23"/>
      <c r="D480" s="23"/>
      <c r="E480" s="23"/>
      <c r="F480" s="23"/>
      <c r="G480" s="6"/>
      <c r="H480" s="6"/>
      <c r="I480" s="23"/>
      <c r="J480" s="23"/>
      <c r="K480" s="23"/>
      <c r="L480" s="6"/>
      <c r="M480" s="6"/>
      <c r="N480" s="24"/>
      <c r="O480" s="25"/>
      <c r="P480" s="23"/>
      <c r="Q480" s="23"/>
      <c r="R480" s="23"/>
      <c r="S480" s="23"/>
      <c r="T480" s="26" t="str">
        <f aca="false">IF(OR($O480="",$D480=""),"",WORKDAY($O480,-IFERROR(VLOOKUP($D480,'Rules &amp; Guardrails'!$A$9:$D$24,3,0),10)))</f>
        <v/>
      </c>
      <c r="U480" s="23"/>
      <c r="V480" s="23"/>
      <c r="W480" s="23"/>
      <c r="X480" s="6"/>
      <c r="Y480" s="23"/>
      <c r="Z480" s="23"/>
      <c r="AA480" s="23"/>
      <c r="AB480" s="23"/>
      <c r="AC480" s="23"/>
      <c r="AD480" s="23"/>
      <c r="AE480" s="23"/>
      <c r="AF480" s="27" t="str">
        <f aca="true">IF($O480="","",IF(OR($AE480="Cancelled",$AE480="On hold",$AE480="Launched"),$AE480,IF(AND($Y480="Approved",OR($Z480="Yes",$Z480="N/A"),OR($AA480="Yes",$AA480="N/A"),OR($AB480="No",$AB480="N/A",AND($AB480="Yes",$AD480="Yes"))),"Ready",IF($O480&lt;TODAY(),"Overdue",IF($O480-TODAY()&lt;='Rules &amp; Guardrails'!$C$5,"At Risk","In Progress")))))</f>
        <v/>
      </c>
      <c r="AG480" s="28" t="str">
        <f aca="false">IF($O480="","",IF(OR($AE480="Launched",$AE480="Cancelled"),"",MID(IF($Y480&lt;&gt;"Approved",", Content approval","")&amp;IF(NOT(OR($Z480="Yes",$Z480="N/A")),", Assets","")&amp;IF(NOT(OR($AA480="Yes",$AA480="N/A")),", List","")&amp;IF($AB480="",", Ops decision",IF(AND($AB480="Yes",$AD480&lt;&gt;"Yes"),", Ops",""))&amp;IF($U480="",", Owner","")&amp;IF($K480="",", Segment",""),3,200)))</f>
        <v/>
      </c>
      <c r="AH480" s="29" t="str">
        <f aca="true">IF($O480="","",$O480-TODAY())</f>
        <v/>
      </c>
      <c r="AI480" s="26" t="str">
        <f aca="false">IF($O480="","",$O480-WEEKDAY($O480,3))</f>
        <v/>
      </c>
      <c r="AJ480" s="30" t="str">
        <f aca="false">IF($O480="","",DATE(YEAR($O480),MONTH($O480),1))</f>
        <v/>
      </c>
      <c r="AK480" s="31" t="str">
        <f aca="false">IF(OR($O480="",$K480=""),"",COUNTIFS('Comms Calendar'!$K$5:$K$504,$K480,'Comms Calendar'!$B$5:$B$504,$B480,'Comms Calendar'!$AI$5:$AI$504,$AI480,'Comms Calendar'!$AE$5:$AE$504,"&lt;&gt;Cancelled"))</f>
        <v/>
      </c>
      <c r="AL480" s="27" t="str">
        <f aca="false">IF($AK480="","",IF($AK480&gt;'Rules &amp; Guardrails'!$C$3,"Over cap","OK"))</f>
        <v/>
      </c>
      <c r="AM480" s="27" t="str">
        <f aca="false">IF(OR($O480="",$K480=""),"",IF(COUNTIFS('Comms Calendar'!$K$5:$K$504,$K480,'Comms Calendar'!$B$5:$B$504,$B480,'Comms Calendar'!$O$5:$O$504,$O480,'Comms Calendar'!$AE$5:$AE$504,"&lt;&gt;Cancelled")&gt;1,"Clash",""))</f>
        <v/>
      </c>
      <c r="AN480" s="27" t="str">
        <f aca="false">IF($O480="","",IF(IF($B480="Global",COUNTIF('Rules &amp; Guardrails'!$F$9:$F$60,$O480),COUNTIFS('Rules &amp; Guardrails'!$F$9:$F$60,$O480,'Rules &amp; Guardrails'!$G$9:$G$60,$B480)+COUNTIFS('Rules &amp; Guardrails'!$F$9:$F$60,$O480,'Rules &amp; Guardrails'!$G$9:$G$60,"Global"))&gt;0,"Blackout",""))</f>
        <v/>
      </c>
      <c r="AO480" s="6"/>
      <c r="AP480" s="25"/>
      <c r="AQ480" s="23"/>
      <c r="AR480" s="31" t="str">
        <f aca="false">IF($D480="","",IFERROR(VLOOKUP($D480,'Rules &amp; Guardrails'!$A$9:$D$24,2,0),"Other"))</f>
        <v/>
      </c>
      <c r="AS480" s="31" t="str">
        <f aca="false">IF($O480="","",$O480&amp;"|"&amp;$B480)</f>
        <v/>
      </c>
    </row>
    <row r="481" customFormat="false" ht="15" hidden="false" customHeight="false" outlineLevel="0" collapsed="false">
      <c r="A481" s="23"/>
      <c r="B481" s="23"/>
      <c r="C481" s="23"/>
      <c r="D481" s="23"/>
      <c r="E481" s="23"/>
      <c r="F481" s="23"/>
      <c r="G481" s="6"/>
      <c r="H481" s="6"/>
      <c r="I481" s="23"/>
      <c r="J481" s="23"/>
      <c r="K481" s="23"/>
      <c r="L481" s="6"/>
      <c r="M481" s="6"/>
      <c r="N481" s="24"/>
      <c r="O481" s="25"/>
      <c r="P481" s="23"/>
      <c r="Q481" s="23"/>
      <c r="R481" s="23"/>
      <c r="S481" s="23"/>
      <c r="T481" s="26" t="str">
        <f aca="false">IF(OR($O481="",$D481=""),"",WORKDAY($O481,-IFERROR(VLOOKUP($D481,'Rules &amp; Guardrails'!$A$9:$D$24,3,0),10)))</f>
        <v/>
      </c>
      <c r="U481" s="23"/>
      <c r="V481" s="23"/>
      <c r="W481" s="23"/>
      <c r="X481" s="6"/>
      <c r="Y481" s="23"/>
      <c r="Z481" s="23"/>
      <c r="AA481" s="23"/>
      <c r="AB481" s="23"/>
      <c r="AC481" s="23"/>
      <c r="AD481" s="23"/>
      <c r="AE481" s="23"/>
      <c r="AF481" s="27" t="str">
        <f aca="true">IF($O481="","",IF(OR($AE481="Cancelled",$AE481="On hold",$AE481="Launched"),$AE481,IF(AND($Y481="Approved",OR($Z481="Yes",$Z481="N/A"),OR($AA481="Yes",$AA481="N/A"),OR($AB481="No",$AB481="N/A",AND($AB481="Yes",$AD481="Yes"))),"Ready",IF($O481&lt;TODAY(),"Overdue",IF($O481-TODAY()&lt;='Rules &amp; Guardrails'!$C$5,"At Risk","In Progress")))))</f>
        <v/>
      </c>
      <c r="AG481" s="28" t="str">
        <f aca="false">IF($O481="","",IF(OR($AE481="Launched",$AE481="Cancelled"),"",MID(IF($Y481&lt;&gt;"Approved",", Content approval","")&amp;IF(NOT(OR($Z481="Yes",$Z481="N/A")),", Assets","")&amp;IF(NOT(OR($AA481="Yes",$AA481="N/A")),", List","")&amp;IF($AB481="",", Ops decision",IF(AND($AB481="Yes",$AD481&lt;&gt;"Yes"),", Ops",""))&amp;IF($U481="",", Owner","")&amp;IF($K481="",", Segment",""),3,200)))</f>
        <v/>
      </c>
      <c r="AH481" s="29" t="str">
        <f aca="true">IF($O481="","",$O481-TODAY())</f>
        <v/>
      </c>
      <c r="AI481" s="26" t="str">
        <f aca="false">IF($O481="","",$O481-WEEKDAY($O481,3))</f>
        <v/>
      </c>
      <c r="AJ481" s="30" t="str">
        <f aca="false">IF($O481="","",DATE(YEAR($O481),MONTH($O481),1))</f>
        <v/>
      </c>
      <c r="AK481" s="31" t="str">
        <f aca="false">IF(OR($O481="",$K481=""),"",COUNTIFS('Comms Calendar'!$K$5:$K$504,$K481,'Comms Calendar'!$B$5:$B$504,$B481,'Comms Calendar'!$AI$5:$AI$504,$AI481,'Comms Calendar'!$AE$5:$AE$504,"&lt;&gt;Cancelled"))</f>
        <v/>
      </c>
      <c r="AL481" s="27" t="str">
        <f aca="false">IF($AK481="","",IF($AK481&gt;'Rules &amp; Guardrails'!$C$3,"Over cap","OK"))</f>
        <v/>
      </c>
      <c r="AM481" s="27" t="str">
        <f aca="false">IF(OR($O481="",$K481=""),"",IF(COUNTIFS('Comms Calendar'!$K$5:$K$504,$K481,'Comms Calendar'!$B$5:$B$504,$B481,'Comms Calendar'!$O$5:$O$504,$O481,'Comms Calendar'!$AE$5:$AE$504,"&lt;&gt;Cancelled")&gt;1,"Clash",""))</f>
        <v/>
      </c>
      <c r="AN481" s="27" t="str">
        <f aca="false">IF($O481="","",IF(IF($B481="Global",COUNTIF('Rules &amp; Guardrails'!$F$9:$F$60,$O481),COUNTIFS('Rules &amp; Guardrails'!$F$9:$F$60,$O481,'Rules &amp; Guardrails'!$G$9:$G$60,$B481)+COUNTIFS('Rules &amp; Guardrails'!$F$9:$F$60,$O481,'Rules &amp; Guardrails'!$G$9:$G$60,"Global"))&gt;0,"Blackout",""))</f>
        <v/>
      </c>
      <c r="AO481" s="6"/>
      <c r="AP481" s="25"/>
      <c r="AQ481" s="23"/>
      <c r="AR481" s="31" t="str">
        <f aca="false">IF($D481="","",IFERROR(VLOOKUP($D481,'Rules &amp; Guardrails'!$A$9:$D$24,2,0),"Other"))</f>
        <v/>
      </c>
      <c r="AS481" s="31" t="str">
        <f aca="false">IF($O481="","",$O481&amp;"|"&amp;$B481)</f>
        <v/>
      </c>
    </row>
    <row r="482" customFormat="false" ht="15" hidden="false" customHeight="false" outlineLevel="0" collapsed="false">
      <c r="A482" s="23"/>
      <c r="B482" s="23"/>
      <c r="C482" s="23"/>
      <c r="D482" s="23"/>
      <c r="E482" s="23"/>
      <c r="F482" s="23"/>
      <c r="G482" s="6"/>
      <c r="H482" s="6"/>
      <c r="I482" s="23"/>
      <c r="J482" s="23"/>
      <c r="K482" s="23"/>
      <c r="L482" s="6"/>
      <c r="M482" s="6"/>
      <c r="N482" s="24"/>
      <c r="O482" s="25"/>
      <c r="P482" s="23"/>
      <c r="Q482" s="23"/>
      <c r="R482" s="23"/>
      <c r="S482" s="23"/>
      <c r="T482" s="26" t="str">
        <f aca="false">IF(OR($O482="",$D482=""),"",WORKDAY($O482,-IFERROR(VLOOKUP($D482,'Rules &amp; Guardrails'!$A$9:$D$24,3,0),10)))</f>
        <v/>
      </c>
      <c r="U482" s="23"/>
      <c r="V482" s="23"/>
      <c r="W482" s="23"/>
      <c r="X482" s="6"/>
      <c r="Y482" s="23"/>
      <c r="Z482" s="23"/>
      <c r="AA482" s="23"/>
      <c r="AB482" s="23"/>
      <c r="AC482" s="23"/>
      <c r="AD482" s="23"/>
      <c r="AE482" s="23"/>
      <c r="AF482" s="27" t="str">
        <f aca="true">IF($O482="","",IF(OR($AE482="Cancelled",$AE482="On hold",$AE482="Launched"),$AE482,IF(AND($Y482="Approved",OR($Z482="Yes",$Z482="N/A"),OR($AA482="Yes",$AA482="N/A"),OR($AB482="No",$AB482="N/A",AND($AB482="Yes",$AD482="Yes"))),"Ready",IF($O482&lt;TODAY(),"Overdue",IF($O482-TODAY()&lt;='Rules &amp; Guardrails'!$C$5,"At Risk","In Progress")))))</f>
        <v/>
      </c>
      <c r="AG482" s="28" t="str">
        <f aca="false">IF($O482="","",IF(OR($AE482="Launched",$AE482="Cancelled"),"",MID(IF($Y482&lt;&gt;"Approved",", Content approval","")&amp;IF(NOT(OR($Z482="Yes",$Z482="N/A")),", Assets","")&amp;IF(NOT(OR($AA482="Yes",$AA482="N/A")),", List","")&amp;IF($AB482="",", Ops decision",IF(AND($AB482="Yes",$AD482&lt;&gt;"Yes"),", Ops",""))&amp;IF($U482="",", Owner","")&amp;IF($K482="",", Segment",""),3,200)))</f>
        <v/>
      </c>
      <c r="AH482" s="29" t="str">
        <f aca="true">IF($O482="","",$O482-TODAY())</f>
        <v/>
      </c>
      <c r="AI482" s="26" t="str">
        <f aca="false">IF($O482="","",$O482-WEEKDAY($O482,3))</f>
        <v/>
      </c>
      <c r="AJ482" s="30" t="str">
        <f aca="false">IF($O482="","",DATE(YEAR($O482),MONTH($O482),1))</f>
        <v/>
      </c>
      <c r="AK482" s="31" t="str">
        <f aca="false">IF(OR($O482="",$K482=""),"",COUNTIFS('Comms Calendar'!$K$5:$K$504,$K482,'Comms Calendar'!$B$5:$B$504,$B482,'Comms Calendar'!$AI$5:$AI$504,$AI482,'Comms Calendar'!$AE$5:$AE$504,"&lt;&gt;Cancelled"))</f>
        <v/>
      </c>
      <c r="AL482" s="27" t="str">
        <f aca="false">IF($AK482="","",IF($AK482&gt;'Rules &amp; Guardrails'!$C$3,"Over cap","OK"))</f>
        <v/>
      </c>
      <c r="AM482" s="27" t="str">
        <f aca="false">IF(OR($O482="",$K482=""),"",IF(COUNTIFS('Comms Calendar'!$K$5:$K$504,$K482,'Comms Calendar'!$B$5:$B$504,$B482,'Comms Calendar'!$O$5:$O$504,$O482,'Comms Calendar'!$AE$5:$AE$504,"&lt;&gt;Cancelled")&gt;1,"Clash",""))</f>
        <v/>
      </c>
      <c r="AN482" s="27" t="str">
        <f aca="false">IF($O482="","",IF(IF($B482="Global",COUNTIF('Rules &amp; Guardrails'!$F$9:$F$60,$O482),COUNTIFS('Rules &amp; Guardrails'!$F$9:$F$60,$O482,'Rules &amp; Guardrails'!$G$9:$G$60,$B482)+COUNTIFS('Rules &amp; Guardrails'!$F$9:$F$60,$O482,'Rules &amp; Guardrails'!$G$9:$G$60,"Global"))&gt;0,"Blackout",""))</f>
        <v/>
      </c>
      <c r="AO482" s="6"/>
      <c r="AP482" s="25"/>
      <c r="AQ482" s="23"/>
      <c r="AR482" s="31" t="str">
        <f aca="false">IF($D482="","",IFERROR(VLOOKUP($D482,'Rules &amp; Guardrails'!$A$9:$D$24,2,0),"Other"))</f>
        <v/>
      </c>
      <c r="AS482" s="31" t="str">
        <f aca="false">IF($O482="","",$O482&amp;"|"&amp;$B482)</f>
        <v/>
      </c>
    </row>
    <row r="483" customFormat="false" ht="15" hidden="false" customHeight="false" outlineLevel="0" collapsed="false">
      <c r="A483" s="23"/>
      <c r="B483" s="23"/>
      <c r="C483" s="23"/>
      <c r="D483" s="23"/>
      <c r="E483" s="23"/>
      <c r="F483" s="23"/>
      <c r="G483" s="6"/>
      <c r="H483" s="6"/>
      <c r="I483" s="23"/>
      <c r="J483" s="23"/>
      <c r="K483" s="23"/>
      <c r="L483" s="6"/>
      <c r="M483" s="6"/>
      <c r="N483" s="24"/>
      <c r="O483" s="25"/>
      <c r="P483" s="23"/>
      <c r="Q483" s="23"/>
      <c r="R483" s="23"/>
      <c r="S483" s="23"/>
      <c r="T483" s="26" t="str">
        <f aca="false">IF(OR($O483="",$D483=""),"",WORKDAY($O483,-IFERROR(VLOOKUP($D483,'Rules &amp; Guardrails'!$A$9:$D$24,3,0),10)))</f>
        <v/>
      </c>
      <c r="U483" s="23"/>
      <c r="V483" s="23"/>
      <c r="W483" s="23"/>
      <c r="X483" s="6"/>
      <c r="Y483" s="23"/>
      <c r="Z483" s="23"/>
      <c r="AA483" s="23"/>
      <c r="AB483" s="23"/>
      <c r="AC483" s="23"/>
      <c r="AD483" s="23"/>
      <c r="AE483" s="23"/>
      <c r="AF483" s="27" t="str">
        <f aca="true">IF($O483="","",IF(OR($AE483="Cancelled",$AE483="On hold",$AE483="Launched"),$AE483,IF(AND($Y483="Approved",OR($Z483="Yes",$Z483="N/A"),OR($AA483="Yes",$AA483="N/A"),OR($AB483="No",$AB483="N/A",AND($AB483="Yes",$AD483="Yes"))),"Ready",IF($O483&lt;TODAY(),"Overdue",IF($O483-TODAY()&lt;='Rules &amp; Guardrails'!$C$5,"At Risk","In Progress")))))</f>
        <v/>
      </c>
      <c r="AG483" s="28" t="str">
        <f aca="false">IF($O483="","",IF(OR($AE483="Launched",$AE483="Cancelled"),"",MID(IF($Y483&lt;&gt;"Approved",", Content approval","")&amp;IF(NOT(OR($Z483="Yes",$Z483="N/A")),", Assets","")&amp;IF(NOT(OR($AA483="Yes",$AA483="N/A")),", List","")&amp;IF($AB483="",", Ops decision",IF(AND($AB483="Yes",$AD483&lt;&gt;"Yes"),", Ops",""))&amp;IF($U483="",", Owner","")&amp;IF($K483="",", Segment",""),3,200)))</f>
        <v/>
      </c>
      <c r="AH483" s="29" t="str">
        <f aca="true">IF($O483="","",$O483-TODAY())</f>
        <v/>
      </c>
      <c r="AI483" s="26" t="str">
        <f aca="false">IF($O483="","",$O483-WEEKDAY($O483,3))</f>
        <v/>
      </c>
      <c r="AJ483" s="30" t="str">
        <f aca="false">IF($O483="","",DATE(YEAR($O483),MONTH($O483),1))</f>
        <v/>
      </c>
      <c r="AK483" s="31" t="str">
        <f aca="false">IF(OR($O483="",$K483=""),"",COUNTIFS('Comms Calendar'!$K$5:$K$504,$K483,'Comms Calendar'!$B$5:$B$504,$B483,'Comms Calendar'!$AI$5:$AI$504,$AI483,'Comms Calendar'!$AE$5:$AE$504,"&lt;&gt;Cancelled"))</f>
        <v/>
      </c>
      <c r="AL483" s="27" t="str">
        <f aca="false">IF($AK483="","",IF($AK483&gt;'Rules &amp; Guardrails'!$C$3,"Over cap","OK"))</f>
        <v/>
      </c>
      <c r="AM483" s="27" t="str">
        <f aca="false">IF(OR($O483="",$K483=""),"",IF(COUNTIFS('Comms Calendar'!$K$5:$K$504,$K483,'Comms Calendar'!$B$5:$B$504,$B483,'Comms Calendar'!$O$5:$O$504,$O483,'Comms Calendar'!$AE$5:$AE$504,"&lt;&gt;Cancelled")&gt;1,"Clash",""))</f>
        <v/>
      </c>
      <c r="AN483" s="27" t="str">
        <f aca="false">IF($O483="","",IF(IF($B483="Global",COUNTIF('Rules &amp; Guardrails'!$F$9:$F$60,$O483),COUNTIFS('Rules &amp; Guardrails'!$F$9:$F$60,$O483,'Rules &amp; Guardrails'!$G$9:$G$60,$B483)+COUNTIFS('Rules &amp; Guardrails'!$F$9:$F$60,$O483,'Rules &amp; Guardrails'!$G$9:$G$60,"Global"))&gt;0,"Blackout",""))</f>
        <v/>
      </c>
      <c r="AO483" s="6"/>
      <c r="AP483" s="25"/>
      <c r="AQ483" s="23"/>
      <c r="AR483" s="31" t="str">
        <f aca="false">IF($D483="","",IFERROR(VLOOKUP($D483,'Rules &amp; Guardrails'!$A$9:$D$24,2,0),"Other"))</f>
        <v/>
      </c>
      <c r="AS483" s="31" t="str">
        <f aca="false">IF($O483="","",$O483&amp;"|"&amp;$B483)</f>
        <v/>
      </c>
    </row>
    <row r="484" customFormat="false" ht="15" hidden="false" customHeight="false" outlineLevel="0" collapsed="false">
      <c r="A484" s="23"/>
      <c r="B484" s="23"/>
      <c r="C484" s="23"/>
      <c r="D484" s="23"/>
      <c r="E484" s="23"/>
      <c r="F484" s="23"/>
      <c r="G484" s="6"/>
      <c r="H484" s="6"/>
      <c r="I484" s="23"/>
      <c r="J484" s="23"/>
      <c r="K484" s="23"/>
      <c r="L484" s="6"/>
      <c r="M484" s="6"/>
      <c r="N484" s="24"/>
      <c r="O484" s="25"/>
      <c r="P484" s="23"/>
      <c r="Q484" s="23"/>
      <c r="R484" s="23"/>
      <c r="S484" s="23"/>
      <c r="T484" s="26" t="str">
        <f aca="false">IF(OR($O484="",$D484=""),"",WORKDAY($O484,-IFERROR(VLOOKUP($D484,'Rules &amp; Guardrails'!$A$9:$D$24,3,0),10)))</f>
        <v/>
      </c>
      <c r="U484" s="23"/>
      <c r="V484" s="23"/>
      <c r="W484" s="23"/>
      <c r="X484" s="6"/>
      <c r="Y484" s="23"/>
      <c r="Z484" s="23"/>
      <c r="AA484" s="23"/>
      <c r="AB484" s="23"/>
      <c r="AC484" s="23"/>
      <c r="AD484" s="23"/>
      <c r="AE484" s="23"/>
      <c r="AF484" s="27" t="str">
        <f aca="true">IF($O484="","",IF(OR($AE484="Cancelled",$AE484="On hold",$AE484="Launched"),$AE484,IF(AND($Y484="Approved",OR($Z484="Yes",$Z484="N/A"),OR($AA484="Yes",$AA484="N/A"),OR($AB484="No",$AB484="N/A",AND($AB484="Yes",$AD484="Yes"))),"Ready",IF($O484&lt;TODAY(),"Overdue",IF($O484-TODAY()&lt;='Rules &amp; Guardrails'!$C$5,"At Risk","In Progress")))))</f>
        <v/>
      </c>
      <c r="AG484" s="28" t="str">
        <f aca="false">IF($O484="","",IF(OR($AE484="Launched",$AE484="Cancelled"),"",MID(IF($Y484&lt;&gt;"Approved",", Content approval","")&amp;IF(NOT(OR($Z484="Yes",$Z484="N/A")),", Assets","")&amp;IF(NOT(OR($AA484="Yes",$AA484="N/A")),", List","")&amp;IF($AB484="",", Ops decision",IF(AND($AB484="Yes",$AD484&lt;&gt;"Yes"),", Ops",""))&amp;IF($U484="",", Owner","")&amp;IF($K484="",", Segment",""),3,200)))</f>
        <v/>
      </c>
      <c r="AH484" s="29" t="str">
        <f aca="true">IF($O484="","",$O484-TODAY())</f>
        <v/>
      </c>
      <c r="AI484" s="26" t="str">
        <f aca="false">IF($O484="","",$O484-WEEKDAY($O484,3))</f>
        <v/>
      </c>
      <c r="AJ484" s="30" t="str">
        <f aca="false">IF($O484="","",DATE(YEAR($O484),MONTH($O484),1))</f>
        <v/>
      </c>
      <c r="AK484" s="31" t="str">
        <f aca="false">IF(OR($O484="",$K484=""),"",COUNTIFS('Comms Calendar'!$K$5:$K$504,$K484,'Comms Calendar'!$B$5:$B$504,$B484,'Comms Calendar'!$AI$5:$AI$504,$AI484,'Comms Calendar'!$AE$5:$AE$504,"&lt;&gt;Cancelled"))</f>
        <v/>
      </c>
      <c r="AL484" s="27" t="str">
        <f aca="false">IF($AK484="","",IF($AK484&gt;'Rules &amp; Guardrails'!$C$3,"Over cap","OK"))</f>
        <v/>
      </c>
      <c r="AM484" s="27" t="str">
        <f aca="false">IF(OR($O484="",$K484=""),"",IF(COUNTIFS('Comms Calendar'!$K$5:$K$504,$K484,'Comms Calendar'!$B$5:$B$504,$B484,'Comms Calendar'!$O$5:$O$504,$O484,'Comms Calendar'!$AE$5:$AE$504,"&lt;&gt;Cancelled")&gt;1,"Clash",""))</f>
        <v/>
      </c>
      <c r="AN484" s="27" t="str">
        <f aca="false">IF($O484="","",IF(IF($B484="Global",COUNTIF('Rules &amp; Guardrails'!$F$9:$F$60,$O484),COUNTIFS('Rules &amp; Guardrails'!$F$9:$F$60,$O484,'Rules &amp; Guardrails'!$G$9:$G$60,$B484)+COUNTIFS('Rules &amp; Guardrails'!$F$9:$F$60,$O484,'Rules &amp; Guardrails'!$G$9:$G$60,"Global"))&gt;0,"Blackout",""))</f>
        <v/>
      </c>
      <c r="AO484" s="6"/>
      <c r="AP484" s="25"/>
      <c r="AQ484" s="23"/>
      <c r="AR484" s="31" t="str">
        <f aca="false">IF($D484="","",IFERROR(VLOOKUP($D484,'Rules &amp; Guardrails'!$A$9:$D$24,2,0),"Other"))</f>
        <v/>
      </c>
      <c r="AS484" s="31" t="str">
        <f aca="false">IF($O484="","",$O484&amp;"|"&amp;$B484)</f>
        <v/>
      </c>
    </row>
    <row r="485" customFormat="false" ht="15" hidden="false" customHeight="false" outlineLevel="0" collapsed="false">
      <c r="A485" s="23"/>
      <c r="B485" s="23"/>
      <c r="C485" s="23"/>
      <c r="D485" s="23"/>
      <c r="E485" s="23"/>
      <c r="F485" s="23"/>
      <c r="G485" s="6"/>
      <c r="H485" s="6"/>
      <c r="I485" s="23"/>
      <c r="J485" s="23"/>
      <c r="K485" s="23"/>
      <c r="L485" s="6"/>
      <c r="M485" s="6"/>
      <c r="N485" s="24"/>
      <c r="O485" s="25"/>
      <c r="P485" s="23"/>
      <c r="Q485" s="23"/>
      <c r="R485" s="23"/>
      <c r="S485" s="23"/>
      <c r="T485" s="26" t="str">
        <f aca="false">IF(OR($O485="",$D485=""),"",WORKDAY($O485,-IFERROR(VLOOKUP($D485,'Rules &amp; Guardrails'!$A$9:$D$24,3,0),10)))</f>
        <v/>
      </c>
      <c r="U485" s="23"/>
      <c r="V485" s="23"/>
      <c r="W485" s="23"/>
      <c r="X485" s="6"/>
      <c r="Y485" s="23"/>
      <c r="Z485" s="23"/>
      <c r="AA485" s="23"/>
      <c r="AB485" s="23"/>
      <c r="AC485" s="23"/>
      <c r="AD485" s="23"/>
      <c r="AE485" s="23"/>
      <c r="AF485" s="27" t="str">
        <f aca="true">IF($O485="","",IF(OR($AE485="Cancelled",$AE485="On hold",$AE485="Launched"),$AE485,IF(AND($Y485="Approved",OR($Z485="Yes",$Z485="N/A"),OR($AA485="Yes",$AA485="N/A"),OR($AB485="No",$AB485="N/A",AND($AB485="Yes",$AD485="Yes"))),"Ready",IF($O485&lt;TODAY(),"Overdue",IF($O485-TODAY()&lt;='Rules &amp; Guardrails'!$C$5,"At Risk","In Progress")))))</f>
        <v/>
      </c>
      <c r="AG485" s="28" t="str">
        <f aca="false">IF($O485="","",IF(OR($AE485="Launched",$AE485="Cancelled"),"",MID(IF($Y485&lt;&gt;"Approved",", Content approval","")&amp;IF(NOT(OR($Z485="Yes",$Z485="N/A")),", Assets","")&amp;IF(NOT(OR($AA485="Yes",$AA485="N/A")),", List","")&amp;IF($AB485="",", Ops decision",IF(AND($AB485="Yes",$AD485&lt;&gt;"Yes"),", Ops",""))&amp;IF($U485="",", Owner","")&amp;IF($K485="",", Segment",""),3,200)))</f>
        <v/>
      </c>
      <c r="AH485" s="29" t="str">
        <f aca="true">IF($O485="","",$O485-TODAY())</f>
        <v/>
      </c>
      <c r="AI485" s="26" t="str">
        <f aca="false">IF($O485="","",$O485-WEEKDAY($O485,3))</f>
        <v/>
      </c>
      <c r="AJ485" s="30" t="str">
        <f aca="false">IF($O485="","",DATE(YEAR($O485),MONTH($O485),1))</f>
        <v/>
      </c>
      <c r="AK485" s="31" t="str">
        <f aca="false">IF(OR($O485="",$K485=""),"",COUNTIFS('Comms Calendar'!$K$5:$K$504,$K485,'Comms Calendar'!$B$5:$B$504,$B485,'Comms Calendar'!$AI$5:$AI$504,$AI485,'Comms Calendar'!$AE$5:$AE$504,"&lt;&gt;Cancelled"))</f>
        <v/>
      </c>
      <c r="AL485" s="27" t="str">
        <f aca="false">IF($AK485="","",IF($AK485&gt;'Rules &amp; Guardrails'!$C$3,"Over cap","OK"))</f>
        <v/>
      </c>
      <c r="AM485" s="27" t="str">
        <f aca="false">IF(OR($O485="",$K485=""),"",IF(COUNTIFS('Comms Calendar'!$K$5:$K$504,$K485,'Comms Calendar'!$B$5:$B$504,$B485,'Comms Calendar'!$O$5:$O$504,$O485,'Comms Calendar'!$AE$5:$AE$504,"&lt;&gt;Cancelled")&gt;1,"Clash",""))</f>
        <v/>
      </c>
      <c r="AN485" s="27" t="str">
        <f aca="false">IF($O485="","",IF(IF($B485="Global",COUNTIF('Rules &amp; Guardrails'!$F$9:$F$60,$O485),COUNTIFS('Rules &amp; Guardrails'!$F$9:$F$60,$O485,'Rules &amp; Guardrails'!$G$9:$G$60,$B485)+COUNTIFS('Rules &amp; Guardrails'!$F$9:$F$60,$O485,'Rules &amp; Guardrails'!$G$9:$G$60,"Global"))&gt;0,"Blackout",""))</f>
        <v/>
      </c>
      <c r="AO485" s="6"/>
      <c r="AP485" s="25"/>
      <c r="AQ485" s="23"/>
      <c r="AR485" s="31" t="str">
        <f aca="false">IF($D485="","",IFERROR(VLOOKUP($D485,'Rules &amp; Guardrails'!$A$9:$D$24,2,0),"Other"))</f>
        <v/>
      </c>
      <c r="AS485" s="31" t="str">
        <f aca="false">IF($O485="","",$O485&amp;"|"&amp;$B485)</f>
        <v/>
      </c>
    </row>
    <row r="486" customFormat="false" ht="15" hidden="false" customHeight="false" outlineLevel="0" collapsed="false">
      <c r="A486" s="23"/>
      <c r="B486" s="23"/>
      <c r="C486" s="23"/>
      <c r="D486" s="23"/>
      <c r="E486" s="23"/>
      <c r="F486" s="23"/>
      <c r="G486" s="6"/>
      <c r="H486" s="6"/>
      <c r="I486" s="23"/>
      <c r="J486" s="23"/>
      <c r="K486" s="23"/>
      <c r="L486" s="6"/>
      <c r="M486" s="6"/>
      <c r="N486" s="24"/>
      <c r="O486" s="25"/>
      <c r="P486" s="23"/>
      <c r="Q486" s="23"/>
      <c r="R486" s="23"/>
      <c r="S486" s="23"/>
      <c r="T486" s="26" t="str">
        <f aca="false">IF(OR($O486="",$D486=""),"",WORKDAY($O486,-IFERROR(VLOOKUP($D486,'Rules &amp; Guardrails'!$A$9:$D$24,3,0),10)))</f>
        <v/>
      </c>
      <c r="U486" s="23"/>
      <c r="V486" s="23"/>
      <c r="W486" s="23"/>
      <c r="X486" s="6"/>
      <c r="Y486" s="23"/>
      <c r="Z486" s="23"/>
      <c r="AA486" s="23"/>
      <c r="AB486" s="23"/>
      <c r="AC486" s="23"/>
      <c r="AD486" s="23"/>
      <c r="AE486" s="23"/>
      <c r="AF486" s="27" t="str">
        <f aca="true">IF($O486="","",IF(OR($AE486="Cancelled",$AE486="On hold",$AE486="Launched"),$AE486,IF(AND($Y486="Approved",OR($Z486="Yes",$Z486="N/A"),OR($AA486="Yes",$AA486="N/A"),OR($AB486="No",$AB486="N/A",AND($AB486="Yes",$AD486="Yes"))),"Ready",IF($O486&lt;TODAY(),"Overdue",IF($O486-TODAY()&lt;='Rules &amp; Guardrails'!$C$5,"At Risk","In Progress")))))</f>
        <v/>
      </c>
      <c r="AG486" s="28" t="str">
        <f aca="false">IF($O486="","",IF(OR($AE486="Launched",$AE486="Cancelled"),"",MID(IF($Y486&lt;&gt;"Approved",", Content approval","")&amp;IF(NOT(OR($Z486="Yes",$Z486="N/A")),", Assets","")&amp;IF(NOT(OR($AA486="Yes",$AA486="N/A")),", List","")&amp;IF($AB486="",", Ops decision",IF(AND($AB486="Yes",$AD486&lt;&gt;"Yes"),", Ops",""))&amp;IF($U486="",", Owner","")&amp;IF($K486="",", Segment",""),3,200)))</f>
        <v/>
      </c>
      <c r="AH486" s="29" t="str">
        <f aca="true">IF($O486="","",$O486-TODAY())</f>
        <v/>
      </c>
      <c r="AI486" s="26" t="str">
        <f aca="false">IF($O486="","",$O486-WEEKDAY($O486,3))</f>
        <v/>
      </c>
      <c r="AJ486" s="30" t="str">
        <f aca="false">IF($O486="","",DATE(YEAR($O486),MONTH($O486),1))</f>
        <v/>
      </c>
      <c r="AK486" s="31" t="str">
        <f aca="false">IF(OR($O486="",$K486=""),"",COUNTIFS('Comms Calendar'!$K$5:$K$504,$K486,'Comms Calendar'!$B$5:$B$504,$B486,'Comms Calendar'!$AI$5:$AI$504,$AI486,'Comms Calendar'!$AE$5:$AE$504,"&lt;&gt;Cancelled"))</f>
        <v/>
      </c>
      <c r="AL486" s="27" t="str">
        <f aca="false">IF($AK486="","",IF($AK486&gt;'Rules &amp; Guardrails'!$C$3,"Over cap","OK"))</f>
        <v/>
      </c>
      <c r="AM486" s="27" t="str">
        <f aca="false">IF(OR($O486="",$K486=""),"",IF(COUNTIFS('Comms Calendar'!$K$5:$K$504,$K486,'Comms Calendar'!$B$5:$B$504,$B486,'Comms Calendar'!$O$5:$O$504,$O486,'Comms Calendar'!$AE$5:$AE$504,"&lt;&gt;Cancelled")&gt;1,"Clash",""))</f>
        <v/>
      </c>
      <c r="AN486" s="27" t="str">
        <f aca="false">IF($O486="","",IF(IF($B486="Global",COUNTIF('Rules &amp; Guardrails'!$F$9:$F$60,$O486),COUNTIFS('Rules &amp; Guardrails'!$F$9:$F$60,$O486,'Rules &amp; Guardrails'!$G$9:$G$60,$B486)+COUNTIFS('Rules &amp; Guardrails'!$F$9:$F$60,$O486,'Rules &amp; Guardrails'!$G$9:$G$60,"Global"))&gt;0,"Blackout",""))</f>
        <v/>
      </c>
      <c r="AO486" s="6"/>
      <c r="AP486" s="25"/>
      <c r="AQ486" s="23"/>
      <c r="AR486" s="31" t="str">
        <f aca="false">IF($D486="","",IFERROR(VLOOKUP($D486,'Rules &amp; Guardrails'!$A$9:$D$24,2,0),"Other"))</f>
        <v/>
      </c>
      <c r="AS486" s="31" t="str">
        <f aca="false">IF($O486="","",$O486&amp;"|"&amp;$B486)</f>
        <v/>
      </c>
    </row>
    <row r="487" customFormat="false" ht="15" hidden="false" customHeight="false" outlineLevel="0" collapsed="false">
      <c r="A487" s="23"/>
      <c r="B487" s="23"/>
      <c r="C487" s="23"/>
      <c r="D487" s="23"/>
      <c r="E487" s="23"/>
      <c r="F487" s="23"/>
      <c r="G487" s="6"/>
      <c r="H487" s="6"/>
      <c r="I487" s="23"/>
      <c r="J487" s="23"/>
      <c r="K487" s="23"/>
      <c r="L487" s="6"/>
      <c r="M487" s="6"/>
      <c r="N487" s="24"/>
      <c r="O487" s="25"/>
      <c r="P487" s="23"/>
      <c r="Q487" s="23"/>
      <c r="R487" s="23"/>
      <c r="S487" s="23"/>
      <c r="T487" s="26" t="str">
        <f aca="false">IF(OR($O487="",$D487=""),"",WORKDAY($O487,-IFERROR(VLOOKUP($D487,'Rules &amp; Guardrails'!$A$9:$D$24,3,0),10)))</f>
        <v/>
      </c>
      <c r="U487" s="23"/>
      <c r="V487" s="23"/>
      <c r="W487" s="23"/>
      <c r="X487" s="6"/>
      <c r="Y487" s="23"/>
      <c r="Z487" s="23"/>
      <c r="AA487" s="23"/>
      <c r="AB487" s="23"/>
      <c r="AC487" s="23"/>
      <c r="AD487" s="23"/>
      <c r="AE487" s="23"/>
      <c r="AF487" s="27" t="str">
        <f aca="true">IF($O487="","",IF(OR($AE487="Cancelled",$AE487="On hold",$AE487="Launched"),$AE487,IF(AND($Y487="Approved",OR($Z487="Yes",$Z487="N/A"),OR($AA487="Yes",$AA487="N/A"),OR($AB487="No",$AB487="N/A",AND($AB487="Yes",$AD487="Yes"))),"Ready",IF($O487&lt;TODAY(),"Overdue",IF($O487-TODAY()&lt;='Rules &amp; Guardrails'!$C$5,"At Risk","In Progress")))))</f>
        <v/>
      </c>
      <c r="AG487" s="28" t="str">
        <f aca="false">IF($O487="","",IF(OR($AE487="Launched",$AE487="Cancelled"),"",MID(IF($Y487&lt;&gt;"Approved",", Content approval","")&amp;IF(NOT(OR($Z487="Yes",$Z487="N/A")),", Assets","")&amp;IF(NOT(OR($AA487="Yes",$AA487="N/A")),", List","")&amp;IF($AB487="",", Ops decision",IF(AND($AB487="Yes",$AD487&lt;&gt;"Yes"),", Ops",""))&amp;IF($U487="",", Owner","")&amp;IF($K487="",", Segment",""),3,200)))</f>
        <v/>
      </c>
      <c r="AH487" s="29" t="str">
        <f aca="true">IF($O487="","",$O487-TODAY())</f>
        <v/>
      </c>
      <c r="AI487" s="26" t="str">
        <f aca="false">IF($O487="","",$O487-WEEKDAY($O487,3))</f>
        <v/>
      </c>
      <c r="AJ487" s="30" t="str">
        <f aca="false">IF($O487="","",DATE(YEAR($O487),MONTH($O487),1))</f>
        <v/>
      </c>
      <c r="AK487" s="31" t="str">
        <f aca="false">IF(OR($O487="",$K487=""),"",COUNTIFS('Comms Calendar'!$K$5:$K$504,$K487,'Comms Calendar'!$B$5:$B$504,$B487,'Comms Calendar'!$AI$5:$AI$504,$AI487,'Comms Calendar'!$AE$5:$AE$504,"&lt;&gt;Cancelled"))</f>
        <v/>
      </c>
      <c r="AL487" s="27" t="str">
        <f aca="false">IF($AK487="","",IF($AK487&gt;'Rules &amp; Guardrails'!$C$3,"Over cap","OK"))</f>
        <v/>
      </c>
      <c r="AM487" s="27" t="str">
        <f aca="false">IF(OR($O487="",$K487=""),"",IF(COUNTIFS('Comms Calendar'!$K$5:$K$504,$K487,'Comms Calendar'!$B$5:$B$504,$B487,'Comms Calendar'!$O$5:$O$504,$O487,'Comms Calendar'!$AE$5:$AE$504,"&lt;&gt;Cancelled")&gt;1,"Clash",""))</f>
        <v/>
      </c>
      <c r="AN487" s="27" t="str">
        <f aca="false">IF($O487="","",IF(IF($B487="Global",COUNTIF('Rules &amp; Guardrails'!$F$9:$F$60,$O487),COUNTIFS('Rules &amp; Guardrails'!$F$9:$F$60,$O487,'Rules &amp; Guardrails'!$G$9:$G$60,$B487)+COUNTIFS('Rules &amp; Guardrails'!$F$9:$F$60,$O487,'Rules &amp; Guardrails'!$G$9:$G$60,"Global"))&gt;0,"Blackout",""))</f>
        <v/>
      </c>
      <c r="AO487" s="6"/>
      <c r="AP487" s="25"/>
      <c r="AQ487" s="23"/>
      <c r="AR487" s="31" t="str">
        <f aca="false">IF($D487="","",IFERROR(VLOOKUP($D487,'Rules &amp; Guardrails'!$A$9:$D$24,2,0),"Other"))</f>
        <v/>
      </c>
      <c r="AS487" s="31" t="str">
        <f aca="false">IF($O487="","",$O487&amp;"|"&amp;$B487)</f>
        <v/>
      </c>
    </row>
    <row r="488" customFormat="false" ht="15" hidden="false" customHeight="false" outlineLevel="0" collapsed="false">
      <c r="A488" s="23"/>
      <c r="B488" s="23"/>
      <c r="C488" s="23"/>
      <c r="D488" s="23"/>
      <c r="E488" s="23"/>
      <c r="F488" s="23"/>
      <c r="G488" s="6"/>
      <c r="H488" s="6"/>
      <c r="I488" s="23"/>
      <c r="J488" s="23"/>
      <c r="K488" s="23"/>
      <c r="L488" s="6"/>
      <c r="M488" s="6"/>
      <c r="N488" s="24"/>
      <c r="O488" s="25"/>
      <c r="P488" s="23"/>
      <c r="Q488" s="23"/>
      <c r="R488" s="23"/>
      <c r="S488" s="23"/>
      <c r="T488" s="26" t="str">
        <f aca="false">IF(OR($O488="",$D488=""),"",WORKDAY($O488,-IFERROR(VLOOKUP($D488,'Rules &amp; Guardrails'!$A$9:$D$24,3,0),10)))</f>
        <v/>
      </c>
      <c r="U488" s="23"/>
      <c r="V488" s="23"/>
      <c r="W488" s="23"/>
      <c r="X488" s="6"/>
      <c r="Y488" s="23"/>
      <c r="Z488" s="23"/>
      <c r="AA488" s="23"/>
      <c r="AB488" s="23"/>
      <c r="AC488" s="23"/>
      <c r="AD488" s="23"/>
      <c r="AE488" s="23"/>
      <c r="AF488" s="27" t="str">
        <f aca="true">IF($O488="","",IF(OR($AE488="Cancelled",$AE488="On hold",$AE488="Launched"),$AE488,IF(AND($Y488="Approved",OR($Z488="Yes",$Z488="N/A"),OR($AA488="Yes",$AA488="N/A"),OR($AB488="No",$AB488="N/A",AND($AB488="Yes",$AD488="Yes"))),"Ready",IF($O488&lt;TODAY(),"Overdue",IF($O488-TODAY()&lt;='Rules &amp; Guardrails'!$C$5,"At Risk","In Progress")))))</f>
        <v/>
      </c>
      <c r="AG488" s="28" t="str">
        <f aca="false">IF($O488="","",IF(OR($AE488="Launched",$AE488="Cancelled"),"",MID(IF($Y488&lt;&gt;"Approved",", Content approval","")&amp;IF(NOT(OR($Z488="Yes",$Z488="N/A")),", Assets","")&amp;IF(NOT(OR($AA488="Yes",$AA488="N/A")),", List","")&amp;IF($AB488="",", Ops decision",IF(AND($AB488="Yes",$AD488&lt;&gt;"Yes"),", Ops",""))&amp;IF($U488="",", Owner","")&amp;IF($K488="",", Segment",""),3,200)))</f>
        <v/>
      </c>
      <c r="AH488" s="29" t="str">
        <f aca="true">IF($O488="","",$O488-TODAY())</f>
        <v/>
      </c>
      <c r="AI488" s="26" t="str">
        <f aca="false">IF($O488="","",$O488-WEEKDAY($O488,3))</f>
        <v/>
      </c>
      <c r="AJ488" s="30" t="str">
        <f aca="false">IF($O488="","",DATE(YEAR($O488),MONTH($O488),1))</f>
        <v/>
      </c>
      <c r="AK488" s="31" t="str">
        <f aca="false">IF(OR($O488="",$K488=""),"",COUNTIFS('Comms Calendar'!$K$5:$K$504,$K488,'Comms Calendar'!$B$5:$B$504,$B488,'Comms Calendar'!$AI$5:$AI$504,$AI488,'Comms Calendar'!$AE$5:$AE$504,"&lt;&gt;Cancelled"))</f>
        <v/>
      </c>
      <c r="AL488" s="27" t="str">
        <f aca="false">IF($AK488="","",IF($AK488&gt;'Rules &amp; Guardrails'!$C$3,"Over cap","OK"))</f>
        <v/>
      </c>
      <c r="AM488" s="27" t="str">
        <f aca="false">IF(OR($O488="",$K488=""),"",IF(COUNTIFS('Comms Calendar'!$K$5:$K$504,$K488,'Comms Calendar'!$B$5:$B$504,$B488,'Comms Calendar'!$O$5:$O$504,$O488,'Comms Calendar'!$AE$5:$AE$504,"&lt;&gt;Cancelled")&gt;1,"Clash",""))</f>
        <v/>
      </c>
      <c r="AN488" s="27" t="str">
        <f aca="false">IF($O488="","",IF(IF($B488="Global",COUNTIF('Rules &amp; Guardrails'!$F$9:$F$60,$O488),COUNTIFS('Rules &amp; Guardrails'!$F$9:$F$60,$O488,'Rules &amp; Guardrails'!$G$9:$G$60,$B488)+COUNTIFS('Rules &amp; Guardrails'!$F$9:$F$60,$O488,'Rules &amp; Guardrails'!$G$9:$G$60,"Global"))&gt;0,"Blackout",""))</f>
        <v/>
      </c>
      <c r="AO488" s="6"/>
      <c r="AP488" s="25"/>
      <c r="AQ488" s="23"/>
      <c r="AR488" s="31" t="str">
        <f aca="false">IF($D488="","",IFERROR(VLOOKUP($D488,'Rules &amp; Guardrails'!$A$9:$D$24,2,0),"Other"))</f>
        <v/>
      </c>
      <c r="AS488" s="31" t="str">
        <f aca="false">IF($O488="","",$O488&amp;"|"&amp;$B488)</f>
        <v/>
      </c>
    </row>
    <row r="489" customFormat="false" ht="15" hidden="false" customHeight="false" outlineLevel="0" collapsed="false">
      <c r="A489" s="23"/>
      <c r="B489" s="23"/>
      <c r="C489" s="23"/>
      <c r="D489" s="23"/>
      <c r="E489" s="23"/>
      <c r="F489" s="23"/>
      <c r="G489" s="6"/>
      <c r="H489" s="6"/>
      <c r="I489" s="23"/>
      <c r="J489" s="23"/>
      <c r="K489" s="23"/>
      <c r="L489" s="6"/>
      <c r="M489" s="6"/>
      <c r="N489" s="24"/>
      <c r="O489" s="25"/>
      <c r="P489" s="23"/>
      <c r="Q489" s="23"/>
      <c r="R489" s="23"/>
      <c r="S489" s="23"/>
      <c r="T489" s="26" t="str">
        <f aca="false">IF(OR($O489="",$D489=""),"",WORKDAY($O489,-IFERROR(VLOOKUP($D489,'Rules &amp; Guardrails'!$A$9:$D$24,3,0),10)))</f>
        <v/>
      </c>
      <c r="U489" s="23"/>
      <c r="V489" s="23"/>
      <c r="W489" s="23"/>
      <c r="X489" s="6"/>
      <c r="Y489" s="23"/>
      <c r="Z489" s="23"/>
      <c r="AA489" s="23"/>
      <c r="AB489" s="23"/>
      <c r="AC489" s="23"/>
      <c r="AD489" s="23"/>
      <c r="AE489" s="23"/>
      <c r="AF489" s="27" t="str">
        <f aca="true">IF($O489="","",IF(OR($AE489="Cancelled",$AE489="On hold",$AE489="Launched"),$AE489,IF(AND($Y489="Approved",OR($Z489="Yes",$Z489="N/A"),OR($AA489="Yes",$AA489="N/A"),OR($AB489="No",$AB489="N/A",AND($AB489="Yes",$AD489="Yes"))),"Ready",IF($O489&lt;TODAY(),"Overdue",IF($O489-TODAY()&lt;='Rules &amp; Guardrails'!$C$5,"At Risk","In Progress")))))</f>
        <v/>
      </c>
      <c r="AG489" s="28" t="str">
        <f aca="false">IF($O489="","",IF(OR($AE489="Launched",$AE489="Cancelled"),"",MID(IF($Y489&lt;&gt;"Approved",", Content approval","")&amp;IF(NOT(OR($Z489="Yes",$Z489="N/A")),", Assets","")&amp;IF(NOT(OR($AA489="Yes",$AA489="N/A")),", List","")&amp;IF($AB489="",", Ops decision",IF(AND($AB489="Yes",$AD489&lt;&gt;"Yes"),", Ops",""))&amp;IF($U489="",", Owner","")&amp;IF($K489="",", Segment",""),3,200)))</f>
        <v/>
      </c>
      <c r="AH489" s="29" t="str">
        <f aca="true">IF($O489="","",$O489-TODAY())</f>
        <v/>
      </c>
      <c r="AI489" s="26" t="str">
        <f aca="false">IF($O489="","",$O489-WEEKDAY($O489,3))</f>
        <v/>
      </c>
      <c r="AJ489" s="30" t="str">
        <f aca="false">IF($O489="","",DATE(YEAR($O489),MONTH($O489),1))</f>
        <v/>
      </c>
      <c r="AK489" s="31" t="str">
        <f aca="false">IF(OR($O489="",$K489=""),"",COUNTIFS('Comms Calendar'!$K$5:$K$504,$K489,'Comms Calendar'!$B$5:$B$504,$B489,'Comms Calendar'!$AI$5:$AI$504,$AI489,'Comms Calendar'!$AE$5:$AE$504,"&lt;&gt;Cancelled"))</f>
        <v/>
      </c>
      <c r="AL489" s="27" t="str">
        <f aca="false">IF($AK489="","",IF($AK489&gt;'Rules &amp; Guardrails'!$C$3,"Over cap","OK"))</f>
        <v/>
      </c>
      <c r="AM489" s="27" t="str">
        <f aca="false">IF(OR($O489="",$K489=""),"",IF(COUNTIFS('Comms Calendar'!$K$5:$K$504,$K489,'Comms Calendar'!$B$5:$B$504,$B489,'Comms Calendar'!$O$5:$O$504,$O489,'Comms Calendar'!$AE$5:$AE$504,"&lt;&gt;Cancelled")&gt;1,"Clash",""))</f>
        <v/>
      </c>
      <c r="AN489" s="27" t="str">
        <f aca="false">IF($O489="","",IF(IF($B489="Global",COUNTIF('Rules &amp; Guardrails'!$F$9:$F$60,$O489),COUNTIFS('Rules &amp; Guardrails'!$F$9:$F$60,$O489,'Rules &amp; Guardrails'!$G$9:$G$60,$B489)+COUNTIFS('Rules &amp; Guardrails'!$F$9:$F$60,$O489,'Rules &amp; Guardrails'!$G$9:$G$60,"Global"))&gt;0,"Blackout",""))</f>
        <v/>
      </c>
      <c r="AO489" s="6"/>
      <c r="AP489" s="25"/>
      <c r="AQ489" s="23"/>
      <c r="AR489" s="31" t="str">
        <f aca="false">IF($D489="","",IFERROR(VLOOKUP($D489,'Rules &amp; Guardrails'!$A$9:$D$24,2,0),"Other"))</f>
        <v/>
      </c>
      <c r="AS489" s="31" t="str">
        <f aca="false">IF($O489="","",$O489&amp;"|"&amp;$B489)</f>
        <v/>
      </c>
    </row>
    <row r="490" customFormat="false" ht="15" hidden="false" customHeight="false" outlineLevel="0" collapsed="false">
      <c r="A490" s="23"/>
      <c r="B490" s="23"/>
      <c r="C490" s="23"/>
      <c r="D490" s="23"/>
      <c r="E490" s="23"/>
      <c r="F490" s="23"/>
      <c r="G490" s="6"/>
      <c r="H490" s="6"/>
      <c r="I490" s="23"/>
      <c r="J490" s="23"/>
      <c r="K490" s="23"/>
      <c r="L490" s="6"/>
      <c r="M490" s="6"/>
      <c r="N490" s="24"/>
      <c r="O490" s="25"/>
      <c r="P490" s="23"/>
      <c r="Q490" s="23"/>
      <c r="R490" s="23"/>
      <c r="S490" s="23"/>
      <c r="T490" s="26" t="str">
        <f aca="false">IF(OR($O490="",$D490=""),"",WORKDAY($O490,-IFERROR(VLOOKUP($D490,'Rules &amp; Guardrails'!$A$9:$D$24,3,0),10)))</f>
        <v/>
      </c>
      <c r="U490" s="23"/>
      <c r="V490" s="23"/>
      <c r="W490" s="23"/>
      <c r="X490" s="6"/>
      <c r="Y490" s="23"/>
      <c r="Z490" s="23"/>
      <c r="AA490" s="23"/>
      <c r="AB490" s="23"/>
      <c r="AC490" s="23"/>
      <c r="AD490" s="23"/>
      <c r="AE490" s="23"/>
      <c r="AF490" s="27" t="str">
        <f aca="true">IF($O490="","",IF(OR($AE490="Cancelled",$AE490="On hold",$AE490="Launched"),$AE490,IF(AND($Y490="Approved",OR($Z490="Yes",$Z490="N/A"),OR($AA490="Yes",$AA490="N/A"),OR($AB490="No",$AB490="N/A",AND($AB490="Yes",$AD490="Yes"))),"Ready",IF($O490&lt;TODAY(),"Overdue",IF($O490-TODAY()&lt;='Rules &amp; Guardrails'!$C$5,"At Risk","In Progress")))))</f>
        <v/>
      </c>
      <c r="AG490" s="28" t="str">
        <f aca="false">IF($O490="","",IF(OR($AE490="Launched",$AE490="Cancelled"),"",MID(IF($Y490&lt;&gt;"Approved",", Content approval","")&amp;IF(NOT(OR($Z490="Yes",$Z490="N/A")),", Assets","")&amp;IF(NOT(OR($AA490="Yes",$AA490="N/A")),", List","")&amp;IF($AB490="",", Ops decision",IF(AND($AB490="Yes",$AD490&lt;&gt;"Yes"),", Ops",""))&amp;IF($U490="",", Owner","")&amp;IF($K490="",", Segment",""),3,200)))</f>
        <v/>
      </c>
      <c r="AH490" s="29" t="str">
        <f aca="true">IF($O490="","",$O490-TODAY())</f>
        <v/>
      </c>
      <c r="AI490" s="26" t="str">
        <f aca="false">IF($O490="","",$O490-WEEKDAY($O490,3))</f>
        <v/>
      </c>
      <c r="AJ490" s="30" t="str">
        <f aca="false">IF($O490="","",DATE(YEAR($O490),MONTH($O490),1))</f>
        <v/>
      </c>
      <c r="AK490" s="31" t="str">
        <f aca="false">IF(OR($O490="",$K490=""),"",COUNTIFS('Comms Calendar'!$K$5:$K$504,$K490,'Comms Calendar'!$B$5:$B$504,$B490,'Comms Calendar'!$AI$5:$AI$504,$AI490,'Comms Calendar'!$AE$5:$AE$504,"&lt;&gt;Cancelled"))</f>
        <v/>
      </c>
      <c r="AL490" s="27" t="str">
        <f aca="false">IF($AK490="","",IF($AK490&gt;'Rules &amp; Guardrails'!$C$3,"Over cap","OK"))</f>
        <v/>
      </c>
      <c r="AM490" s="27" t="str">
        <f aca="false">IF(OR($O490="",$K490=""),"",IF(COUNTIFS('Comms Calendar'!$K$5:$K$504,$K490,'Comms Calendar'!$B$5:$B$504,$B490,'Comms Calendar'!$O$5:$O$504,$O490,'Comms Calendar'!$AE$5:$AE$504,"&lt;&gt;Cancelled")&gt;1,"Clash",""))</f>
        <v/>
      </c>
      <c r="AN490" s="27" t="str">
        <f aca="false">IF($O490="","",IF(IF($B490="Global",COUNTIF('Rules &amp; Guardrails'!$F$9:$F$60,$O490),COUNTIFS('Rules &amp; Guardrails'!$F$9:$F$60,$O490,'Rules &amp; Guardrails'!$G$9:$G$60,$B490)+COUNTIFS('Rules &amp; Guardrails'!$F$9:$F$60,$O490,'Rules &amp; Guardrails'!$G$9:$G$60,"Global"))&gt;0,"Blackout",""))</f>
        <v/>
      </c>
      <c r="AO490" s="6"/>
      <c r="AP490" s="25"/>
      <c r="AQ490" s="23"/>
      <c r="AR490" s="31" t="str">
        <f aca="false">IF($D490="","",IFERROR(VLOOKUP($D490,'Rules &amp; Guardrails'!$A$9:$D$24,2,0),"Other"))</f>
        <v/>
      </c>
      <c r="AS490" s="31" t="str">
        <f aca="false">IF($O490="","",$O490&amp;"|"&amp;$B490)</f>
        <v/>
      </c>
    </row>
    <row r="491" customFormat="false" ht="15" hidden="false" customHeight="false" outlineLevel="0" collapsed="false">
      <c r="A491" s="23"/>
      <c r="B491" s="23"/>
      <c r="C491" s="23"/>
      <c r="D491" s="23"/>
      <c r="E491" s="23"/>
      <c r="F491" s="23"/>
      <c r="G491" s="6"/>
      <c r="H491" s="6"/>
      <c r="I491" s="23"/>
      <c r="J491" s="23"/>
      <c r="K491" s="23"/>
      <c r="L491" s="6"/>
      <c r="M491" s="6"/>
      <c r="N491" s="24"/>
      <c r="O491" s="25"/>
      <c r="P491" s="23"/>
      <c r="Q491" s="23"/>
      <c r="R491" s="23"/>
      <c r="S491" s="23"/>
      <c r="T491" s="26" t="str">
        <f aca="false">IF(OR($O491="",$D491=""),"",WORKDAY($O491,-IFERROR(VLOOKUP($D491,'Rules &amp; Guardrails'!$A$9:$D$24,3,0),10)))</f>
        <v/>
      </c>
      <c r="U491" s="23"/>
      <c r="V491" s="23"/>
      <c r="W491" s="23"/>
      <c r="X491" s="6"/>
      <c r="Y491" s="23"/>
      <c r="Z491" s="23"/>
      <c r="AA491" s="23"/>
      <c r="AB491" s="23"/>
      <c r="AC491" s="23"/>
      <c r="AD491" s="23"/>
      <c r="AE491" s="23"/>
      <c r="AF491" s="27" t="str">
        <f aca="true">IF($O491="","",IF(OR($AE491="Cancelled",$AE491="On hold",$AE491="Launched"),$AE491,IF(AND($Y491="Approved",OR($Z491="Yes",$Z491="N/A"),OR($AA491="Yes",$AA491="N/A"),OR($AB491="No",$AB491="N/A",AND($AB491="Yes",$AD491="Yes"))),"Ready",IF($O491&lt;TODAY(),"Overdue",IF($O491-TODAY()&lt;='Rules &amp; Guardrails'!$C$5,"At Risk","In Progress")))))</f>
        <v/>
      </c>
      <c r="AG491" s="28" t="str">
        <f aca="false">IF($O491="","",IF(OR($AE491="Launched",$AE491="Cancelled"),"",MID(IF($Y491&lt;&gt;"Approved",", Content approval","")&amp;IF(NOT(OR($Z491="Yes",$Z491="N/A")),", Assets","")&amp;IF(NOT(OR($AA491="Yes",$AA491="N/A")),", List","")&amp;IF($AB491="",", Ops decision",IF(AND($AB491="Yes",$AD491&lt;&gt;"Yes"),", Ops",""))&amp;IF($U491="",", Owner","")&amp;IF($K491="",", Segment",""),3,200)))</f>
        <v/>
      </c>
      <c r="AH491" s="29" t="str">
        <f aca="true">IF($O491="","",$O491-TODAY())</f>
        <v/>
      </c>
      <c r="AI491" s="26" t="str">
        <f aca="false">IF($O491="","",$O491-WEEKDAY($O491,3))</f>
        <v/>
      </c>
      <c r="AJ491" s="30" t="str">
        <f aca="false">IF($O491="","",DATE(YEAR($O491),MONTH($O491),1))</f>
        <v/>
      </c>
      <c r="AK491" s="31" t="str">
        <f aca="false">IF(OR($O491="",$K491=""),"",COUNTIFS('Comms Calendar'!$K$5:$K$504,$K491,'Comms Calendar'!$B$5:$B$504,$B491,'Comms Calendar'!$AI$5:$AI$504,$AI491,'Comms Calendar'!$AE$5:$AE$504,"&lt;&gt;Cancelled"))</f>
        <v/>
      </c>
      <c r="AL491" s="27" t="str">
        <f aca="false">IF($AK491="","",IF($AK491&gt;'Rules &amp; Guardrails'!$C$3,"Over cap","OK"))</f>
        <v/>
      </c>
      <c r="AM491" s="27" t="str">
        <f aca="false">IF(OR($O491="",$K491=""),"",IF(COUNTIFS('Comms Calendar'!$K$5:$K$504,$K491,'Comms Calendar'!$B$5:$B$504,$B491,'Comms Calendar'!$O$5:$O$504,$O491,'Comms Calendar'!$AE$5:$AE$504,"&lt;&gt;Cancelled")&gt;1,"Clash",""))</f>
        <v/>
      </c>
      <c r="AN491" s="27" t="str">
        <f aca="false">IF($O491="","",IF(IF($B491="Global",COUNTIF('Rules &amp; Guardrails'!$F$9:$F$60,$O491),COUNTIFS('Rules &amp; Guardrails'!$F$9:$F$60,$O491,'Rules &amp; Guardrails'!$G$9:$G$60,$B491)+COUNTIFS('Rules &amp; Guardrails'!$F$9:$F$60,$O491,'Rules &amp; Guardrails'!$G$9:$G$60,"Global"))&gt;0,"Blackout",""))</f>
        <v/>
      </c>
      <c r="AO491" s="6"/>
      <c r="AP491" s="25"/>
      <c r="AQ491" s="23"/>
      <c r="AR491" s="31" t="str">
        <f aca="false">IF($D491="","",IFERROR(VLOOKUP($D491,'Rules &amp; Guardrails'!$A$9:$D$24,2,0),"Other"))</f>
        <v/>
      </c>
      <c r="AS491" s="31" t="str">
        <f aca="false">IF($O491="","",$O491&amp;"|"&amp;$B491)</f>
        <v/>
      </c>
    </row>
    <row r="492" customFormat="false" ht="15" hidden="false" customHeight="false" outlineLevel="0" collapsed="false">
      <c r="A492" s="23"/>
      <c r="B492" s="23"/>
      <c r="C492" s="23"/>
      <c r="D492" s="23"/>
      <c r="E492" s="23"/>
      <c r="F492" s="23"/>
      <c r="G492" s="6"/>
      <c r="H492" s="6"/>
      <c r="I492" s="23"/>
      <c r="J492" s="23"/>
      <c r="K492" s="23"/>
      <c r="L492" s="6"/>
      <c r="M492" s="6"/>
      <c r="N492" s="24"/>
      <c r="O492" s="25"/>
      <c r="P492" s="23"/>
      <c r="Q492" s="23"/>
      <c r="R492" s="23"/>
      <c r="S492" s="23"/>
      <c r="T492" s="26" t="str">
        <f aca="false">IF(OR($O492="",$D492=""),"",WORKDAY($O492,-IFERROR(VLOOKUP($D492,'Rules &amp; Guardrails'!$A$9:$D$24,3,0),10)))</f>
        <v/>
      </c>
      <c r="U492" s="23"/>
      <c r="V492" s="23"/>
      <c r="W492" s="23"/>
      <c r="X492" s="6"/>
      <c r="Y492" s="23"/>
      <c r="Z492" s="23"/>
      <c r="AA492" s="23"/>
      <c r="AB492" s="23"/>
      <c r="AC492" s="23"/>
      <c r="AD492" s="23"/>
      <c r="AE492" s="23"/>
      <c r="AF492" s="27" t="str">
        <f aca="true">IF($O492="","",IF(OR($AE492="Cancelled",$AE492="On hold",$AE492="Launched"),$AE492,IF(AND($Y492="Approved",OR($Z492="Yes",$Z492="N/A"),OR($AA492="Yes",$AA492="N/A"),OR($AB492="No",$AB492="N/A",AND($AB492="Yes",$AD492="Yes"))),"Ready",IF($O492&lt;TODAY(),"Overdue",IF($O492-TODAY()&lt;='Rules &amp; Guardrails'!$C$5,"At Risk","In Progress")))))</f>
        <v/>
      </c>
      <c r="AG492" s="28" t="str">
        <f aca="false">IF($O492="","",IF(OR($AE492="Launched",$AE492="Cancelled"),"",MID(IF($Y492&lt;&gt;"Approved",", Content approval","")&amp;IF(NOT(OR($Z492="Yes",$Z492="N/A")),", Assets","")&amp;IF(NOT(OR($AA492="Yes",$AA492="N/A")),", List","")&amp;IF($AB492="",", Ops decision",IF(AND($AB492="Yes",$AD492&lt;&gt;"Yes"),", Ops",""))&amp;IF($U492="",", Owner","")&amp;IF($K492="",", Segment",""),3,200)))</f>
        <v/>
      </c>
      <c r="AH492" s="29" t="str">
        <f aca="true">IF($O492="","",$O492-TODAY())</f>
        <v/>
      </c>
      <c r="AI492" s="26" t="str">
        <f aca="false">IF($O492="","",$O492-WEEKDAY($O492,3))</f>
        <v/>
      </c>
      <c r="AJ492" s="30" t="str">
        <f aca="false">IF($O492="","",DATE(YEAR($O492),MONTH($O492),1))</f>
        <v/>
      </c>
      <c r="AK492" s="31" t="str">
        <f aca="false">IF(OR($O492="",$K492=""),"",COUNTIFS('Comms Calendar'!$K$5:$K$504,$K492,'Comms Calendar'!$B$5:$B$504,$B492,'Comms Calendar'!$AI$5:$AI$504,$AI492,'Comms Calendar'!$AE$5:$AE$504,"&lt;&gt;Cancelled"))</f>
        <v/>
      </c>
      <c r="AL492" s="27" t="str">
        <f aca="false">IF($AK492="","",IF($AK492&gt;'Rules &amp; Guardrails'!$C$3,"Over cap","OK"))</f>
        <v/>
      </c>
      <c r="AM492" s="27" t="str">
        <f aca="false">IF(OR($O492="",$K492=""),"",IF(COUNTIFS('Comms Calendar'!$K$5:$K$504,$K492,'Comms Calendar'!$B$5:$B$504,$B492,'Comms Calendar'!$O$5:$O$504,$O492,'Comms Calendar'!$AE$5:$AE$504,"&lt;&gt;Cancelled")&gt;1,"Clash",""))</f>
        <v/>
      </c>
      <c r="AN492" s="27" t="str">
        <f aca="false">IF($O492="","",IF(IF($B492="Global",COUNTIF('Rules &amp; Guardrails'!$F$9:$F$60,$O492),COUNTIFS('Rules &amp; Guardrails'!$F$9:$F$60,$O492,'Rules &amp; Guardrails'!$G$9:$G$60,$B492)+COUNTIFS('Rules &amp; Guardrails'!$F$9:$F$60,$O492,'Rules &amp; Guardrails'!$G$9:$G$60,"Global"))&gt;0,"Blackout",""))</f>
        <v/>
      </c>
      <c r="AO492" s="6"/>
      <c r="AP492" s="25"/>
      <c r="AQ492" s="23"/>
      <c r="AR492" s="31" t="str">
        <f aca="false">IF($D492="","",IFERROR(VLOOKUP($D492,'Rules &amp; Guardrails'!$A$9:$D$24,2,0),"Other"))</f>
        <v/>
      </c>
      <c r="AS492" s="31" t="str">
        <f aca="false">IF($O492="","",$O492&amp;"|"&amp;$B492)</f>
        <v/>
      </c>
    </row>
    <row r="493" customFormat="false" ht="15" hidden="false" customHeight="false" outlineLevel="0" collapsed="false">
      <c r="A493" s="23"/>
      <c r="B493" s="23"/>
      <c r="C493" s="23"/>
      <c r="D493" s="23"/>
      <c r="E493" s="23"/>
      <c r="F493" s="23"/>
      <c r="G493" s="6"/>
      <c r="H493" s="6"/>
      <c r="I493" s="23"/>
      <c r="J493" s="23"/>
      <c r="K493" s="23"/>
      <c r="L493" s="6"/>
      <c r="M493" s="6"/>
      <c r="N493" s="24"/>
      <c r="O493" s="25"/>
      <c r="P493" s="23"/>
      <c r="Q493" s="23"/>
      <c r="R493" s="23"/>
      <c r="S493" s="23"/>
      <c r="T493" s="26" t="str">
        <f aca="false">IF(OR($O493="",$D493=""),"",WORKDAY($O493,-IFERROR(VLOOKUP($D493,'Rules &amp; Guardrails'!$A$9:$D$24,3,0),10)))</f>
        <v/>
      </c>
      <c r="U493" s="23"/>
      <c r="V493" s="23"/>
      <c r="W493" s="23"/>
      <c r="X493" s="6"/>
      <c r="Y493" s="23"/>
      <c r="Z493" s="23"/>
      <c r="AA493" s="23"/>
      <c r="AB493" s="23"/>
      <c r="AC493" s="23"/>
      <c r="AD493" s="23"/>
      <c r="AE493" s="23"/>
      <c r="AF493" s="27" t="str">
        <f aca="true">IF($O493="","",IF(OR($AE493="Cancelled",$AE493="On hold",$AE493="Launched"),$AE493,IF(AND($Y493="Approved",OR($Z493="Yes",$Z493="N/A"),OR($AA493="Yes",$AA493="N/A"),OR($AB493="No",$AB493="N/A",AND($AB493="Yes",$AD493="Yes"))),"Ready",IF($O493&lt;TODAY(),"Overdue",IF($O493-TODAY()&lt;='Rules &amp; Guardrails'!$C$5,"At Risk","In Progress")))))</f>
        <v/>
      </c>
      <c r="AG493" s="28" t="str">
        <f aca="false">IF($O493="","",IF(OR($AE493="Launched",$AE493="Cancelled"),"",MID(IF($Y493&lt;&gt;"Approved",", Content approval","")&amp;IF(NOT(OR($Z493="Yes",$Z493="N/A")),", Assets","")&amp;IF(NOT(OR($AA493="Yes",$AA493="N/A")),", List","")&amp;IF($AB493="",", Ops decision",IF(AND($AB493="Yes",$AD493&lt;&gt;"Yes"),", Ops",""))&amp;IF($U493="",", Owner","")&amp;IF($K493="",", Segment",""),3,200)))</f>
        <v/>
      </c>
      <c r="AH493" s="29" t="str">
        <f aca="true">IF($O493="","",$O493-TODAY())</f>
        <v/>
      </c>
      <c r="AI493" s="26" t="str">
        <f aca="false">IF($O493="","",$O493-WEEKDAY($O493,3))</f>
        <v/>
      </c>
      <c r="AJ493" s="30" t="str">
        <f aca="false">IF($O493="","",DATE(YEAR($O493),MONTH($O493),1))</f>
        <v/>
      </c>
      <c r="AK493" s="31" t="str">
        <f aca="false">IF(OR($O493="",$K493=""),"",COUNTIFS('Comms Calendar'!$K$5:$K$504,$K493,'Comms Calendar'!$B$5:$B$504,$B493,'Comms Calendar'!$AI$5:$AI$504,$AI493,'Comms Calendar'!$AE$5:$AE$504,"&lt;&gt;Cancelled"))</f>
        <v/>
      </c>
      <c r="AL493" s="27" t="str">
        <f aca="false">IF($AK493="","",IF($AK493&gt;'Rules &amp; Guardrails'!$C$3,"Over cap","OK"))</f>
        <v/>
      </c>
      <c r="AM493" s="27" t="str">
        <f aca="false">IF(OR($O493="",$K493=""),"",IF(COUNTIFS('Comms Calendar'!$K$5:$K$504,$K493,'Comms Calendar'!$B$5:$B$504,$B493,'Comms Calendar'!$O$5:$O$504,$O493,'Comms Calendar'!$AE$5:$AE$504,"&lt;&gt;Cancelled")&gt;1,"Clash",""))</f>
        <v/>
      </c>
      <c r="AN493" s="27" t="str">
        <f aca="false">IF($O493="","",IF(IF($B493="Global",COUNTIF('Rules &amp; Guardrails'!$F$9:$F$60,$O493),COUNTIFS('Rules &amp; Guardrails'!$F$9:$F$60,$O493,'Rules &amp; Guardrails'!$G$9:$G$60,$B493)+COUNTIFS('Rules &amp; Guardrails'!$F$9:$F$60,$O493,'Rules &amp; Guardrails'!$G$9:$G$60,"Global"))&gt;0,"Blackout",""))</f>
        <v/>
      </c>
      <c r="AO493" s="6"/>
      <c r="AP493" s="25"/>
      <c r="AQ493" s="23"/>
      <c r="AR493" s="31" t="str">
        <f aca="false">IF($D493="","",IFERROR(VLOOKUP($D493,'Rules &amp; Guardrails'!$A$9:$D$24,2,0),"Other"))</f>
        <v/>
      </c>
      <c r="AS493" s="31" t="str">
        <f aca="false">IF($O493="","",$O493&amp;"|"&amp;$B493)</f>
        <v/>
      </c>
    </row>
    <row r="494" customFormat="false" ht="15" hidden="false" customHeight="false" outlineLevel="0" collapsed="false">
      <c r="A494" s="23"/>
      <c r="B494" s="23"/>
      <c r="C494" s="23"/>
      <c r="D494" s="23"/>
      <c r="E494" s="23"/>
      <c r="F494" s="23"/>
      <c r="G494" s="6"/>
      <c r="H494" s="6"/>
      <c r="I494" s="23"/>
      <c r="J494" s="23"/>
      <c r="K494" s="23"/>
      <c r="L494" s="6"/>
      <c r="M494" s="6"/>
      <c r="N494" s="24"/>
      <c r="O494" s="25"/>
      <c r="P494" s="23"/>
      <c r="Q494" s="23"/>
      <c r="R494" s="23"/>
      <c r="S494" s="23"/>
      <c r="T494" s="26" t="str">
        <f aca="false">IF(OR($O494="",$D494=""),"",WORKDAY($O494,-IFERROR(VLOOKUP($D494,'Rules &amp; Guardrails'!$A$9:$D$24,3,0),10)))</f>
        <v/>
      </c>
      <c r="U494" s="23"/>
      <c r="V494" s="23"/>
      <c r="W494" s="23"/>
      <c r="X494" s="6"/>
      <c r="Y494" s="23"/>
      <c r="Z494" s="23"/>
      <c r="AA494" s="23"/>
      <c r="AB494" s="23"/>
      <c r="AC494" s="23"/>
      <c r="AD494" s="23"/>
      <c r="AE494" s="23"/>
      <c r="AF494" s="27" t="str">
        <f aca="true">IF($O494="","",IF(OR($AE494="Cancelled",$AE494="On hold",$AE494="Launched"),$AE494,IF(AND($Y494="Approved",OR($Z494="Yes",$Z494="N/A"),OR($AA494="Yes",$AA494="N/A"),OR($AB494="No",$AB494="N/A",AND($AB494="Yes",$AD494="Yes"))),"Ready",IF($O494&lt;TODAY(),"Overdue",IF($O494-TODAY()&lt;='Rules &amp; Guardrails'!$C$5,"At Risk","In Progress")))))</f>
        <v/>
      </c>
      <c r="AG494" s="28" t="str">
        <f aca="false">IF($O494="","",IF(OR($AE494="Launched",$AE494="Cancelled"),"",MID(IF($Y494&lt;&gt;"Approved",", Content approval","")&amp;IF(NOT(OR($Z494="Yes",$Z494="N/A")),", Assets","")&amp;IF(NOT(OR($AA494="Yes",$AA494="N/A")),", List","")&amp;IF($AB494="",", Ops decision",IF(AND($AB494="Yes",$AD494&lt;&gt;"Yes"),", Ops",""))&amp;IF($U494="",", Owner","")&amp;IF($K494="",", Segment",""),3,200)))</f>
        <v/>
      </c>
      <c r="AH494" s="29" t="str">
        <f aca="true">IF($O494="","",$O494-TODAY())</f>
        <v/>
      </c>
      <c r="AI494" s="26" t="str">
        <f aca="false">IF($O494="","",$O494-WEEKDAY($O494,3))</f>
        <v/>
      </c>
      <c r="AJ494" s="30" t="str">
        <f aca="false">IF($O494="","",DATE(YEAR($O494),MONTH($O494),1))</f>
        <v/>
      </c>
      <c r="AK494" s="31" t="str">
        <f aca="false">IF(OR($O494="",$K494=""),"",COUNTIFS('Comms Calendar'!$K$5:$K$504,$K494,'Comms Calendar'!$B$5:$B$504,$B494,'Comms Calendar'!$AI$5:$AI$504,$AI494,'Comms Calendar'!$AE$5:$AE$504,"&lt;&gt;Cancelled"))</f>
        <v/>
      </c>
      <c r="AL494" s="27" t="str">
        <f aca="false">IF($AK494="","",IF($AK494&gt;'Rules &amp; Guardrails'!$C$3,"Over cap","OK"))</f>
        <v/>
      </c>
      <c r="AM494" s="27" t="str">
        <f aca="false">IF(OR($O494="",$K494=""),"",IF(COUNTIFS('Comms Calendar'!$K$5:$K$504,$K494,'Comms Calendar'!$B$5:$B$504,$B494,'Comms Calendar'!$O$5:$O$504,$O494,'Comms Calendar'!$AE$5:$AE$504,"&lt;&gt;Cancelled")&gt;1,"Clash",""))</f>
        <v/>
      </c>
      <c r="AN494" s="27" t="str">
        <f aca="false">IF($O494="","",IF(IF($B494="Global",COUNTIF('Rules &amp; Guardrails'!$F$9:$F$60,$O494),COUNTIFS('Rules &amp; Guardrails'!$F$9:$F$60,$O494,'Rules &amp; Guardrails'!$G$9:$G$60,$B494)+COUNTIFS('Rules &amp; Guardrails'!$F$9:$F$60,$O494,'Rules &amp; Guardrails'!$G$9:$G$60,"Global"))&gt;0,"Blackout",""))</f>
        <v/>
      </c>
      <c r="AO494" s="6"/>
      <c r="AP494" s="25"/>
      <c r="AQ494" s="23"/>
      <c r="AR494" s="31" t="str">
        <f aca="false">IF($D494="","",IFERROR(VLOOKUP($D494,'Rules &amp; Guardrails'!$A$9:$D$24,2,0),"Other"))</f>
        <v/>
      </c>
      <c r="AS494" s="31" t="str">
        <f aca="false">IF($O494="","",$O494&amp;"|"&amp;$B494)</f>
        <v/>
      </c>
    </row>
    <row r="495" customFormat="false" ht="15" hidden="false" customHeight="false" outlineLevel="0" collapsed="false">
      <c r="A495" s="23"/>
      <c r="B495" s="23"/>
      <c r="C495" s="23"/>
      <c r="D495" s="23"/>
      <c r="E495" s="23"/>
      <c r="F495" s="23"/>
      <c r="G495" s="6"/>
      <c r="H495" s="6"/>
      <c r="I495" s="23"/>
      <c r="J495" s="23"/>
      <c r="K495" s="23"/>
      <c r="L495" s="6"/>
      <c r="M495" s="6"/>
      <c r="N495" s="24"/>
      <c r="O495" s="25"/>
      <c r="P495" s="23"/>
      <c r="Q495" s="23"/>
      <c r="R495" s="23"/>
      <c r="S495" s="23"/>
      <c r="T495" s="26" t="str">
        <f aca="false">IF(OR($O495="",$D495=""),"",WORKDAY($O495,-IFERROR(VLOOKUP($D495,'Rules &amp; Guardrails'!$A$9:$D$24,3,0),10)))</f>
        <v/>
      </c>
      <c r="U495" s="23"/>
      <c r="V495" s="23"/>
      <c r="W495" s="23"/>
      <c r="X495" s="6"/>
      <c r="Y495" s="23"/>
      <c r="Z495" s="23"/>
      <c r="AA495" s="23"/>
      <c r="AB495" s="23"/>
      <c r="AC495" s="23"/>
      <c r="AD495" s="23"/>
      <c r="AE495" s="23"/>
      <c r="AF495" s="27" t="str">
        <f aca="true">IF($O495="","",IF(OR($AE495="Cancelled",$AE495="On hold",$AE495="Launched"),$AE495,IF(AND($Y495="Approved",OR($Z495="Yes",$Z495="N/A"),OR($AA495="Yes",$AA495="N/A"),OR($AB495="No",$AB495="N/A",AND($AB495="Yes",$AD495="Yes"))),"Ready",IF($O495&lt;TODAY(),"Overdue",IF($O495-TODAY()&lt;='Rules &amp; Guardrails'!$C$5,"At Risk","In Progress")))))</f>
        <v/>
      </c>
      <c r="AG495" s="28" t="str">
        <f aca="false">IF($O495="","",IF(OR($AE495="Launched",$AE495="Cancelled"),"",MID(IF($Y495&lt;&gt;"Approved",", Content approval","")&amp;IF(NOT(OR($Z495="Yes",$Z495="N/A")),", Assets","")&amp;IF(NOT(OR($AA495="Yes",$AA495="N/A")),", List","")&amp;IF($AB495="",", Ops decision",IF(AND($AB495="Yes",$AD495&lt;&gt;"Yes"),", Ops",""))&amp;IF($U495="",", Owner","")&amp;IF($K495="",", Segment",""),3,200)))</f>
        <v/>
      </c>
      <c r="AH495" s="29" t="str">
        <f aca="true">IF($O495="","",$O495-TODAY())</f>
        <v/>
      </c>
      <c r="AI495" s="26" t="str">
        <f aca="false">IF($O495="","",$O495-WEEKDAY($O495,3))</f>
        <v/>
      </c>
      <c r="AJ495" s="30" t="str">
        <f aca="false">IF($O495="","",DATE(YEAR($O495),MONTH($O495),1))</f>
        <v/>
      </c>
      <c r="AK495" s="31" t="str">
        <f aca="false">IF(OR($O495="",$K495=""),"",COUNTIFS('Comms Calendar'!$K$5:$K$504,$K495,'Comms Calendar'!$B$5:$B$504,$B495,'Comms Calendar'!$AI$5:$AI$504,$AI495,'Comms Calendar'!$AE$5:$AE$504,"&lt;&gt;Cancelled"))</f>
        <v/>
      </c>
      <c r="AL495" s="27" t="str">
        <f aca="false">IF($AK495="","",IF($AK495&gt;'Rules &amp; Guardrails'!$C$3,"Over cap","OK"))</f>
        <v/>
      </c>
      <c r="AM495" s="27" t="str">
        <f aca="false">IF(OR($O495="",$K495=""),"",IF(COUNTIFS('Comms Calendar'!$K$5:$K$504,$K495,'Comms Calendar'!$B$5:$B$504,$B495,'Comms Calendar'!$O$5:$O$504,$O495,'Comms Calendar'!$AE$5:$AE$504,"&lt;&gt;Cancelled")&gt;1,"Clash",""))</f>
        <v/>
      </c>
      <c r="AN495" s="27" t="str">
        <f aca="false">IF($O495="","",IF(IF($B495="Global",COUNTIF('Rules &amp; Guardrails'!$F$9:$F$60,$O495),COUNTIFS('Rules &amp; Guardrails'!$F$9:$F$60,$O495,'Rules &amp; Guardrails'!$G$9:$G$60,$B495)+COUNTIFS('Rules &amp; Guardrails'!$F$9:$F$60,$O495,'Rules &amp; Guardrails'!$G$9:$G$60,"Global"))&gt;0,"Blackout",""))</f>
        <v/>
      </c>
      <c r="AO495" s="6"/>
      <c r="AP495" s="25"/>
      <c r="AQ495" s="23"/>
      <c r="AR495" s="31" t="str">
        <f aca="false">IF($D495="","",IFERROR(VLOOKUP($D495,'Rules &amp; Guardrails'!$A$9:$D$24,2,0),"Other"))</f>
        <v/>
      </c>
      <c r="AS495" s="31" t="str">
        <f aca="false">IF($O495="","",$O495&amp;"|"&amp;$B495)</f>
        <v/>
      </c>
    </row>
    <row r="496" customFormat="false" ht="15" hidden="false" customHeight="false" outlineLevel="0" collapsed="false">
      <c r="A496" s="23"/>
      <c r="B496" s="23"/>
      <c r="C496" s="23"/>
      <c r="D496" s="23"/>
      <c r="E496" s="23"/>
      <c r="F496" s="23"/>
      <c r="G496" s="6"/>
      <c r="H496" s="6"/>
      <c r="I496" s="23"/>
      <c r="J496" s="23"/>
      <c r="K496" s="23"/>
      <c r="L496" s="6"/>
      <c r="M496" s="6"/>
      <c r="N496" s="24"/>
      <c r="O496" s="25"/>
      <c r="P496" s="23"/>
      <c r="Q496" s="23"/>
      <c r="R496" s="23"/>
      <c r="S496" s="23"/>
      <c r="T496" s="26" t="str">
        <f aca="false">IF(OR($O496="",$D496=""),"",WORKDAY($O496,-IFERROR(VLOOKUP($D496,'Rules &amp; Guardrails'!$A$9:$D$24,3,0),10)))</f>
        <v/>
      </c>
      <c r="U496" s="23"/>
      <c r="V496" s="23"/>
      <c r="W496" s="23"/>
      <c r="X496" s="6"/>
      <c r="Y496" s="23"/>
      <c r="Z496" s="23"/>
      <c r="AA496" s="23"/>
      <c r="AB496" s="23"/>
      <c r="AC496" s="23"/>
      <c r="AD496" s="23"/>
      <c r="AE496" s="23"/>
      <c r="AF496" s="27" t="str">
        <f aca="true">IF($O496="","",IF(OR($AE496="Cancelled",$AE496="On hold",$AE496="Launched"),$AE496,IF(AND($Y496="Approved",OR($Z496="Yes",$Z496="N/A"),OR($AA496="Yes",$AA496="N/A"),OR($AB496="No",$AB496="N/A",AND($AB496="Yes",$AD496="Yes"))),"Ready",IF($O496&lt;TODAY(),"Overdue",IF($O496-TODAY()&lt;='Rules &amp; Guardrails'!$C$5,"At Risk","In Progress")))))</f>
        <v/>
      </c>
      <c r="AG496" s="28" t="str">
        <f aca="false">IF($O496="","",IF(OR($AE496="Launched",$AE496="Cancelled"),"",MID(IF($Y496&lt;&gt;"Approved",", Content approval","")&amp;IF(NOT(OR($Z496="Yes",$Z496="N/A")),", Assets","")&amp;IF(NOT(OR($AA496="Yes",$AA496="N/A")),", List","")&amp;IF($AB496="",", Ops decision",IF(AND($AB496="Yes",$AD496&lt;&gt;"Yes"),", Ops",""))&amp;IF($U496="",", Owner","")&amp;IF($K496="",", Segment",""),3,200)))</f>
        <v/>
      </c>
      <c r="AH496" s="29" t="str">
        <f aca="true">IF($O496="","",$O496-TODAY())</f>
        <v/>
      </c>
      <c r="AI496" s="26" t="str">
        <f aca="false">IF($O496="","",$O496-WEEKDAY($O496,3))</f>
        <v/>
      </c>
      <c r="AJ496" s="30" t="str">
        <f aca="false">IF($O496="","",DATE(YEAR($O496),MONTH($O496),1))</f>
        <v/>
      </c>
      <c r="AK496" s="31" t="str">
        <f aca="false">IF(OR($O496="",$K496=""),"",COUNTIFS('Comms Calendar'!$K$5:$K$504,$K496,'Comms Calendar'!$B$5:$B$504,$B496,'Comms Calendar'!$AI$5:$AI$504,$AI496,'Comms Calendar'!$AE$5:$AE$504,"&lt;&gt;Cancelled"))</f>
        <v/>
      </c>
      <c r="AL496" s="27" t="str">
        <f aca="false">IF($AK496="","",IF($AK496&gt;'Rules &amp; Guardrails'!$C$3,"Over cap","OK"))</f>
        <v/>
      </c>
      <c r="AM496" s="27" t="str">
        <f aca="false">IF(OR($O496="",$K496=""),"",IF(COUNTIFS('Comms Calendar'!$K$5:$K$504,$K496,'Comms Calendar'!$B$5:$B$504,$B496,'Comms Calendar'!$O$5:$O$504,$O496,'Comms Calendar'!$AE$5:$AE$504,"&lt;&gt;Cancelled")&gt;1,"Clash",""))</f>
        <v/>
      </c>
      <c r="AN496" s="27" t="str">
        <f aca="false">IF($O496="","",IF(IF($B496="Global",COUNTIF('Rules &amp; Guardrails'!$F$9:$F$60,$O496),COUNTIFS('Rules &amp; Guardrails'!$F$9:$F$60,$O496,'Rules &amp; Guardrails'!$G$9:$G$60,$B496)+COUNTIFS('Rules &amp; Guardrails'!$F$9:$F$60,$O496,'Rules &amp; Guardrails'!$G$9:$G$60,"Global"))&gt;0,"Blackout",""))</f>
        <v/>
      </c>
      <c r="AO496" s="6"/>
      <c r="AP496" s="25"/>
      <c r="AQ496" s="23"/>
      <c r="AR496" s="31" t="str">
        <f aca="false">IF($D496="","",IFERROR(VLOOKUP($D496,'Rules &amp; Guardrails'!$A$9:$D$24,2,0),"Other"))</f>
        <v/>
      </c>
      <c r="AS496" s="31" t="str">
        <f aca="false">IF($O496="","",$O496&amp;"|"&amp;$B496)</f>
        <v/>
      </c>
    </row>
    <row r="497" customFormat="false" ht="15" hidden="false" customHeight="false" outlineLevel="0" collapsed="false">
      <c r="A497" s="23"/>
      <c r="B497" s="23"/>
      <c r="C497" s="23"/>
      <c r="D497" s="23"/>
      <c r="E497" s="23"/>
      <c r="F497" s="23"/>
      <c r="G497" s="6"/>
      <c r="H497" s="6"/>
      <c r="I497" s="23"/>
      <c r="J497" s="23"/>
      <c r="K497" s="23"/>
      <c r="L497" s="6"/>
      <c r="M497" s="6"/>
      <c r="N497" s="24"/>
      <c r="O497" s="25"/>
      <c r="P497" s="23"/>
      <c r="Q497" s="23"/>
      <c r="R497" s="23"/>
      <c r="S497" s="23"/>
      <c r="T497" s="26" t="str">
        <f aca="false">IF(OR($O497="",$D497=""),"",WORKDAY($O497,-IFERROR(VLOOKUP($D497,'Rules &amp; Guardrails'!$A$9:$D$24,3,0),10)))</f>
        <v/>
      </c>
      <c r="U497" s="23"/>
      <c r="V497" s="23"/>
      <c r="W497" s="23"/>
      <c r="X497" s="6"/>
      <c r="Y497" s="23"/>
      <c r="Z497" s="23"/>
      <c r="AA497" s="23"/>
      <c r="AB497" s="23"/>
      <c r="AC497" s="23"/>
      <c r="AD497" s="23"/>
      <c r="AE497" s="23"/>
      <c r="AF497" s="27" t="str">
        <f aca="true">IF($O497="","",IF(OR($AE497="Cancelled",$AE497="On hold",$AE497="Launched"),$AE497,IF(AND($Y497="Approved",OR($Z497="Yes",$Z497="N/A"),OR($AA497="Yes",$AA497="N/A"),OR($AB497="No",$AB497="N/A",AND($AB497="Yes",$AD497="Yes"))),"Ready",IF($O497&lt;TODAY(),"Overdue",IF($O497-TODAY()&lt;='Rules &amp; Guardrails'!$C$5,"At Risk","In Progress")))))</f>
        <v/>
      </c>
      <c r="AG497" s="28" t="str">
        <f aca="false">IF($O497="","",IF(OR($AE497="Launched",$AE497="Cancelled"),"",MID(IF($Y497&lt;&gt;"Approved",", Content approval","")&amp;IF(NOT(OR($Z497="Yes",$Z497="N/A")),", Assets","")&amp;IF(NOT(OR($AA497="Yes",$AA497="N/A")),", List","")&amp;IF($AB497="",", Ops decision",IF(AND($AB497="Yes",$AD497&lt;&gt;"Yes"),", Ops",""))&amp;IF($U497="",", Owner","")&amp;IF($K497="",", Segment",""),3,200)))</f>
        <v/>
      </c>
      <c r="AH497" s="29" t="str">
        <f aca="true">IF($O497="","",$O497-TODAY())</f>
        <v/>
      </c>
      <c r="AI497" s="26" t="str">
        <f aca="false">IF($O497="","",$O497-WEEKDAY($O497,3))</f>
        <v/>
      </c>
      <c r="AJ497" s="30" t="str">
        <f aca="false">IF($O497="","",DATE(YEAR($O497),MONTH($O497),1))</f>
        <v/>
      </c>
      <c r="AK497" s="31" t="str">
        <f aca="false">IF(OR($O497="",$K497=""),"",COUNTIFS('Comms Calendar'!$K$5:$K$504,$K497,'Comms Calendar'!$B$5:$B$504,$B497,'Comms Calendar'!$AI$5:$AI$504,$AI497,'Comms Calendar'!$AE$5:$AE$504,"&lt;&gt;Cancelled"))</f>
        <v/>
      </c>
      <c r="AL497" s="27" t="str">
        <f aca="false">IF($AK497="","",IF($AK497&gt;'Rules &amp; Guardrails'!$C$3,"Over cap","OK"))</f>
        <v/>
      </c>
      <c r="AM497" s="27" t="str">
        <f aca="false">IF(OR($O497="",$K497=""),"",IF(COUNTIFS('Comms Calendar'!$K$5:$K$504,$K497,'Comms Calendar'!$B$5:$B$504,$B497,'Comms Calendar'!$O$5:$O$504,$O497,'Comms Calendar'!$AE$5:$AE$504,"&lt;&gt;Cancelled")&gt;1,"Clash",""))</f>
        <v/>
      </c>
      <c r="AN497" s="27" t="str">
        <f aca="false">IF($O497="","",IF(IF($B497="Global",COUNTIF('Rules &amp; Guardrails'!$F$9:$F$60,$O497),COUNTIFS('Rules &amp; Guardrails'!$F$9:$F$60,$O497,'Rules &amp; Guardrails'!$G$9:$G$60,$B497)+COUNTIFS('Rules &amp; Guardrails'!$F$9:$F$60,$O497,'Rules &amp; Guardrails'!$G$9:$G$60,"Global"))&gt;0,"Blackout",""))</f>
        <v/>
      </c>
      <c r="AO497" s="6"/>
      <c r="AP497" s="25"/>
      <c r="AQ497" s="23"/>
      <c r="AR497" s="31" t="str">
        <f aca="false">IF($D497="","",IFERROR(VLOOKUP($D497,'Rules &amp; Guardrails'!$A$9:$D$24,2,0),"Other"))</f>
        <v/>
      </c>
      <c r="AS497" s="31" t="str">
        <f aca="false">IF($O497="","",$O497&amp;"|"&amp;$B497)</f>
        <v/>
      </c>
    </row>
    <row r="498" customFormat="false" ht="15" hidden="false" customHeight="false" outlineLevel="0" collapsed="false">
      <c r="A498" s="23"/>
      <c r="B498" s="23"/>
      <c r="C498" s="23"/>
      <c r="D498" s="23"/>
      <c r="E498" s="23"/>
      <c r="F498" s="23"/>
      <c r="G498" s="6"/>
      <c r="H498" s="6"/>
      <c r="I498" s="23"/>
      <c r="J498" s="23"/>
      <c r="K498" s="23"/>
      <c r="L498" s="6"/>
      <c r="M498" s="6"/>
      <c r="N498" s="24"/>
      <c r="O498" s="25"/>
      <c r="P498" s="23"/>
      <c r="Q498" s="23"/>
      <c r="R498" s="23"/>
      <c r="S498" s="23"/>
      <c r="T498" s="26" t="str">
        <f aca="false">IF(OR($O498="",$D498=""),"",WORKDAY($O498,-IFERROR(VLOOKUP($D498,'Rules &amp; Guardrails'!$A$9:$D$24,3,0),10)))</f>
        <v/>
      </c>
      <c r="U498" s="23"/>
      <c r="V498" s="23"/>
      <c r="W498" s="23"/>
      <c r="X498" s="6"/>
      <c r="Y498" s="23"/>
      <c r="Z498" s="23"/>
      <c r="AA498" s="23"/>
      <c r="AB498" s="23"/>
      <c r="AC498" s="23"/>
      <c r="AD498" s="23"/>
      <c r="AE498" s="23"/>
      <c r="AF498" s="27" t="str">
        <f aca="true">IF($O498="","",IF(OR($AE498="Cancelled",$AE498="On hold",$AE498="Launched"),$AE498,IF(AND($Y498="Approved",OR($Z498="Yes",$Z498="N/A"),OR($AA498="Yes",$AA498="N/A"),OR($AB498="No",$AB498="N/A",AND($AB498="Yes",$AD498="Yes"))),"Ready",IF($O498&lt;TODAY(),"Overdue",IF($O498-TODAY()&lt;='Rules &amp; Guardrails'!$C$5,"At Risk","In Progress")))))</f>
        <v/>
      </c>
      <c r="AG498" s="28" t="str">
        <f aca="false">IF($O498="","",IF(OR($AE498="Launched",$AE498="Cancelled"),"",MID(IF($Y498&lt;&gt;"Approved",", Content approval","")&amp;IF(NOT(OR($Z498="Yes",$Z498="N/A")),", Assets","")&amp;IF(NOT(OR($AA498="Yes",$AA498="N/A")),", List","")&amp;IF($AB498="",", Ops decision",IF(AND($AB498="Yes",$AD498&lt;&gt;"Yes"),", Ops",""))&amp;IF($U498="",", Owner","")&amp;IF($K498="",", Segment",""),3,200)))</f>
        <v/>
      </c>
      <c r="AH498" s="29" t="str">
        <f aca="true">IF($O498="","",$O498-TODAY())</f>
        <v/>
      </c>
      <c r="AI498" s="26" t="str">
        <f aca="false">IF($O498="","",$O498-WEEKDAY($O498,3))</f>
        <v/>
      </c>
      <c r="AJ498" s="30" t="str">
        <f aca="false">IF($O498="","",DATE(YEAR($O498),MONTH($O498),1))</f>
        <v/>
      </c>
      <c r="AK498" s="31" t="str">
        <f aca="false">IF(OR($O498="",$K498=""),"",COUNTIFS('Comms Calendar'!$K$5:$K$504,$K498,'Comms Calendar'!$B$5:$B$504,$B498,'Comms Calendar'!$AI$5:$AI$504,$AI498,'Comms Calendar'!$AE$5:$AE$504,"&lt;&gt;Cancelled"))</f>
        <v/>
      </c>
      <c r="AL498" s="27" t="str">
        <f aca="false">IF($AK498="","",IF($AK498&gt;'Rules &amp; Guardrails'!$C$3,"Over cap","OK"))</f>
        <v/>
      </c>
      <c r="AM498" s="27" t="str">
        <f aca="false">IF(OR($O498="",$K498=""),"",IF(COUNTIFS('Comms Calendar'!$K$5:$K$504,$K498,'Comms Calendar'!$B$5:$B$504,$B498,'Comms Calendar'!$O$5:$O$504,$O498,'Comms Calendar'!$AE$5:$AE$504,"&lt;&gt;Cancelled")&gt;1,"Clash",""))</f>
        <v/>
      </c>
      <c r="AN498" s="27" t="str">
        <f aca="false">IF($O498="","",IF(IF($B498="Global",COUNTIF('Rules &amp; Guardrails'!$F$9:$F$60,$O498),COUNTIFS('Rules &amp; Guardrails'!$F$9:$F$60,$O498,'Rules &amp; Guardrails'!$G$9:$G$60,$B498)+COUNTIFS('Rules &amp; Guardrails'!$F$9:$F$60,$O498,'Rules &amp; Guardrails'!$G$9:$G$60,"Global"))&gt;0,"Blackout",""))</f>
        <v/>
      </c>
      <c r="AO498" s="6"/>
      <c r="AP498" s="25"/>
      <c r="AQ498" s="23"/>
      <c r="AR498" s="31" t="str">
        <f aca="false">IF($D498="","",IFERROR(VLOOKUP($D498,'Rules &amp; Guardrails'!$A$9:$D$24,2,0),"Other"))</f>
        <v/>
      </c>
      <c r="AS498" s="31" t="str">
        <f aca="false">IF($O498="","",$O498&amp;"|"&amp;$B498)</f>
        <v/>
      </c>
    </row>
    <row r="499" customFormat="false" ht="15" hidden="false" customHeight="false" outlineLevel="0" collapsed="false">
      <c r="A499" s="23"/>
      <c r="B499" s="23"/>
      <c r="C499" s="23"/>
      <c r="D499" s="23"/>
      <c r="E499" s="23"/>
      <c r="F499" s="23"/>
      <c r="G499" s="6"/>
      <c r="H499" s="6"/>
      <c r="I499" s="23"/>
      <c r="J499" s="23"/>
      <c r="K499" s="23"/>
      <c r="L499" s="6"/>
      <c r="M499" s="6"/>
      <c r="N499" s="24"/>
      <c r="O499" s="25"/>
      <c r="P499" s="23"/>
      <c r="Q499" s="23"/>
      <c r="R499" s="23"/>
      <c r="S499" s="23"/>
      <c r="T499" s="26" t="str">
        <f aca="false">IF(OR($O499="",$D499=""),"",WORKDAY($O499,-IFERROR(VLOOKUP($D499,'Rules &amp; Guardrails'!$A$9:$D$24,3,0),10)))</f>
        <v/>
      </c>
      <c r="U499" s="23"/>
      <c r="V499" s="23"/>
      <c r="W499" s="23"/>
      <c r="X499" s="6"/>
      <c r="Y499" s="23"/>
      <c r="Z499" s="23"/>
      <c r="AA499" s="23"/>
      <c r="AB499" s="23"/>
      <c r="AC499" s="23"/>
      <c r="AD499" s="23"/>
      <c r="AE499" s="23"/>
      <c r="AF499" s="27" t="str">
        <f aca="true">IF($O499="","",IF(OR($AE499="Cancelled",$AE499="On hold",$AE499="Launched"),$AE499,IF(AND($Y499="Approved",OR($Z499="Yes",$Z499="N/A"),OR($AA499="Yes",$AA499="N/A"),OR($AB499="No",$AB499="N/A",AND($AB499="Yes",$AD499="Yes"))),"Ready",IF($O499&lt;TODAY(),"Overdue",IF($O499-TODAY()&lt;='Rules &amp; Guardrails'!$C$5,"At Risk","In Progress")))))</f>
        <v/>
      </c>
      <c r="AG499" s="28" t="str">
        <f aca="false">IF($O499="","",IF(OR($AE499="Launched",$AE499="Cancelled"),"",MID(IF($Y499&lt;&gt;"Approved",", Content approval","")&amp;IF(NOT(OR($Z499="Yes",$Z499="N/A")),", Assets","")&amp;IF(NOT(OR($AA499="Yes",$AA499="N/A")),", List","")&amp;IF($AB499="",", Ops decision",IF(AND($AB499="Yes",$AD499&lt;&gt;"Yes"),", Ops",""))&amp;IF($U499="",", Owner","")&amp;IF($K499="",", Segment",""),3,200)))</f>
        <v/>
      </c>
      <c r="AH499" s="29" t="str">
        <f aca="true">IF($O499="","",$O499-TODAY())</f>
        <v/>
      </c>
      <c r="AI499" s="26" t="str">
        <f aca="false">IF($O499="","",$O499-WEEKDAY($O499,3))</f>
        <v/>
      </c>
      <c r="AJ499" s="30" t="str">
        <f aca="false">IF($O499="","",DATE(YEAR($O499),MONTH($O499),1))</f>
        <v/>
      </c>
      <c r="AK499" s="31" t="str">
        <f aca="false">IF(OR($O499="",$K499=""),"",COUNTIFS('Comms Calendar'!$K$5:$K$504,$K499,'Comms Calendar'!$B$5:$B$504,$B499,'Comms Calendar'!$AI$5:$AI$504,$AI499,'Comms Calendar'!$AE$5:$AE$504,"&lt;&gt;Cancelled"))</f>
        <v/>
      </c>
      <c r="AL499" s="27" t="str">
        <f aca="false">IF($AK499="","",IF($AK499&gt;'Rules &amp; Guardrails'!$C$3,"Over cap","OK"))</f>
        <v/>
      </c>
      <c r="AM499" s="27" t="str">
        <f aca="false">IF(OR($O499="",$K499=""),"",IF(COUNTIFS('Comms Calendar'!$K$5:$K$504,$K499,'Comms Calendar'!$B$5:$B$504,$B499,'Comms Calendar'!$O$5:$O$504,$O499,'Comms Calendar'!$AE$5:$AE$504,"&lt;&gt;Cancelled")&gt;1,"Clash",""))</f>
        <v/>
      </c>
      <c r="AN499" s="27" t="str">
        <f aca="false">IF($O499="","",IF(IF($B499="Global",COUNTIF('Rules &amp; Guardrails'!$F$9:$F$60,$O499),COUNTIFS('Rules &amp; Guardrails'!$F$9:$F$60,$O499,'Rules &amp; Guardrails'!$G$9:$G$60,$B499)+COUNTIFS('Rules &amp; Guardrails'!$F$9:$F$60,$O499,'Rules &amp; Guardrails'!$G$9:$G$60,"Global"))&gt;0,"Blackout",""))</f>
        <v/>
      </c>
      <c r="AO499" s="6"/>
      <c r="AP499" s="25"/>
      <c r="AQ499" s="23"/>
      <c r="AR499" s="31" t="str">
        <f aca="false">IF($D499="","",IFERROR(VLOOKUP($D499,'Rules &amp; Guardrails'!$A$9:$D$24,2,0),"Other"))</f>
        <v/>
      </c>
      <c r="AS499" s="31" t="str">
        <f aca="false">IF($O499="","",$O499&amp;"|"&amp;$B499)</f>
        <v/>
      </c>
    </row>
    <row r="500" customFormat="false" ht="15" hidden="false" customHeight="false" outlineLevel="0" collapsed="false">
      <c r="A500" s="23"/>
      <c r="B500" s="23"/>
      <c r="C500" s="23"/>
      <c r="D500" s="23"/>
      <c r="E500" s="23"/>
      <c r="F500" s="23"/>
      <c r="G500" s="6"/>
      <c r="H500" s="6"/>
      <c r="I500" s="23"/>
      <c r="J500" s="23"/>
      <c r="K500" s="23"/>
      <c r="L500" s="6"/>
      <c r="M500" s="6"/>
      <c r="N500" s="24"/>
      <c r="O500" s="25"/>
      <c r="P500" s="23"/>
      <c r="Q500" s="23"/>
      <c r="R500" s="23"/>
      <c r="S500" s="23"/>
      <c r="T500" s="26" t="str">
        <f aca="false">IF(OR($O500="",$D500=""),"",WORKDAY($O500,-IFERROR(VLOOKUP($D500,'Rules &amp; Guardrails'!$A$9:$D$24,3,0),10)))</f>
        <v/>
      </c>
      <c r="U500" s="23"/>
      <c r="V500" s="23"/>
      <c r="W500" s="23"/>
      <c r="X500" s="6"/>
      <c r="Y500" s="23"/>
      <c r="Z500" s="23"/>
      <c r="AA500" s="23"/>
      <c r="AB500" s="23"/>
      <c r="AC500" s="23"/>
      <c r="AD500" s="23"/>
      <c r="AE500" s="23"/>
      <c r="AF500" s="27" t="str">
        <f aca="true">IF($O500="","",IF(OR($AE500="Cancelled",$AE500="On hold",$AE500="Launched"),$AE500,IF(AND($Y500="Approved",OR($Z500="Yes",$Z500="N/A"),OR($AA500="Yes",$AA500="N/A"),OR($AB500="No",$AB500="N/A",AND($AB500="Yes",$AD500="Yes"))),"Ready",IF($O500&lt;TODAY(),"Overdue",IF($O500-TODAY()&lt;='Rules &amp; Guardrails'!$C$5,"At Risk","In Progress")))))</f>
        <v/>
      </c>
      <c r="AG500" s="28" t="str">
        <f aca="false">IF($O500="","",IF(OR($AE500="Launched",$AE500="Cancelled"),"",MID(IF($Y500&lt;&gt;"Approved",", Content approval","")&amp;IF(NOT(OR($Z500="Yes",$Z500="N/A")),", Assets","")&amp;IF(NOT(OR($AA500="Yes",$AA500="N/A")),", List","")&amp;IF($AB500="",", Ops decision",IF(AND($AB500="Yes",$AD500&lt;&gt;"Yes"),", Ops",""))&amp;IF($U500="",", Owner","")&amp;IF($K500="",", Segment",""),3,200)))</f>
        <v/>
      </c>
      <c r="AH500" s="29" t="str">
        <f aca="true">IF($O500="","",$O500-TODAY())</f>
        <v/>
      </c>
      <c r="AI500" s="26" t="str">
        <f aca="false">IF($O500="","",$O500-WEEKDAY($O500,3))</f>
        <v/>
      </c>
      <c r="AJ500" s="30" t="str">
        <f aca="false">IF($O500="","",DATE(YEAR($O500),MONTH($O500),1))</f>
        <v/>
      </c>
      <c r="AK500" s="31" t="str">
        <f aca="false">IF(OR($O500="",$K500=""),"",COUNTIFS('Comms Calendar'!$K$5:$K$504,$K500,'Comms Calendar'!$B$5:$B$504,$B500,'Comms Calendar'!$AI$5:$AI$504,$AI500,'Comms Calendar'!$AE$5:$AE$504,"&lt;&gt;Cancelled"))</f>
        <v/>
      </c>
      <c r="AL500" s="27" t="str">
        <f aca="false">IF($AK500="","",IF($AK500&gt;'Rules &amp; Guardrails'!$C$3,"Over cap","OK"))</f>
        <v/>
      </c>
      <c r="AM500" s="27" t="str">
        <f aca="false">IF(OR($O500="",$K500=""),"",IF(COUNTIFS('Comms Calendar'!$K$5:$K$504,$K500,'Comms Calendar'!$B$5:$B$504,$B500,'Comms Calendar'!$O$5:$O$504,$O500,'Comms Calendar'!$AE$5:$AE$504,"&lt;&gt;Cancelled")&gt;1,"Clash",""))</f>
        <v/>
      </c>
      <c r="AN500" s="27" t="str">
        <f aca="false">IF($O500="","",IF(IF($B500="Global",COUNTIF('Rules &amp; Guardrails'!$F$9:$F$60,$O500),COUNTIFS('Rules &amp; Guardrails'!$F$9:$F$60,$O500,'Rules &amp; Guardrails'!$G$9:$G$60,$B500)+COUNTIFS('Rules &amp; Guardrails'!$F$9:$F$60,$O500,'Rules &amp; Guardrails'!$G$9:$G$60,"Global"))&gt;0,"Blackout",""))</f>
        <v/>
      </c>
      <c r="AO500" s="6"/>
      <c r="AP500" s="25"/>
      <c r="AQ500" s="23"/>
      <c r="AR500" s="31" t="str">
        <f aca="false">IF($D500="","",IFERROR(VLOOKUP($D500,'Rules &amp; Guardrails'!$A$9:$D$24,2,0),"Other"))</f>
        <v/>
      </c>
      <c r="AS500" s="31" t="str">
        <f aca="false">IF($O500="","",$O500&amp;"|"&amp;$B500)</f>
        <v/>
      </c>
    </row>
    <row r="501" customFormat="false" ht="15" hidden="false" customHeight="false" outlineLevel="0" collapsed="false">
      <c r="A501" s="23"/>
      <c r="B501" s="23"/>
      <c r="C501" s="23"/>
      <c r="D501" s="23"/>
      <c r="E501" s="23"/>
      <c r="F501" s="23"/>
      <c r="G501" s="6"/>
      <c r="H501" s="6"/>
      <c r="I501" s="23"/>
      <c r="J501" s="23"/>
      <c r="K501" s="23"/>
      <c r="L501" s="6"/>
      <c r="M501" s="6"/>
      <c r="N501" s="24"/>
      <c r="O501" s="25"/>
      <c r="P501" s="23"/>
      <c r="Q501" s="23"/>
      <c r="R501" s="23"/>
      <c r="S501" s="23"/>
      <c r="T501" s="26" t="str">
        <f aca="false">IF(OR($O501="",$D501=""),"",WORKDAY($O501,-IFERROR(VLOOKUP($D501,'Rules &amp; Guardrails'!$A$9:$D$24,3,0),10)))</f>
        <v/>
      </c>
      <c r="U501" s="23"/>
      <c r="V501" s="23"/>
      <c r="W501" s="23"/>
      <c r="X501" s="6"/>
      <c r="Y501" s="23"/>
      <c r="Z501" s="23"/>
      <c r="AA501" s="23"/>
      <c r="AB501" s="23"/>
      <c r="AC501" s="23"/>
      <c r="AD501" s="23"/>
      <c r="AE501" s="23"/>
      <c r="AF501" s="27" t="str">
        <f aca="true">IF($O501="","",IF(OR($AE501="Cancelled",$AE501="On hold",$AE501="Launched"),$AE501,IF(AND($Y501="Approved",OR($Z501="Yes",$Z501="N/A"),OR($AA501="Yes",$AA501="N/A"),OR($AB501="No",$AB501="N/A",AND($AB501="Yes",$AD501="Yes"))),"Ready",IF($O501&lt;TODAY(),"Overdue",IF($O501-TODAY()&lt;='Rules &amp; Guardrails'!$C$5,"At Risk","In Progress")))))</f>
        <v/>
      </c>
      <c r="AG501" s="28" t="str">
        <f aca="false">IF($O501="","",IF(OR($AE501="Launched",$AE501="Cancelled"),"",MID(IF($Y501&lt;&gt;"Approved",", Content approval","")&amp;IF(NOT(OR($Z501="Yes",$Z501="N/A")),", Assets","")&amp;IF(NOT(OR($AA501="Yes",$AA501="N/A")),", List","")&amp;IF($AB501="",", Ops decision",IF(AND($AB501="Yes",$AD501&lt;&gt;"Yes"),", Ops",""))&amp;IF($U501="",", Owner","")&amp;IF($K501="",", Segment",""),3,200)))</f>
        <v/>
      </c>
      <c r="AH501" s="29" t="str">
        <f aca="true">IF($O501="","",$O501-TODAY())</f>
        <v/>
      </c>
      <c r="AI501" s="26" t="str">
        <f aca="false">IF($O501="","",$O501-WEEKDAY($O501,3))</f>
        <v/>
      </c>
      <c r="AJ501" s="30" t="str">
        <f aca="false">IF($O501="","",DATE(YEAR($O501),MONTH($O501),1))</f>
        <v/>
      </c>
      <c r="AK501" s="31" t="str">
        <f aca="false">IF(OR($O501="",$K501=""),"",COUNTIFS('Comms Calendar'!$K$5:$K$504,$K501,'Comms Calendar'!$B$5:$B$504,$B501,'Comms Calendar'!$AI$5:$AI$504,$AI501,'Comms Calendar'!$AE$5:$AE$504,"&lt;&gt;Cancelled"))</f>
        <v/>
      </c>
      <c r="AL501" s="27" t="str">
        <f aca="false">IF($AK501="","",IF($AK501&gt;'Rules &amp; Guardrails'!$C$3,"Over cap","OK"))</f>
        <v/>
      </c>
      <c r="AM501" s="27" t="str">
        <f aca="false">IF(OR($O501="",$K501=""),"",IF(COUNTIFS('Comms Calendar'!$K$5:$K$504,$K501,'Comms Calendar'!$B$5:$B$504,$B501,'Comms Calendar'!$O$5:$O$504,$O501,'Comms Calendar'!$AE$5:$AE$504,"&lt;&gt;Cancelled")&gt;1,"Clash",""))</f>
        <v/>
      </c>
      <c r="AN501" s="27" t="str">
        <f aca="false">IF($O501="","",IF(IF($B501="Global",COUNTIF('Rules &amp; Guardrails'!$F$9:$F$60,$O501),COUNTIFS('Rules &amp; Guardrails'!$F$9:$F$60,$O501,'Rules &amp; Guardrails'!$G$9:$G$60,$B501)+COUNTIFS('Rules &amp; Guardrails'!$F$9:$F$60,$O501,'Rules &amp; Guardrails'!$G$9:$G$60,"Global"))&gt;0,"Blackout",""))</f>
        <v/>
      </c>
      <c r="AO501" s="6"/>
      <c r="AP501" s="25"/>
      <c r="AQ501" s="23"/>
      <c r="AR501" s="31" t="str">
        <f aca="false">IF($D501="","",IFERROR(VLOOKUP($D501,'Rules &amp; Guardrails'!$A$9:$D$24,2,0),"Other"))</f>
        <v/>
      </c>
      <c r="AS501" s="31" t="str">
        <f aca="false">IF($O501="","",$O501&amp;"|"&amp;$B501)</f>
        <v/>
      </c>
    </row>
    <row r="502" customFormat="false" ht="15" hidden="false" customHeight="false" outlineLevel="0" collapsed="false">
      <c r="A502" s="23"/>
      <c r="B502" s="23"/>
      <c r="C502" s="23"/>
      <c r="D502" s="23"/>
      <c r="E502" s="23"/>
      <c r="F502" s="23"/>
      <c r="G502" s="6"/>
      <c r="H502" s="6"/>
      <c r="I502" s="23"/>
      <c r="J502" s="23"/>
      <c r="K502" s="23"/>
      <c r="L502" s="6"/>
      <c r="M502" s="6"/>
      <c r="N502" s="24"/>
      <c r="O502" s="25"/>
      <c r="P502" s="23"/>
      <c r="Q502" s="23"/>
      <c r="R502" s="23"/>
      <c r="S502" s="23"/>
      <c r="T502" s="26" t="str">
        <f aca="false">IF(OR($O502="",$D502=""),"",WORKDAY($O502,-IFERROR(VLOOKUP($D502,'Rules &amp; Guardrails'!$A$9:$D$24,3,0),10)))</f>
        <v/>
      </c>
      <c r="U502" s="23"/>
      <c r="V502" s="23"/>
      <c r="W502" s="23"/>
      <c r="X502" s="6"/>
      <c r="Y502" s="23"/>
      <c r="Z502" s="23"/>
      <c r="AA502" s="23"/>
      <c r="AB502" s="23"/>
      <c r="AC502" s="23"/>
      <c r="AD502" s="23"/>
      <c r="AE502" s="23"/>
      <c r="AF502" s="27" t="str">
        <f aca="true">IF($O502="","",IF(OR($AE502="Cancelled",$AE502="On hold",$AE502="Launched"),$AE502,IF(AND($Y502="Approved",OR($Z502="Yes",$Z502="N/A"),OR($AA502="Yes",$AA502="N/A"),OR($AB502="No",$AB502="N/A",AND($AB502="Yes",$AD502="Yes"))),"Ready",IF($O502&lt;TODAY(),"Overdue",IF($O502-TODAY()&lt;='Rules &amp; Guardrails'!$C$5,"At Risk","In Progress")))))</f>
        <v/>
      </c>
      <c r="AG502" s="28" t="str">
        <f aca="false">IF($O502="","",IF(OR($AE502="Launched",$AE502="Cancelled"),"",MID(IF($Y502&lt;&gt;"Approved",", Content approval","")&amp;IF(NOT(OR($Z502="Yes",$Z502="N/A")),", Assets","")&amp;IF(NOT(OR($AA502="Yes",$AA502="N/A")),", List","")&amp;IF($AB502="",", Ops decision",IF(AND($AB502="Yes",$AD502&lt;&gt;"Yes"),", Ops",""))&amp;IF($U502="",", Owner","")&amp;IF($K502="",", Segment",""),3,200)))</f>
        <v/>
      </c>
      <c r="AH502" s="29" t="str">
        <f aca="true">IF($O502="","",$O502-TODAY())</f>
        <v/>
      </c>
      <c r="AI502" s="26" t="str">
        <f aca="false">IF($O502="","",$O502-WEEKDAY($O502,3))</f>
        <v/>
      </c>
      <c r="AJ502" s="30" t="str">
        <f aca="false">IF($O502="","",DATE(YEAR($O502),MONTH($O502),1))</f>
        <v/>
      </c>
      <c r="AK502" s="31" t="str">
        <f aca="false">IF(OR($O502="",$K502=""),"",COUNTIFS('Comms Calendar'!$K$5:$K$504,$K502,'Comms Calendar'!$B$5:$B$504,$B502,'Comms Calendar'!$AI$5:$AI$504,$AI502,'Comms Calendar'!$AE$5:$AE$504,"&lt;&gt;Cancelled"))</f>
        <v/>
      </c>
      <c r="AL502" s="27" t="str">
        <f aca="false">IF($AK502="","",IF($AK502&gt;'Rules &amp; Guardrails'!$C$3,"Over cap","OK"))</f>
        <v/>
      </c>
      <c r="AM502" s="27" t="str">
        <f aca="false">IF(OR($O502="",$K502=""),"",IF(COUNTIFS('Comms Calendar'!$K$5:$K$504,$K502,'Comms Calendar'!$B$5:$B$504,$B502,'Comms Calendar'!$O$5:$O$504,$O502,'Comms Calendar'!$AE$5:$AE$504,"&lt;&gt;Cancelled")&gt;1,"Clash",""))</f>
        <v/>
      </c>
      <c r="AN502" s="27" t="str">
        <f aca="false">IF($O502="","",IF(IF($B502="Global",COUNTIF('Rules &amp; Guardrails'!$F$9:$F$60,$O502),COUNTIFS('Rules &amp; Guardrails'!$F$9:$F$60,$O502,'Rules &amp; Guardrails'!$G$9:$G$60,$B502)+COUNTIFS('Rules &amp; Guardrails'!$F$9:$F$60,$O502,'Rules &amp; Guardrails'!$G$9:$G$60,"Global"))&gt;0,"Blackout",""))</f>
        <v/>
      </c>
      <c r="AO502" s="6"/>
      <c r="AP502" s="25"/>
      <c r="AQ502" s="23"/>
      <c r="AR502" s="31" t="str">
        <f aca="false">IF($D502="","",IFERROR(VLOOKUP($D502,'Rules &amp; Guardrails'!$A$9:$D$24,2,0),"Other"))</f>
        <v/>
      </c>
      <c r="AS502" s="31" t="str">
        <f aca="false">IF($O502="","",$O502&amp;"|"&amp;$B502)</f>
        <v/>
      </c>
    </row>
    <row r="503" customFormat="false" ht="15" hidden="false" customHeight="false" outlineLevel="0" collapsed="false">
      <c r="A503" s="23"/>
      <c r="B503" s="23"/>
      <c r="C503" s="23"/>
      <c r="D503" s="23"/>
      <c r="E503" s="23"/>
      <c r="F503" s="23"/>
      <c r="G503" s="6"/>
      <c r="H503" s="6"/>
      <c r="I503" s="23"/>
      <c r="J503" s="23"/>
      <c r="K503" s="23"/>
      <c r="L503" s="6"/>
      <c r="M503" s="6"/>
      <c r="N503" s="24"/>
      <c r="O503" s="25"/>
      <c r="P503" s="23"/>
      <c r="Q503" s="23"/>
      <c r="R503" s="23"/>
      <c r="S503" s="23"/>
      <c r="T503" s="26" t="str">
        <f aca="false">IF(OR($O503="",$D503=""),"",WORKDAY($O503,-IFERROR(VLOOKUP($D503,'Rules &amp; Guardrails'!$A$9:$D$24,3,0),10)))</f>
        <v/>
      </c>
      <c r="U503" s="23"/>
      <c r="V503" s="23"/>
      <c r="W503" s="23"/>
      <c r="X503" s="6"/>
      <c r="Y503" s="23"/>
      <c r="Z503" s="23"/>
      <c r="AA503" s="23"/>
      <c r="AB503" s="23"/>
      <c r="AC503" s="23"/>
      <c r="AD503" s="23"/>
      <c r="AE503" s="23"/>
      <c r="AF503" s="27" t="str">
        <f aca="true">IF($O503="","",IF(OR($AE503="Cancelled",$AE503="On hold",$AE503="Launched"),$AE503,IF(AND($Y503="Approved",OR($Z503="Yes",$Z503="N/A"),OR($AA503="Yes",$AA503="N/A"),OR($AB503="No",$AB503="N/A",AND($AB503="Yes",$AD503="Yes"))),"Ready",IF($O503&lt;TODAY(),"Overdue",IF($O503-TODAY()&lt;='Rules &amp; Guardrails'!$C$5,"At Risk","In Progress")))))</f>
        <v/>
      </c>
      <c r="AG503" s="28" t="str">
        <f aca="false">IF($O503="","",IF(OR($AE503="Launched",$AE503="Cancelled"),"",MID(IF($Y503&lt;&gt;"Approved",", Content approval","")&amp;IF(NOT(OR($Z503="Yes",$Z503="N/A")),", Assets","")&amp;IF(NOT(OR($AA503="Yes",$AA503="N/A")),", List","")&amp;IF($AB503="",", Ops decision",IF(AND($AB503="Yes",$AD503&lt;&gt;"Yes"),", Ops",""))&amp;IF($U503="",", Owner","")&amp;IF($K503="",", Segment",""),3,200)))</f>
        <v/>
      </c>
      <c r="AH503" s="29" t="str">
        <f aca="true">IF($O503="","",$O503-TODAY())</f>
        <v/>
      </c>
      <c r="AI503" s="26" t="str">
        <f aca="false">IF($O503="","",$O503-WEEKDAY($O503,3))</f>
        <v/>
      </c>
      <c r="AJ503" s="30" t="str">
        <f aca="false">IF($O503="","",DATE(YEAR($O503),MONTH($O503),1))</f>
        <v/>
      </c>
      <c r="AK503" s="31" t="str">
        <f aca="false">IF(OR($O503="",$K503=""),"",COUNTIFS('Comms Calendar'!$K$5:$K$504,$K503,'Comms Calendar'!$B$5:$B$504,$B503,'Comms Calendar'!$AI$5:$AI$504,$AI503,'Comms Calendar'!$AE$5:$AE$504,"&lt;&gt;Cancelled"))</f>
        <v/>
      </c>
      <c r="AL503" s="27" t="str">
        <f aca="false">IF($AK503="","",IF($AK503&gt;'Rules &amp; Guardrails'!$C$3,"Over cap","OK"))</f>
        <v/>
      </c>
      <c r="AM503" s="27" t="str">
        <f aca="false">IF(OR($O503="",$K503=""),"",IF(COUNTIFS('Comms Calendar'!$K$5:$K$504,$K503,'Comms Calendar'!$B$5:$B$504,$B503,'Comms Calendar'!$O$5:$O$504,$O503,'Comms Calendar'!$AE$5:$AE$504,"&lt;&gt;Cancelled")&gt;1,"Clash",""))</f>
        <v/>
      </c>
      <c r="AN503" s="27" t="str">
        <f aca="false">IF($O503="","",IF(IF($B503="Global",COUNTIF('Rules &amp; Guardrails'!$F$9:$F$60,$O503),COUNTIFS('Rules &amp; Guardrails'!$F$9:$F$60,$O503,'Rules &amp; Guardrails'!$G$9:$G$60,$B503)+COUNTIFS('Rules &amp; Guardrails'!$F$9:$F$60,$O503,'Rules &amp; Guardrails'!$G$9:$G$60,"Global"))&gt;0,"Blackout",""))</f>
        <v/>
      </c>
      <c r="AO503" s="6"/>
      <c r="AP503" s="25"/>
      <c r="AQ503" s="23"/>
      <c r="AR503" s="31" t="str">
        <f aca="false">IF($D503="","",IFERROR(VLOOKUP($D503,'Rules &amp; Guardrails'!$A$9:$D$24,2,0),"Other"))</f>
        <v/>
      </c>
      <c r="AS503" s="31" t="str">
        <f aca="false">IF($O503="","",$O503&amp;"|"&amp;$B503)</f>
        <v/>
      </c>
    </row>
    <row r="504" customFormat="false" ht="15" hidden="false" customHeight="false" outlineLevel="0" collapsed="false">
      <c r="A504" s="23"/>
      <c r="B504" s="23"/>
      <c r="C504" s="23"/>
      <c r="D504" s="23"/>
      <c r="E504" s="23"/>
      <c r="F504" s="23"/>
      <c r="G504" s="6"/>
      <c r="H504" s="6"/>
      <c r="I504" s="23"/>
      <c r="J504" s="23"/>
      <c r="K504" s="23"/>
      <c r="L504" s="6"/>
      <c r="M504" s="6"/>
      <c r="N504" s="24"/>
      <c r="O504" s="25"/>
      <c r="P504" s="23"/>
      <c r="Q504" s="23"/>
      <c r="R504" s="23"/>
      <c r="S504" s="23"/>
      <c r="T504" s="26" t="str">
        <f aca="false">IF(OR($O504="",$D504=""),"",WORKDAY($O504,-IFERROR(VLOOKUP($D504,'Rules &amp; Guardrails'!$A$9:$D$24,3,0),10)))</f>
        <v/>
      </c>
      <c r="U504" s="23"/>
      <c r="V504" s="23"/>
      <c r="W504" s="23"/>
      <c r="X504" s="6"/>
      <c r="Y504" s="23"/>
      <c r="Z504" s="23"/>
      <c r="AA504" s="23"/>
      <c r="AB504" s="23"/>
      <c r="AC504" s="23"/>
      <c r="AD504" s="23"/>
      <c r="AE504" s="23"/>
      <c r="AF504" s="27" t="str">
        <f aca="true">IF($O504="","",IF(OR($AE504="Cancelled",$AE504="On hold",$AE504="Launched"),$AE504,IF(AND($Y504="Approved",OR($Z504="Yes",$Z504="N/A"),OR($AA504="Yes",$AA504="N/A"),OR($AB504="No",$AB504="N/A",AND($AB504="Yes",$AD504="Yes"))),"Ready",IF($O504&lt;TODAY(),"Overdue",IF($O504-TODAY()&lt;='Rules &amp; Guardrails'!$C$5,"At Risk","In Progress")))))</f>
        <v/>
      </c>
      <c r="AG504" s="28" t="str">
        <f aca="false">IF($O504="","",IF(OR($AE504="Launched",$AE504="Cancelled"),"",MID(IF($Y504&lt;&gt;"Approved",", Content approval","")&amp;IF(NOT(OR($Z504="Yes",$Z504="N/A")),", Assets","")&amp;IF(NOT(OR($AA504="Yes",$AA504="N/A")),", List","")&amp;IF($AB504="",", Ops decision",IF(AND($AB504="Yes",$AD504&lt;&gt;"Yes"),", Ops",""))&amp;IF($U504="",", Owner","")&amp;IF($K504="",", Segment",""),3,200)))</f>
        <v/>
      </c>
      <c r="AH504" s="29" t="str">
        <f aca="true">IF($O504="","",$O504-TODAY())</f>
        <v/>
      </c>
      <c r="AI504" s="26" t="str">
        <f aca="false">IF($O504="","",$O504-WEEKDAY($O504,3))</f>
        <v/>
      </c>
      <c r="AJ504" s="30" t="str">
        <f aca="false">IF($O504="","",DATE(YEAR($O504),MONTH($O504),1))</f>
        <v/>
      </c>
      <c r="AK504" s="31" t="str">
        <f aca="false">IF(OR($O504="",$K504=""),"",COUNTIFS('Comms Calendar'!$K$5:$K$504,$K504,'Comms Calendar'!$B$5:$B$504,$B504,'Comms Calendar'!$AI$5:$AI$504,$AI504,'Comms Calendar'!$AE$5:$AE$504,"&lt;&gt;Cancelled"))</f>
        <v/>
      </c>
      <c r="AL504" s="27" t="str">
        <f aca="false">IF($AK504="","",IF($AK504&gt;'Rules &amp; Guardrails'!$C$3,"Over cap","OK"))</f>
        <v/>
      </c>
      <c r="AM504" s="27" t="str">
        <f aca="false">IF(OR($O504="",$K504=""),"",IF(COUNTIFS('Comms Calendar'!$K$5:$K$504,$K504,'Comms Calendar'!$B$5:$B$504,$B504,'Comms Calendar'!$O$5:$O$504,$O504,'Comms Calendar'!$AE$5:$AE$504,"&lt;&gt;Cancelled")&gt;1,"Clash",""))</f>
        <v/>
      </c>
      <c r="AN504" s="27" t="str">
        <f aca="false">IF($O504="","",IF(IF($B504="Global",COUNTIF('Rules &amp; Guardrails'!$F$9:$F$60,$O504),COUNTIFS('Rules &amp; Guardrails'!$F$9:$F$60,$O504,'Rules &amp; Guardrails'!$G$9:$G$60,$B504)+COUNTIFS('Rules &amp; Guardrails'!$F$9:$F$60,$O504,'Rules &amp; Guardrails'!$G$9:$G$60,"Global"))&gt;0,"Blackout",""))</f>
        <v/>
      </c>
      <c r="AO504" s="6"/>
      <c r="AP504" s="25"/>
      <c r="AQ504" s="23"/>
      <c r="AR504" s="31" t="str">
        <f aca="false">IF($D504="","",IFERROR(VLOOKUP($D504,'Rules &amp; Guardrails'!$A$9:$D$24,2,0),"Other"))</f>
        <v/>
      </c>
      <c r="AS504" s="31" t="str">
        <f aca="false">IF($O504="","",$O504&amp;"|"&amp;$B504)</f>
        <v/>
      </c>
    </row>
  </sheetData>
  <autoFilter ref="A4:AS504"/>
  <mergeCells count="9">
    <mergeCell ref="A3:F3"/>
    <mergeCell ref="G3:J3"/>
    <mergeCell ref="K3:N3"/>
    <mergeCell ref="O3:T3"/>
    <mergeCell ref="U3:X3"/>
    <mergeCell ref="Y3:AH3"/>
    <mergeCell ref="AI3:AN3"/>
    <mergeCell ref="AO3:AQ3"/>
    <mergeCell ref="AR3:AS3"/>
  </mergeCells>
  <conditionalFormatting sqref="AF5:AF504">
    <cfRule type="cellIs" priority="2" operator="equal" aboveAverage="0" equalAverage="0" bottom="0" percent="0" rank="0" text="" dxfId="12">
      <formula>"Ready"</formula>
    </cfRule>
    <cfRule type="cellIs" priority="3" operator="equal" aboveAverage="0" equalAverage="0" bottom="0" percent="0" rank="0" text="" dxfId="13">
      <formula>"In Progress"</formula>
    </cfRule>
    <cfRule type="cellIs" priority="4" operator="equal" aboveAverage="0" equalAverage="0" bottom="0" percent="0" rank="0" text="" dxfId="14">
      <formula>"At Risk"</formula>
    </cfRule>
    <cfRule type="cellIs" priority="5" operator="equal" aboveAverage="0" equalAverage="0" bottom="0" percent="0" rank="0" text="" dxfId="15">
      <formula>"Overdue"</formula>
    </cfRule>
    <cfRule type="cellIs" priority="6" operator="equal" aboveAverage="0" equalAverage="0" bottom="0" percent="0" rank="0" text="" dxfId="16">
      <formula>"Launched"</formula>
    </cfRule>
    <cfRule type="cellIs" priority="7" operator="equal" aboveAverage="0" equalAverage="0" bottom="0" percent="0" rank="0" text="" dxfId="17">
      <formula>"On hold"</formula>
    </cfRule>
    <cfRule type="cellIs" priority="8" operator="equal" aboveAverage="0" equalAverage="0" bottom="0" percent="0" rank="0" text="" dxfId="18">
      <formula>"Cancelled"</formula>
    </cfRule>
  </conditionalFormatting>
  <conditionalFormatting sqref="AE5:AE504">
    <cfRule type="cellIs" priority="9" operator="equal" aboveAverage="0" equalAverage="0" bottom="0" percent="0" rank="0" text="" dxfId="19">
      <formula>"Launched"</formula>
    </cfRule>
    <cfRule type="cellIs" priority="10" operator="equal" aboveAverage="0" equalAverage="0" bottom="0" percent="0" rank="0" text="" dxfId="20">
      <formula>"On hold"</formula>
    </cfRule>
    <cfRule type="cellIs" priority="11" operator="equal" aboveAverage="0" equalAverage="0" bottom="0" percent="0" rank="0" text="" dxfId="21">
      <formula>"Cancelled"</formula>
    </cfRule>
  </conditionalFormatting>
  <conditionalFormatting sqref="AL5:AL504">
    <cfRule type="cellIs" priority="12" operator="equal" aboveAverage="0" equalAverage="0" bottom="0" percent="0" rank="0" text="" dxfId="15">
      <formula>"Over cap"</formula>
    </cfRule>
  </conditionalFormatting>
  <conditionalFormatting sqref="AM5:AM504">
    <cfRule type="cellIs" priority="13" operator="equal" aboveAverage="0" equalAverage="0" bottom="0" percent="0" rank="0" text="" dxfId="15">
      <formula>"Clash"</formula>
    </cfRule>
  </conditionalFormatting>
  <conditionalFormatting sqref="AN5:AN504">
    <cfRule type="cellIs" priority="14" operator="equal" aboveAverage="0" equalAverage="0" bottom="0" percent="0" rank="0" text="" dxfId="15">
      <formula>"Blackout"</formula>
    </cfRule>
  </conditionalFormatting>
  <conditionalFormatting sqref="Z5:Z504">
    <cfRule type="cellIs" priority="15" operator="equal" aboveAverage="0" equalAverage="0" bottom="0" percent="0" rank="0" text="" dxfId="22">
      <formula>"No"</formula>
    </cfRule>
  </conditionalFormatting>
  <conditionalFormatting sqref="AA5:AA504">
    <cfRule type="cellIs" priority="16" operator="equal" aboveAverage="0" equalAverage="0" bottom="0" percent="0" rank="0" text="" dxfId="22">
      <formula>"No"</formula>
    </cfRule>
  </conditionalFormatting>
  <conditionalFormatting sqref="AD5:AD504">
    <cfRule type="cellIs" priority="17" operator="equal" aboveAverage="0" equalAverage="0" bottom="0" percent="0" rank="0" text="" dxfId="22">
      <formula>"No"</formula>
    </cfRule>
  </conditionalFormatting>
  <conditionalFormatting sqref="Y5:Y504">
    <cfRule type="cellIs" priority="18" operator="equal" aboveAverage="0" equalAverage="0" bottom="0" percent="0" rank="0" text="" dxfId="23">
      <formula>"Approved"</formula>
    </cfRule>
  </conditionalFormatting>
  <conditionalFormatting sqref="T5:T504">
    <cfRule type="expression" priority="19" aboveAverage="0" equalAverage="0" bottom="0" percent="0" rank="0" text="" dxfId="22">
      <formula>AND($T5&lt;&gt;"",$T5&lt;TODAY(),$Y5&lt;&gt;"Approved",$AE5&lt;&gt;"Launched",$AE5&lt;&gt;"Cancelled")</formula>
    </cfRule>
  </conditionalFormatting>
  <dataValidations count="16">
    <dataValidation allowBlank="true" error="Not in the list — pick from the dropdown or add it on the Dropdowns tab." errorStyle="warning" errorTitle="Check value" operator="between" showDropDown="false" showErrorMessage="false" showInputMessage="false" sqref="B5:B504" type="list">
      <formula1>Dropdowns!$A$2:$A$5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D5:D504" type="list">
      <formula1>'Rules &amp; Guardrails'!$A$9:$A$24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E5:E504" type="list">
      <formula1>Dropdowns!$B$2:$B$6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J5:J504" type="list">
      <formula1>Dropdowns!$J$2:$J$13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Q5:Q504" type="list">
      <formula1>Dropdowns!$H$2:$H$11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R5:R504" type="list">
      <formula1>Dropdowns!$I$2:$I$8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U5:U504" type="list">
      <formula1>Dropdowns!$D$2:$D$10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V5:V504" type="list">
      <formula1>Dropdowns!$C$2:$C$9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W5:W504" type="list">
      <formula1>Dropdowns!$D$2:$D$10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Y5:Y504" type="list">
      <formula1>Dropdowns!$E$2:$E$5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Z5:Z504" type="list">
      <formula1>Dropdowns!$F$2:$F$4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AA5:AA504" type="list">
      <formula1>Dropdowns!$F$2:$F$4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AB5:AB504" type="list">
      <formula1>Dropdowns!$F$2:$F$4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AD5:AD504" type="list">
      <formula1>Dropdowns!$F$2:$F$4</formula1>
      <formula2>0</formula2>
    </dataValidation>
    <dataValidation allowBlank="true" error="Not in the list — pick from the dropdown or add it on the Dropdowns tab." errorStyle="warning" errorTitle="Check value" operator="between" showDropDown="false" showErrorMessage="false" showInputMessage="false" sqref="AE5:AE504" type="list">
      <formula1>Dropdowns!$G$2:$G$7</formula1>
      <formula2>0</formula2>
    </dataValidation>
    <dataValidation allowBlank="true" error="Enter a real date, e.g. 22/10/2026" errorStyle="stop" errorTitle="Launch date" operator="greaterThan" showDropDown="false" showErrorMessage="false" showInputMessage="false" sqref="O5:O504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7CAC"/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24"/>
  </cols>
  <sheetData>
    <row r="1" customFormat="false" ht="19.7" hidden="false" customHeight="false" outlineLevel="0" collapsed="false">
      <c r="B1" s="11" t="s">
        <v>5</v>
      </c>
    </row>
    <row r="3" customFormat="false" ht="15" hidden="false" customHeight="false" outlineLevel="0" collapsed="false">
      <c r="B3" s="32" t="s">
        <v>303</v>
      </c>
      <c r="C3" s="33" t="n">
        <v>46296</v>
      </c>
      <c r="E3" s="34" t="s">
        <v>304</v>
      </c>
      <c r="F3" s="35" t="s">
        <v>247</v>
      </c>
      <c r="H3" s="36" t="str">
        <f aca="false">"Total this month: "&amp;SUMPRODUCT(('Comms Calendar'!$O$5:$O$504&gt;=DATE(YEAR($C$3),MONTH($C$3),1))*('Comms Calendar'!$O$5:$O$504&lt;DATE(YEAR($C$3),MONTH($C$3)+1,1))*('Comms Calendar'!$AE$5:$AE$504&lt;&gt;"Cancelled")*(($F$3="All")+('Comms Calendar'!$B$5:$B$504=$F$3)&gt;0))</f>
        <v>Total this month: 9</v>
      </c>
    </row>
    <row r="4" customFormat="false" ht="15" hidden="false" customHeight="false" outlineLevel="0" collapsed="false">
      <c r="B4" s="12" t="s">
        <v>305</v>
      </c>
    </row>
    <row r="6" customFormat="false" ht="15" hidden="false" customHeight="false" outlineLevel="0" collapsed="false">
      <c r="B6" s="37" t="s">
        <v>306</v>
      </c>
      <c r="C6" s="37" t="s">
        <v>307</v>
      </c>
      <c r="D6" s="37" t="s">
        <v>308</v>
      </c>
      <c r="E6" s="37" t="s">
        <v>309</v>
      </c>
      <c r="F6" s="37" t="s">
        <v>310</v>
      </c>
      <c r="G6" s="37" t="s">
        <v>311</v>
      </c>
      <c r="H6" s="37" t="s">
        <v>312</v>
      </c>
    </row>
    <row r="7" customFormat="false" ht="15" hidden="false" customHeight="false" outlineLevel="0" collapsed="false">
      <c r="B7" s="38" t="n">
        <f aca="false">DATE(YEAR($C$3),MONTH($C$3),1)-WEEKDAY(DATE(YEAR($C$3),MONTH($C$3),1),3)</f>
        <v>46293</v>
      </c>
      <c r="C7" s="38" t="n">
        <f aca="false">B7+1</f>
        <v>46294</v>
      </c>
      <c r="D7" s="38" t="n">
        <f aca="false">C7+1</f>
        <v>46295</v>
      </c>
      <c r="E7" s="38" t="n">
        <f aca="false">D7+1</f>
        <v>46296</v>
      </c>
      <c r="F7" s="38" t="n">
        <f aca="false">E7+1</f>
        <v>46297</v>
      </c>
      <c r="G7" s="38" t="n">
        <f aca="false">F7+1</f>
        <v>46298</v>
      </c>
      <c r="H7" s="38" t="n">
        <f aca="false">G7+1</f>
        <v>46299</v>
      </c>
    </row>
    <row r="8" customFormat="false" ht="15" hidden="false" customHeight="false" outlineLevel="0" collapsed="false">
      <c r="B8" s="39" t="n">
        <f aca="false">IF($F$3="All",COUNTIFS('Comms Calendar'!$O$5:$O$504,B7,'Comms Calendar'!$AE$5:$AE$504,"&lt;&gt;Cancelled"),COUNTIFS('Comms Calendar'!$O$5:$O$504,B7,'Comms Calendar'!$B$5:$B$504,$F$3,'Comms Calendar'!$AE$5:$AE$504,"&lt;&gt;Cancelled"))</f>
        <v>0</v>
      </c>
      <c r="C8" s="39" t="n">
        <f aca="false">IF($F$3="All",COUNTIFS('Comms Calendar'!$O$5:$O$504,C7,'Comms Calendar'!$AE$5:$AE$504,"&lt;&gt;Cancelled"),COUNTIFS('Comms Calendar'!$O$5:$O$504,C7,'Comms Calendar'!$B$5:$B$504,$F$3,'Comms Calendar'!$AE$5:$AE$504,"&lt;&gt;Cancelled"))</f>
        <v>0</v>
      </c>
      <c r="D8" s="39" t="n">
        <f aca="false">IF($F$3="All",COUNTIFS('Comms Calendar'!$O$5:$O$504,D7,'Comms Calendar'!$AE$5:$AE$504,"&lt;&gt;Cancelled"),COUNTIFS('Comms Calendar'!$O$5:$O$504,D7,'Comms Calendar'!$B$5:$B$504,$F$3,'Comms Calendar'!$AE$5:$AE$504,"&lt;&gt;Cancelled"))</f>
        <v>0</v>
      </c>
      <c r="E8" s="39" t="n">
        <f aca="false">IF($F$3="All",COUNTIFS('Comms Calendar'!$O$5:$O$504,E7,'Comms Calendar'!$AE$5:$AE$504,"&lt;&gt;Cancelled"),COUNTIFS('Comms Calendar'!$O$5:$O$504,E7,'Comms Calendar'!$B$5:$B$504,$F$3,'Comms Calendar'!$AE$5:$AE$504,"&lt;&gt;Cancelled"))</f>
        <v>0</v>
      </c>
      <c r="F8" s="39" t="n">
        <f aca="false">IF($F$3="All",COUNTIFS('Comms Calendar'!$O$5:$O$504,F7,'Comms Calendar'!$AE$5:$AE$504,"&lt;&gt;Cancelled"),COUNTIFS('Comms Calendar'!$O$5:$O$504,F7,'Comms Calendar'!$B$5:$B$504,$F$3,'Comms Calendar'!$AE$5:$AE$504,"&lt;&gt;Cancelled"))</f>
        <v>0</v>
      </c>
      <c r="G8" s="39" t="n">
        <f aca="false">IF($F$3="All",COUNTIFS('Comms Calendar'!$O$5:$O$504,G7,'Comms Calendar'!$AE$5:$AE$504,"&lt;&gt;Cancelled"),COUNTIFS('Comms Calendar'!$O$5:$O$504,G7,'Comms Calendar'!$B$5:$B$504,$F$3,'Comms Calendar'!$AE$5:$AE$504,"&lt;&gt;Cancelled"))</f>
        <v>0</v>
      </c>
      <c r="H8" s="39" t="n">
        <f aca="false">IF($F$3="All",COUNTIFS('Comms Calendar'!$O$5:$O$504,H7,'Comms Calendar'!$AE$5:$AE$504,"&lt;&gt;Cancelled"),COUNTIFS('Comms Calendar'!$O$5:$O$504,H7,'Comms Calendar'!$B$5:$B$504,$F$3,'Comms Calendar'!$AE$5:$AE$504,"&lt;&gt;Cancelled"))</f>
        <v>0</v>
      </c>
    </row>
    <row r="9" customFormat="false" ht="15" hidden="false" customHeight="false" outlineLevel="0" collapsed="false">
      <c r="B9" s="40" t="str">
        <f aca="false">IF(B8=0,"","AM "&amp;COUNTIFS('Comms Calendar'!$O$5:$O$504,B7,'Comms Calendar'!$B$5:$B$504,"AMER",'Comms Calendar'!$AE$5:$AE$504,"&lt;&gt;Cancelled")&amp;" · "&amp;"EM "&amp;COUNTIFS('Comms Calendar'!$O$5:$O$504,B7,'Comms Calendar'!$B$5:$B$504,"EMEA",'Comms Calendar'!$AE$5:$AE$504,"&lt;&gt;Cancelled")&amp;" · "&amp;"AP "&amp;COUNTIFS('Comms Calendar'!$O$5:$O$504,B7,'Comms Calendar'!$B$5:$B$504,"APAC",'Comms Calendar'!$AE$5:$AE$504,"&lt;&gt;Cancelled")&amp;" · "&amp;"GL "&amp;COUNTIFS('Comms Calendar'!$O$5:$O$504,B7,'Comms Calendar'!$B$5:$B$504,"Global",'Comms Calendar'!$AE$5:$AE$504,"&lt;&gt;Cancelled"))</f>
        <v/>
      </c>
      <c r="C9" s="40" t="str">
        <f aca="false">IF(C8=0,"","AM "&amp;COUNTIFS('Comms Calendar'!$O$5:$O$504,C7,'Comms Calendar'!$B$5:$B$504,"AMER",'Comms Calendar'!$AE$5:$AE$504,"&lt;&gt;Cancelled")&amp;" · "&amp;"EM "&amp;COUNTIFS('Comms Calendar'!$O$5:$O$504,C7,'Comms Calendar'!$B$5:$B$504,"EMEA",'Comms Calendar'!$AE$5:$AE$504,"&lt;&gt;Cancelled")&amp;" · "&amp;"AP "&amp;COUNTIFS('Comms Calendar'!$O$5:$O$504,C7,'Comms Calendar'!$B$5:$B$504,"APAC",'Comms Calendar'!$AE$5:$AE$504,"&lt;&gt;Cancelled")&amp;" · "&amp;"GL "&amp;COUNTIFS('Comms Calendar'!$O$5:$O$504,C7,'Comms Calendar'!$B$5:$B$504,"Global",'Comms Calendar'!$AE$5:$AE$504,"&lt;&gt;Cancelled"))</f>
        <v/>
      </c>
      <c r="D9" s="40" t="str">
        <f aca="false">IF(D8=0,"","AM "&amp;COUNTIFS('Comms Calendar'!$O$5:$O$504,D7,'Comms Calendar'!$B$5:$B$504,"AMER",'Comms Calendar'!$AE$5:$AE$504,"&lt;&gt;Cancelled")&amp;" · "&amp;"EM "&amp;COUNTIFS('Comms Calendar'!$O$5:$O$504,D7,'Comms Calendar'!$B$5:$B$504,"EMEA",'Comms Calendar'!$AE$5:$AE$504,"&lt;&gt;Cancelled")&amp;" · "&amp;"AP "&amp;COUNTIFS('Comms Calendar'!$O$5:$O$504,D7,'Comms Calendar'!$B$5:$B$504,"APAC",'Comms Calendar'!$AE$5:$AE$504,"&lt;&gt;Cancelled")&amp;" · "&amp;"GL "&amp;COUNTIFS('Comms Calendar'!$O$5:$O$504,D7,'Comms Calendar'!$B$5:$B$504,"Global",'Comms Calendar'!$AE$5:$AE$504,"&lt;&gt;Cancelled"))</f>
        <v/>
      </c>
      <c r="E9" s="40" t="str">
        <f aca="false">IF(E8=0,"","AM "&amp;COUNTIFS('Comms Calendar'!$O$5:$O$504,E7,'Comms Calendar'!$B$5:$B$504,"AMER",'Comms Calendar'!$AE$5:$AE$504,"&lt;&gt;Cancelled")&amp;" · "&amp;"EM "&amp;COUNTIFS('Comms Calendar'!$O$5:$O$504,E7,'Comms Calendar'!$B$5:$B$504,"EMEA",'Comms Calendar'!$AE$5:$AE$504,"&lt;&gt;Cancelled")&amp;" · "&amp;"AP "&amp;COUNTIFS('Comms Calendar'!$O$5:$O$504,E7,'Comms Calendar'!$B$5:$B$504,"APAC",'Comms Calendar'!$AE$5:$AE$504,"&lt;&gt;Cancelled")&amp;" · "&amp;"GL "&amp;COUNTIFS('Comms Calendar'!$O$5:$O$504,E7,'Comms Calendar'!$B$5:$B$504,"Global",'Comms Calendar'!$AE$5:$AE$504,"&lt;&gt;Cancelled"))</f>
        <v/>
      </c>
      <c r="F9" s="40" t="str">
        <f aca="false">IF(F8=0,"","AM "&amp;COUNTIFS('Comms Calendar'!$O$5:$O$504,F7,'Comms Calendar'!$B$5:$B$504,"AMER",'Comms Calendar'!$AE$5:$AE$504,"&lt;&gt;Cancelled")&amp;" · "&amp;"EM "&amp;COUNTIFS('Comms Calendar'!$O$5:$O$504,F7,'Comms Calendar'!$B$5:$B$504,"EMEA",'Comms Calendar'!$AE$5:$AE$504,"&lt;&gt;Cancelled")&amp;" · "&amp;"AP "&amp;COUNTIFS('Comms Calendar'!$O$5:$O$504,F7,'Comms Calendar'!$B$5:$B$504,"APAC",'Comms Calendar'!$AE$5:$AE$504,"&lt;&gt;Cancelled")&amp;" · "&amp;"GL "&amp;COUNTIFS('Comms Calendar'!$O$5:$O$504,F7,'Comms Calendar'!$B$5:$B$504,"Global",'Comms Calendar'!$AE$5:$AE$504,"&lt;&gt;Cancelled"))</f>
        <v/>
      </c>
      <c r="G9" s="40" t="str">
        <f aca="false">IF(G8=0,"","AM "&amp;COUNTIFS('Comms Calendar'!$O$5:$O$504,G7,'Comms Calendar'!$B$5:$B$504,"AMER",'Comms Calendar'!$AE$5:$AE$504,"&lt;&gt;Cancelled")&amp;" · "&amp;"EM "&amp;COUNTIFS('Comms Calendar'!$O$5:$O$504,G7,'Comms Calendar'!$B$5:$B$504,"EMEA",'Comms Calendar'!$AE$5:$AE$504,"&lt;&gt;Cancelled")&amp;" · "&amp;"AP "&amp;COUNTIFS('Comms Calendar'!$O$5:$O$504,G7,'Comms Calendar'!$B$5:$B$504,"APAC",'Comms Calendar'!$AE$5:$AE$504,"&lt;&gt;Cancelled")&amp;" · "&amp;"GL "&amp;COUNTIFS('Comms Calendar'!$O$5:$O$504,G7,'Comms Calendar'!$B$5:$B$504,"Global",'Comms Calendar'!$AE$5:$AE$504,"&lt;&gt;Cancelled"))</f>
        <v/>
      </c>
      <c r="H9" s="40" t="str">
        <f aca="false">IF(H8=0,"","AM "&amp;COUNTIFS('Comms Calendar'!$O$5:$O$504,H7,'Comms Calendar'!$B$5:$B$504,"AMER",'Comms Calendar'!$AE$5:$AE$504,"&lt;&gt;Cancelled")&amp;" · "&amp;"EM "&amp;COUNTIFS('Comms Calendar'!$O$5:$O$504,H7,'Comms Calendar'!$B$5:$B$504,"EMEA",'Comms Calendar'!$AE$5:$AE$504,"&lt;&gt;Cancelled")&amp;" · "&amp;"AP "&amp;COUNTIFS('Comms Calendar'!$O$5:$O$504,H7,'Comms Calendar'!$B$5:$B$504,"APAC",'Comms Calendar'!$AE$5:$AE$504,"&lt;&gt;Cancelled")&amp;" · "&amp;"GL "&amp;COUNTIFS('Comms Calendar'!$O$5:$O$504,H7,'Comms Calendar'!$B$5:$B$504,"Global",'Comms Calendar'!$AE$5:$AE$504,"&lt;&gt;Cancelled"))</f>
        <v/>
      </c>
    </row>
    <row r="10" customFormat="false" ht="33.75" hidden="false" customHeight="true" outlineLevel="0" collapsed="false">
      <c r="B10" s="41" t="str">
        <f aca="false">IF(B8=0,"",IFERROR(INDEX('Comms Calendar'!$G$5:$G$504,IF($F$3="All",MATCH(B7,'Comms Calendar'!$O$5:$O$504,0),MATCH(B7&amp;"|"&amp;$F$3,'Comms Calendar'!$AS$5:$AS$504,0))),"")&amp;IF(B8&gt;1," (+"&amp;(B8-1)&amp;" more)",""))</f>
        <v/>
      </c>
      <c r="C10" s="41" t="str">
        <f aca="false">IF(C8=0,"",IFERROR(INDEX('Comms Calendar'!$G$5:$G$504,IF($F$3="All",MATCH(C7,'Comms Calendar'!$O$5:$O$504,0),MATCH(C7&amp;"|"&amp;$F$3,'Comms Calendar'!$AS$5:$AS$504,0))),"")&amp;IF(C8&gt;1," (+"&amp;(C8-1)&amp;" more)",""))</f>
        <v/>
      </c>
      <c r="D10" s="41" t="str">
        <f aca="false">IF(D8=0,"",IFERROR(INDEX('Comms Calendar'!$G$5:$G$504,IF($F$3="All",MATCH(D7,'Comms Calendar'!$O$5:$O$504,0),MATCH(D7&amp;"|"&amp;$F$3,'Comms Calendar'!$AS$5:$AS$504,0))),"")&amp;IF(D8&gt;1," (+"&amp;(D8-1)&amp;" more)",""))</f>
        <v/>
      </c>
      <c r="E10" s="41" t="str">
        <f aca="false">IF(E8=0,"",IFERROR(INDEX('Comms Calendar'!$G$5:$G$504,IF($F$3="All",MATCH(E7,'Comms Calendar'!$O$5:$O$504,0),MATCH(E7&amp;"|"&amp;$F$3,'Comms Calendar'!$AS$5:$AS$504,0))),"")&amp;IF(E8&gt;1," (+"&amp;(E8-1)&amp;" more)",""))</f>
        <v/>
      </c>
      <c r="F10" s="41" t="str">
        <f aca="false">IF(F8=0,"",IFERROR(INDEX('Comms Calendar'!$G$5:$G$504,IF($F$3="All",MATCH(F7,'Comms Calendar'!$O$5:$O$504,0),MATCH(F7&amp;"|"&amp;$F$3,'Comms Calendar'!$AS$5:$AS$504,0))),"")&amp;IF(F8&gt;1," (+"&amp;(F8-1)&amp;" more)",""))</f>
        <v/>
      </c>
      <c r="G10" s="41" t="str">
        <f aca="false">IF(G8=0,"",IFERROR(INDEX('Comms Calendar'!$G$5:$G$504,IF($F$3="All",MATCH(G7,'Comms Calendar'!$O$5:$O$504,0),MATCH(G7&amp;"|"&amp;$F$3,'Comms Calendar'!$AS$5:$AS$504,0))),"")&amp;IF(G8&gt;1," (+"&amp;(G8-1)&amp;" more)",""))</f>
        <v/>
      </c>
      <c r="H10" s="41" t="str">
        <f aca="false">IF(H8=0,"",IFERROR(INDEX('Comms Calendar'!$G$5:$G$504,IF($F$3="All",MATCH(H7,'Comms Calendar'!$O$5:$O$504,0),MATCH(H7&amp;"|"&amp;$F$3,'Comms Calendar'!$AS$5:$AS$504,0))),"")&amp;IF(H8&gt;1," (+"&amp;(H8-1)&amp;" more)",""))</f>
        <v/>
      </c>
    </row>
    <row r="11" customFormat="false" ht="15" hidden="false" customHeight="false" outlineLevel="0" collapsed="false">
      <c r="B11" s="38" t="n">
        <f aca="false">H7+1</f>
        <v>46300</v>
      </c>
      <c r="C11" s="38" t="n">
        <f aca="false">B11+1</f>
        <v>46301</v>
      </c>
      <c r="D11" s="38" t="n">
        <f aca="false">C11+1</f>
        <v>46302</v>
      </c>
      <c r="E11" s="38" t="n">
        <f aca="false">D11+1</f>
        <v>46303</v>
      </c>
      <c r="F11" s="38" t="n">
        <f aca="false">E11+1</f>
        <v>46304</v>
      </c>
      <c r="G11" s="38" t="n">
        <f aca="false">F11+1</f>
        <v>46305</v>
      </c>
      <c r="H11" s="38" t="n">
        <f aca="false">G11+1</f>
        <v>46306</v>
      </c>
    </row>
    <row r="12" customFormat="false" ht="15" hidden="false" customHeight="false" outlineLevel="0" collapsed="false">
      <c r="B12" s="39" t="n">
        <f aca="false">IF($F$3="All",COUNTIFS('Comms Calendar'!$O$5:$O$504,B11,'Comms Calendar'!$AE$5:$AE$504,"&lt;&gt;Cancelled"),COUNTIFS('Comms Calendar'!$O$5:$O$504,B11,'Comms Calendar'!$B$5:$B$504,$F$3,'Comms Calendar'!$AE$5:$AE$504,"&lt;&gt;Cancelled"))</f>
        <v>0</v>
      </c>
      <c r="C12" s="39" t="n">
        <f aca="false">IF($F$3="All",COUNTIFS('Comms Calendar'!$O$5:$O$504,C11,'Comms Calendar'!$AE$5:$AE$504,"&lt;&gt;Cancelled"),COUNTIFS('Comms Calendar'!$O$5:$O$504,C11,'Comms Calendar'!$B$5:$B$504,$F$3,'Comms Calendar'!$AE$5:$AE$504,"&lt;&gt;Cancelled"))</f>
        <v>0</v>
      </c>
      <c r="D12" s="39" t="n">
        <f aca="false">IF($F$3="All",COUNTIFS('Comms Calendar'!$O$5:$O$504,D11,'Comms Calendar'!$AE$5:$AE$504,"&lt;&gt;Cancelled"),COUNTIFS('Comms Calendar'!$O$5:$O$504,D11,'Comms Calendar'!$B$5:$B$504,$F$3,'Comms Calendar'!$AE$5:$AE$504,"&lt;&gt;Cancelled"))</f>
        <v>0</v>
      </c>
      <c r="E12" s="39" t="n">
        <f aca="false">IF($F$3="All",COUNTIFS('Comms Calendar'!$O$5:$O$504,E11,'Comms Calendar'!$AE$5:$AE$504,"&lt;&gt;Cancelled"),COUNTIFS('Comms Calendar'!$O$5:$O$504,E11,'Comms Calendar'!$B$5:$B$504,$F$3,'Comms Calendar'!$AE$5:$AE$504,"&lt;&gt;Cancelled"))</f>
        <v>0</v>
      </c>
      <c r="F12" s="39" t="n">
        <f aca="false">IF($F$3="All",COUNTIFS('Comms Calendar'!$O$5:$O$504,F11,'Comms Calendar'!$AE$5:$AE$504,"&lt;&gt;Cancelled"),COUNTIFS('Comms Calendar'!$O$5:$O$504,F11,'Comms Calendar'!$B$5:$B$504,$F$3,'Comms Calendar'!$AE$5:$AE$504,"&lt;&gt;Cancelled"))</f>
        <v>0</v>
      </c>
      <c r="G12" s="39" t="n">
        <f aca="false">IF($F$3="All",COUNTIFS('Comms Calendar'!$O$5:$O$504,G11,'Comms Calendar'!$AE$5:$AE$504,"&lt;&gt;Cancelled"),COUNTIFS('Comms Calendar'!$O$5:$O$504,G11,'Comms Calendar'!$B$5:$B$504,$F$3,'Comms Calendar'!$AE$5:$AE$504,"&lt;&gt;Cancelled"))</f>
        <v>0</v>
      </c>
      <c r="H12" s="39" t="n">
        <f aca="false">IF($F$3="All",COUNTIFS('Comms Calendar'!$O$5:$O$504,H11,'Comms Calendar'!$AE$5:$AE$504,"&lt;&gt;Cancelled"),COUNTIFS('Comms Calendar'!$O$5:$O$504,H11,'Comms Calendar'!$B$5:$B$504,$F$3,'Comms Calendar'!$AE$5:$AE$504,"&lt;&gt;Cancelled"))</f>
        <v>0</v>
      </c>
    </row>
    <row r="13" customFormat="false" ht="15" hidden="false" customHeight="false" outlineLevel="0" collapsed="false">
      <c r="B13" s="40" t="str">
        <f aca="false">IF(B12=0,"","AM "&amp;COUNTIFS('Comms Calendar'!$O$5:$O$504,B11,'Comms Calendar'!$B$5:$B$504,"AMER",'Comms Calendar'!$AE$5:$AE$504,"&lt;&gt;Cancelled")&amp;" · "&amp;"EM "&amp;COUNTIFS('Comms Calendar'!$O$5:$O$504,B11,'Comms Calendar'!$B$5:$B$504,"EMEA",'Comms Calendar'!$AE$5:$AE$504,"&lt;&gt;Cancelled")&amp;" · "&amp;"AP "&amp;COUNTIFS('Comms Calendar'!$O$5:$O$504,B11,'Comms Calendar'!$B$5:$B$504,"APAC",'Comms Calendar'!$AE$5:$AE$504,"&lt;&gt;Cancelled")&amp;" · "&amp;"GL "&amp;COUNTIFS('Comms Calendar'!$O$5:$O$504,B11,'Comms Calendar'!$B$5:$B$504,"Global",'Comms Calendar'!$AE$5:$AE$504,"&lt;&gt;Cancelled"))</f>
        <v/>
      </c>
      <c r="C13" s="40" t="str">
        <f aca="false">IF(C12=0,"","AM "&amp;COUNTIFS('Comms Calendar'!$O$5:$O$504,C11,'Comms Calendar'!$B$5:$B$504,"AMER",'Comms Calendar'!$AE$5:$AE$504,"&lt;&gt;Cancelled")&amp;" · "&amp;"EM "&amp;COUNTIFS('Comms Calendar'!$O$5:$O$504,C11,'Comms Calendar'!$B$5:$B$504,"EMEA",'Comms Calendar'!$AE$5:$AE$504,"&lt;&gt;Cancelled")&amp;" · "&amp;"AP "&amp;COUNTIFS('Comms Calendar'!$O$5:$O$504,C11,'Comms Calendar'!$B$5:$B$504,"APAC",'Comms Calendar'!$AE$5:$AE$504,"&lt;&gt;Cancelled")&amp;" · "&amp;"GL "&amp;COUNTIFS('Comms Calendar'!$O$5:$O$504,C11,'Comms Calendar'!$B$5:$B$504,"Global",'Comms Calendar'!$AE$5:$AE$504,"&lt;&gt;Cancelled"))</f>
        <v/>
      </c>
      <c r="D13" s="40" t="str">
        <f aca="false">IF(D12=0,"","AM "&amp;COUNTIFS('Comms Calendar'!$O$5:$O$504,D11,'Comms Calendar'!$B$5:$B$504,"AMER",'Comms Calendar'!$AE$5:$AE$504,"&lt;&gt;Cancelled")&amp;" · "&amp;"EM "&amp;COUNTIFS('Comms Calendar'!$O$5:$O$504,D11,'Comms Calendar'!$B$5:$B$504,"EMEA",'Comms Calendar'!$AE$5:$AE$504,"&lt;&gt;Cancelled")&amp;" · "&amp;"AP "&amp;COUNTIFS('Comms Calendar'!$O$5:$O$504,D11,'Comms Calendar'!$B$5:$B$504,"APAC",'Comms Calendar'!$AE$5:$AE$504,"&lt;&gt;Cancelled")&amp;" · "&amp;"GL "&amp;COUNTIFS('Comms Calendar'!$O$5:$O$504,D11,'Comms Calendar'!$B$5:$B$504,"Global",'Comms Calendar'!$AE$5:$AE$504,"&lt;&gt;Cancelled"))</f>
        <v/>
      </c>
      <c r="E13" s="40" t="str">
        <f aca="false">IF(E12=0,"","AM "&amp;COUNTIFS('Comms Calendar'!$O$5:$O$504,E11,'Comms Calendar'!$B$5:$B$504,"AMER",'Comms Calendar'!$AE$5:$AE$504,"&lt;&gt;Cancelled")&amp;" · "&amp;"EM "&amp;COUNTIFS('Comms Calendar'!$O$5:$O$504,E11,'Comms Calendar'!$B$5:$B$504,"EMEA",'Comms Calendar'!$AE$5:$AE$504,"&lt;&gt;Cancelled")&amp;" · "&amp;"AP "&amp;COUNTIFS('Comms Calendar'!$O$5:$O$504,E11,'Comms Calendar'!$B$5:$B$504,"APAC",'Comms Calendar'!$AE$5:$AE$504,"&lt;&gt;Cancelled")&amp;" · "&amp;"GL "&amp;COUNTIFS('Comms Calendar'!$O$5:$O$504,E11,'Comms Calendar'!$B$5:$B$504,"Global",'Comms Calendar'!$AE$5:$AE$504,"&lt;&gt;Cancelled"))</f>
        <v/>
      </c>
      <c r="F13" s="40" t="str">
        <f aca="false">IF(F12=0,"","AM "&amp;COUNTIFS('Comms Calendar'!$O$5:$O$504,F11,'Comms Calendar'!$B$5:$B$504,"AMER",'Comms Calendar'!$AE$5:$AE$504,"&lt;&gt;Cancelled")&amp;" · "&amp;"EM "&amp;COUNTIFS('Comms Calendar'!$O$5:$O$504,F11,'Comms Calendar'!$B$5:$B$504,"EMEA",'Comms Calendar'!$AE$5:$AE$504,"&lt;&gt;Cancelled")&amp;" · "&amp;"AP "&amp;COUNTIFS('Comms Calendar'!$O$5:$O$504,F11,'Comms Calendar'!$B$5:$B$504,"APAC",'Comms Calendar'!$AE$5:$AE$504,"&lt;&gt;Cancelled")&amp;" · "&amp;"GL "&amp;COUNTIFS('Comms Calendar'!$O$5:$O$504,F11,'Comms Calendar'!$B$5:$B$504,"Global",'Comms Calendar'!$AE$5:$AE$504,"&lt;&gt;Cancelled"))</f>
        <v/>
      </c>
      <c r="G13" s="40" t="str">
        <f aca="false">IF(G12=0,"","AM "&amp;COUNTIFS('Comms Calendar'!$O$5:$O$504,G11,'Comms Calendar'!$B$5:$B$504,"AMER",'Comms Calendar'!$AE$5:$AE$504,"&lt;&gt;Cancelled")&amp;" · "&amp;"EM "&amp;COUNTIFS('Comms Calendar'!$O$5:$O$504,G11,'Comms Calendar'!$B$5:$B$504,"EMEA",'Comms Calendar'!$AE$5:$AE$504,"&lt;&gt;Cancelled")&amp;" · "&amp;"AP "&amp;COUNTIFS('Comms Calendar'!$O$5:$O$504,G11,'Comms Calendar'!$B$5:$B$504,"APAC",'Comms Calendar'!$AE$5:$AE$504,"&lt;&gt;Cancelled")&amp;" · "&amp;"GL "&amp;COUNTIFS('Comms Calendar'!$O$5:$O$504,G11,'Comms Calendar'!$B$5:$B$504,"Global",'Comms Calendar'!$AE$5:$AE$504,"&lt;&gt;Cancelled"))</f>
        <v/>
      </c>
      <c r="H13" s="40" t="str">
        <f aca="false">IF(H12=0,"","AM "&amp;COUNTIFS('Comms Calendar'!$O$5:$O$504,H11,'Comms Calendar'!$B$5:$B$504,"AMER",'Comms Calendar'!$AE$5:$AE$504,"&lt;&gt;Cancelled")&amp;" · "&amp;"EM "&amp;COUNTIFS('Comms Calendar'!$O$5:$O$504,H11,'Comms Calendar'!$B$5:$B$504,"EMEA",'Comms Calendar'!$AE$5:$AE$504,"&lt;&gt;Cancelled")&amp;" · "&amp;"AP "&amp;COUNTIFS('Comms Calendar'!$O$5:$O$504,H11,'Comms Calendar'!$B$5:$B$504,"APAC",'Comms Calendar'!$AE$5:$AE$504,"&lt;&gt;Cancelled")&amp;" · "&amp;"GL "&amp;COUNTIFS('Comms Calendar'!$O$5:$O$504,H11,'Comms Calendar'!$B$5:$B$504,"Global",'Comms Calendar'!$AE$5:$AE$504,"&lt;&gt;Cancelled"))</f>
        <v/>
      </c>
    </row>
    <row r="14" customFormat="false" ht="33.75" hidden="false" customHeight="true" outlineLevel="0" collapsed="false">
      <c r="B14" s="41" t="str">
        <f aca="false">IF(B12=0,"",IFERROR(INDEX('Comms Calendar'!$G$5:$G$504,IF($F$3="All",MATCH(B11,'Comms Calendar'!$O$5:$O$504,0),MATCH(B11&amp;"|"&amp;$F$3,'Comms Calendar'!$AS$5:$AS$504,0))),"")&amp;IF(B12&gt;1," (+"&amp;(B12-1)&amp;" more)",""))</f>
        <v/>
      </c>
      <c r="C14" s="41" t="str">
        <f aca="false">IF(C12=0,"",IFERROR(INDEX('Comms Calendar'!$G$5:$G$504,IF($F$3="All",MATCH(C11,'Comms Calendar'!$O$5:$O$504,0),MATCH(C11&amp;"|"&amp;$F$3,'Comms Calendar'!$AS$5:$AS$504,0))),"")&amp;IF(C12&gt;1," (+"&amp;(C12-1)&amp;" more)",""))</f>
        <v/>
      </c>
      <c r="D14" s="41" t="str">
        <f aca="false">IF(D12=0,"",IFERROR(INDEX('Comms Calendar'!$G$5:$G$504,IF($F$3="All",MATCH(D11,'Comms Calendar'!$O$5:$O$504,0),MATCH(D11&amp;"|"&amp;$F$3,'Comms Calendar'!$AS$5:$AS$504,0))),"")&amp;IF(D12&gt;1," (+"&amp;(D12-1)&amp;" more)",""))</f>
        <v/>
      </c>
      <c r="E14" s="41" t="str">
        <f aca="false">IF(E12=0,"",IFERROR(INDEX('Comms Calendar'!$G$5:$G$504,IF($F$3="All",MATCH(E11,'Comms Calendar'!$O$5:$O$504,0),MATCH(E11&amp;"|"&amp;$F$3,'Comms Calendar'!$AS$5:$AS$504,0))),"")&amp;IF(E12&gt;1," (+"&amp;(E12-1)&amp;" more)",""))</f>
        <v/>
      </c>
      <c r="F14" s="41" t="str">
        <f aca="false">IF(F12=0,"",IFERROR(INDEX('Comms Calendar'!$G$5:$G$504,IF($F$3="All",MATCH(F11,'Comms Calendar'!$O$5:$O$504,0),MATCH(F11&amp;"|"&amp;$F$3,'Comms Calendar'!$AS$5:$AS$504,0))),"")&amp;IF(F12&gt;1," (+"&amp;(F12-1)&amp;" more)",""))</f>
        <v/>
      </c>
      <c r="G14" s="41" t="str">
        <f aca="false">IF(G12=0,"",IFERROR(INDEX('Comms Calendar'!$G$5:$G$504,IF($F$3="All",MATCH(G11,'Comms Calendar'!$O$5:$O$504,0),MATCH(G11&amp;"|"&amp;$F$3,'Comms Calendar'!$AS$5:$AS$504,0))),"")&amp;IF(G12&gt;1," (+"&amp;(G12-1)&amp;" more)",""))</f>
        <v/>
      </c>
      <c r="H14" s="41" t="str">
        <f aca="false">IF(H12=0,"",IFERROR(INDEX('Comms Calendar'!$G$5:$G$504,IF($F$3="All",MATCH(H11,'Comms Calendar'!$O$5:$O$504,0),MATCH(H11&amp;"|"&amp;$F$3,'Comms Calendar'!$AS$5:$AS$504,0))),"")&amp;IF(H12&gt;1," (+"&amp;(H12-1)&amp;" more)",""))</f>
        <v/>
      </c>
    </row>
    <row r="15" customFormat="false" ht="15" hidden="false" customHeight="false" outlineLevel="0" collapsed="false">
      <c r="B15" s="38" t="n">
        <f aca="false">H11+1</f>
        <v>46307</v>
      </c>
      <c r="C15" s="38" t="n">
        <f aca="false">B15+1</f>
        <v>46308</v>
      </c>
      <c r="D15" s="38" t="n">
        <f aca="false">C15+1</f>
        <v>46309</v>
      </c>
      <c r="E15" s="38" t="n">
        <f aca="false">D15+1</f>
        <v>46310</v>
      </c>
      <c r="F15" s="38" t="n">
        <f aca="false">E15+1</f>
        <v>46311</v>
      </c>
      <c r="G15" s="38" t="n">
        <f aca="false">F15+1</f>
        <v>46312</v>
      </c>
      <c r="H15" s="38" t="n">
        <f aca="false">G15+1</f>
        <v>46313</v>
      </c>
    </row>
    <row r="16" customFormat="false" ht="15" hidden="false" customHeight="false" outlineLevel="0" collapsed="false">
      <c r="B16" s="39" t="n">
        <f aca="false">IF($F$3="All",COUNTIFS('Comms Calendar'!$O$5:$O$504,B15,'Comms Calendar'!$AE$5:$AE$504,"&lt;&gt;Cancelled"),COUNTIFS('Comms Calendar'!$O$5:$O$504,B15,'Comms Calendar'!$B$5:$B$504,$F$3,'Comms Calendar'!$AE$5:$AE$504,"&lt;&gt;Cancelled"))</f>
        <v>0</v>
      </c>
      <c r="C16" s="39" t="n">
        <f aca="false">IF($F$3="All",COUNTIFS('Comms Calendar'!$O$5:$O$504,C15,'Comms Calendar'!$AE$5:$AE$504,"&lt;&gt;Cancelled"),COUNTIFS('Comms Calendar'!$O$5:$O$504,C15,'Comms Calendar'!$B$5:$B$504,$F$3,'Comms Calendar'!$AE$5:$AE$504,"&lt;&gt;Cancelled"))</f>
        <v>2</v>
      </c>
      <c r="D16" s="39" t="n">
        <f aca="false">IF($F$3="All",COUNTIFS('Comms Calendar'!$O$5:$O$504,D15,'Comms Calendar'!$AE$5:$AE$504,"&lt;&gt;Cancelled"),COUNTIFS('Comms Calendar'!$O$5:$O$504,D15,'Comms Calendar'!$B$5:$B$504,$F$3,'Comms Calendar'!$AE$5:$AE$504,"&lt;&gt;Cancelled"))</f>
        <v>1</v>
      </c>
      <c r="E16" s="39" t="n">
        <f aca="false">IF($F$3="All",COUNTIFS('Comms Calendar'!$O$5:$O$504,E15,'Comms Calendar'!$AE$5:$AE$504,"&lt;&gt;Cancelled"),COUNTIFS('Comms Calendar'!$O$5:$O$504,E15,'Comms Calendar'!$B$5:$B$504,$F$3,'Comms Calendar'!$AE$5:$AE$504,"&lt;&gt;Cancelled"))</f>
        <v>2</v>
      </c>
      <c r="F16" s="39" t="n">
        <f aca="false">IF($F$3="All",COUNTIFS('Comms Calendar'!$O$5:$O$504,F15,'Comms Calendar'!$AE$5:$AE$504,"&lt;&gt;Cancelled"),COUNTIFS('Comms Calendar'!$O$5:$O$504,F15,'Comms Calendar'!$B$5:$B$504,$F$3,'Comms Calendar'!$AE$5:$AE$504,"&lt;&gt;Cancelled"))</f>
        <v>0</v>
      </c>
      <c r="G16" s="39" t="n">
        <f aca="false">IF($F$3="All",COUNTIFS('Comms Calendar'!$O$5:$O$504,G15,'Comms Calendar'!$AE$5:$AE$504,"&lt;&gt;Cancelled"),COUNTIFS('Comms Calendar'!$O$5:$O$504,G15,'Comms Calendar'!$B$5:$B$504,$F$3,'Comms Calendar'!$AE$5:$AE$504,"&lt;&gt;Cancelled"))</f>
        <v>0</v>
      </c>
      <c r="H16" s="39" t="n">
        <f aca="false">IF($F$3="All",COUNTIFS('Comms Calendar'!$O$5:$O$504,H15,'Comms Calendar'!$AE$5:$AE$504,"&lt;&gt;Cancelled"),COUNTIFS('Comms Calendar'!$O$5:$O$504,H15,'Comms Calendar'!$B$5:$B$504,$F$3,'Comms Calendar'!$AE$5:$AE$504,"&lt;&gt;Cancelled"))</f>
        <v>0</v>
      </c>
    </row>
    <row r="17" customFormat="false" ht="15" hidden="false" customHeight="false" outlineLevel="0" collapsed="false">
      <c r="B17" s="40" t="str">
        <f aca="false">IF(B16=0,"","AM "&amp;COUNTIFS('Comms Calendar'!$O$5:$O$504,B15,'Comms Calendar'!$B$5:$B$504,"AMER",'Comms Calendar'!$AE$5:$AE$504,"&lt;&gt;Cancelled")&amp;" · "&amp;"EM "&amp;COUNTIFS('Comms Calendar'!$O$5:$O$504,B15,'Comms Calendar'!$B$5:$B$504,"EMEA",'Comms Calendar'!$AE$5:$AE$504,"&lt;&gt;Cancelled")&amp;" · "&amp;"AP "&amp;COUNTIFS('Comms Calendar'!$O$5:$O$504,B15,'Comms Calendar'!$B$5:$B$504,"APAC",'Comms Calendar'!$AE$5:$AE$504,"&lt;&gt;Cancelled")&amp;" · "&amp;"GL "&amp;COUNTIFS('Comms Calendar'!$O$5:$O$504,B15,'Comms Calendar'!$B$5:$B$504,"Global",'Comms Calendar'!$AE$5:$AE$504,"&lt;&gt;Cancelled"))</f>
        <v/>
      </c>
      <c r="C17" s="40" t="str">
        <f aca="false">IF(C16=0,"","AM "&amp;COUNTIFS('Comms Calendar'!$O$5:$O$504,C15,'Comms Calendar'!$B$5:$B$504,"AMER",'Comms Calendar'!$AE$5:$AE$504,"&lt;&gt;Cancelled")&amp;" · "&amp;"EM "&amp;COUNTIFS('Comms Calendar'!$O$5:$O$504,C15,'Comms Calendar'!$B$5:$B$504,"EMEA",'Comms Calendar'!$AE$5:$AE$504,"&lt;&gt;Cancelled")&amp;" · "&amp;"AP "&amp;COUNTIFS('Comms Calendar'!$O$5:$O$504,C15,'Comms Calendar'!$B$5:$B$504,"APAC",'Comms Calendar'!$AE$5:$AE$504,"&lt;&gt;Cancelled")&amp;" · "&amp;"GL "&amp;COUNTIFS('Comms Calendar'!$O$5:$O$504,C15,'Comms Calendar'!$B$5:$B$504,"Global",'Comms Calendar'!$AE$5:$AE$504,"&lt;&gt;Cancelled"))</f>
        <v>AM 2 · EM 0 · AP 0 · GL 0</v>
      </c>
      <c r="D17" s="40" t="str">
        <f aca="false">IF(D16=0,"","AM "&amp;COUNTIFS('Comms Calendar'!$O$5:$O$504,D15,'Comms Calendar'!$B$5:$B$504,"AMER",'Comms Calendar'!$AE$5:$AE$504,"&lt;&gt;Cancelled")&amp;" · "&amp;"EM "&amp;COUNTIFS('Comms Calendar'!$O$5:$O$504,D15,'Comms Calendar'!$B$5:$B$504,"EMEA",'Comms Calendar'!$AE$5:$AE$504,"&lt;&gt;Cancelled")&amp;" · "&amp;"AP "&amp;COUNTIFS('Comms Calendar'!$O$5:$O$504,D15,'Comms Calendar'!$B$5:$B$504,"APAC",'Comms Calendar'!$AE$5:$AE$504,"&lt;&gt;Cancelled")&amp;" · "&amp;"GL "&amp;COUNTIFS('Comms Calendar'!$O$5:$O$504,D15,'Comms Calendar'!$B$5:$B$504,"Global",'Comms Calendar'!$AE$5:$AE$504,"&lt;&gt;Cancelled"))</f>
        <v>AM 0 · EM 1 · AP 0 · GL 0</v>
      </c>
      <c r="E17" s="40" t="str">
        <f aca="false">IF(E16=0,"","AM "&amp;COUNTIFS('Comms Calendar'!$O$5:$O$504,E15,'Comms Calendar'!$B$5:$B$504,"AMER",'Comms Calendar'!$AE$5:$AE$504,"&lt;&gt;Cancelled")&amp;" · "&amp;"EM "&amp;COUNTIFS('Comms Calendar'!$O$5:$O$504,E15,'Comms Calendar'!$B$5:$B$504,"EMEA",'Comms Calendar'!$AE$5:$AE$504,"&lt;&gt;Cancelled")&amp;" · "&amp;"AP "&amp;COUNTIFS('Comms Calendar'!$O$5:$O$504,E15,'Comms Calendar'!$B$5:$B$504,"APAC",'Comms Calendar'!$AE$5:$AE$504,"&lt;&gt;Cancelled")&amp;" · "&amp;"GL "&amp;COUNTIFS('Comms Calendar'!$O$5:$O$504,E15,'Comms Calendar'!$B$5:$B$504,"Global",'Comms Calendar'!$AE$5:$AE$504,"&lt;&gt;Cancelled"))</f>
        <v>AM 1 · EM 0 · AP 0 · GL 1</v>
      </c>
      <c r="F17" s="40" t="str">
        <f aca="false">IF(F16=0,"","AM "&amp;COUNTIFS('Comms Calendar'!$O$5:$O$504,F15,'Comms Calendar'!$B$5:$B$504,"AMER",'Comms Calendar'!$AE$5:$AE$504,"&lt;&gt;Cancelled")&amp;" · "&amp;"EM "&amp;COUNTIFS('Comms Calendar'!$O$5:$O$504,F15,'Comms Calendar'!$B$5:$B$504,"EMEA",'Comms Calendar'!$AE$5:$AE$504,"&lt;&gt;Cancelled")&amp;" · "&amp;"AP "&amp;COUNTIFS('Comms Calendar'!$O$5:$O$504,F15,'Comms Calendar'!$B$5:$B$504,"APAC",'Comms Calendar'!$AE$5:$AE$504,"&lt;&gt;Cancelled")&amp;" · "&amp;"GL "&amp;COUNTIFS('Comms Calendar'!$O$5:$O$504,F15,'Comms Calendar'!$B$5:$B$504,"Global",'Comms Calendar'!$AE$5:$AE$504,"&lt;&gt;Cancelled"))</f>
        <v/>
      </c>
      <c r="G17" s="40" t="str">
        <f aca="false">IF(G16=0,"","AM "&amp;COUNTIFS('Comms Calendar'!$O$5:$O$504,G15,'Comms Calendar'!$B$5:$B$504,"AMER",'Comms Calendar'!$AE$5:$AE$504,"&lt;&gt;Cancelled")&amp;" · "&amp;"EM "&amp;COUNTIFS('Comms Calendar'!$O$5:$O$504,G15,'Comms Calendar'!$B$5:$B$504,"EMEA",'Comms Calendar'!$AE$5:$AE$504,"&lt;&gt;Cancelled")&amp;" · "&amp;"AP "&amp;COUNTIFS('Comms Calendar'!$O$5:$O$504,G15,'Comms Calendar'!$B$5:$B$504,"APAC",'Comms Calendar'!$AE$5:$AE$504,"&lt;&gt;Cancelled")&amp;" · "&amp;"GL "&amp;COUNTIFS('Comms Calendar'!$O$5:$O$504,G15,'Comms Calendar'!$B$5:$B$504,"Global",'Comms Calendar'!$AE$5:$AE$504,"&lt;&gt;Cancelled"))</f>
        <v/>
      </c>
      <c r="H17" s="40" t="str">
        <f aca="false">IF(H16=0,"","AM "&amp;COUNTIFS('Comms Calendar'!$O$5:$O$504,H15,'Comms Calendar'!$B$5:$B$504,"AMER",'Comms Calendar'!$AE$5:$AE$504,"&lt;&gt;Cancelled")&amp;" · "&amp;"EM "&amp;COUNTIFS('Comms Calendar'!$O$5:$O$504,H15,'Comms Calendar'!$B$5:$B$504,"EMEA",'Comms Calendar'!$AE$5:$AE$504,"&lt;&gt;Cancelled")&amp;" · "&amp;"AP "&amp;COUNTIFS('Comms Calendar'!$O$5:$O$504,H15,'Comms Calendar'!$B$5:$B$504,"APAC",'Comms Calendar'!$AE$5:$AE$504,"&lt;&gt;Cancelled")&amp;" · "&amp;"GL "&amp;COUNTIFS('Comms Calendar'!$O$5:$O$504,H15,'Comms Calendar'!$B$5:$B$504,"Global",'Comms Calendar'!$AE$5:$AE$504,"&lt;&gt;Cancelled"))</f>
        <v/>
      </c>
    </row>
    <row r="18" customFormat="false" ht="33.75" hidden="false" customHeight="true" outlineLevel="0" collapsed="false">
      <c r="B18" s="41" t="str">
        <f aca="false">IF(B16=0,"",IFERROR(INDEX('Comms Calendar'!$G$5:$G$504,IF($F$3="All",MATCH(B15,'Comms Calendar'!$O$5:$O$504,0),MATCH(B15&amp;"|"&amp;$F$3,'Comms Calendar'!$AS$5:$AS$504,0))),"")&amp;IF(B16&gt;1," (+"&amp;(B16-1)&amp;" more)",""))</f>
        <v/>
      </c>
      <c r="C18" s="41" t="str">
        <f aca="false">IF(C16=0,"",IFERROR(INDEX('Comms Calendar'!$G$5:$G$504,IF($F$3="All",MATCH(C15,'Comms Calendar'!$O$5:$O$504,0),MATCH(C15&amp;"|"&amp;$F$3,'Comms Calendar'!$AS$5:$AS$504,0))),"")&amp;IF(C16&gt;1," (+"&amp;(C16-1)&amp;" more)",""))</f>
        <v>You're invited: What's next on our Q4 roadmap (+1 more)</v>
      </c>
      <c r="D18" s="41" t="str">
        <f aca="false">IF(D16=0,"",IFERROR(INDEX('Comms Calendar'!$G$5:$G$504,IF($F$3="All",MATCH(D15,'Comms Calendar'!$O$5:$O$504,0),MATCH(D15&amp;"|"&amp;$F$3,'Comms Calendar'!$AS$5:$AS$504,0))),"")&amp;IF(D16&gt;1," (+"&amp;(D16-1)&amp;" more)",""))</f>
        <v>Join us: Q4 roadmap live (EN/DE/FR)</v>
      </c>
      <c r="E18" s="41" t="str">
        <f aca="false">IF(E16=0,"",IFERROR(INDEX('Comms Calendar'!$G$5:$G$504,IF($F$3="All",MATCH(E15,'Comms Calendar'!$O$5:$O$504,0),MATCH(E15&amp;"|"&amp;$F$3,'Comms Calendar'!$AS$5:$AS$504,0))),"")&amp;IF(E16&gt;1," (+"&amp;(E16-1)&amp;" more)",""))</f>
        <v>Reminder: Q4 roadmap webinar is next week (+1 more)</v>
      </c>
      <c r="F18" s="41" t="str">
        <f aca="false">IF(F16=0,"",IFERROR(INDEX('Comms Calendar'!$G$5:$G$504,IF($F$3="All",MATCH(F15,'Comms Calendar'!$O$5:$O$504,0),MATCH(F15&amp;"|"&amp;$F$3,'Comms Calendar'!$AS$5:$AS$504,0))),"")&amp;IF(F16&gt;1," (+"&amp;(F16-1)&amp;" more)",""))</f>
        <v/>
      </c>
      <c r="G18" s="41" t="str">
        <f aca="false">IF(G16=0,"",IFERROR(INDEX('Comms Calendar'!$G$5:$G$504,IF($F$3="All",MATCH(G15,'Comms Calendar'!$O$5:$O$504,0),MATCH(G15&amp;"|"&amp;$F$3,'Comms Calendar'!$AS$5:$AS$504,0))),"")&amp;IF(G16&gt;1," (+"&amp;(G16-1)&amp;" more)",""))</f>
        <v/>
      </c>
      <c r="H18" s="41" t="str">
        <f aca="false">IF(H16=0,"",IFERROR(INDEX('Comms Calendar'!$G$5:$G$504,IF($F$3="All",MATCH(H15,'Comms Calendar'!$O$5:$O$504,0),MATCH(H15&amp;"|"&amp;$F$3,'Comms Calendar'!$AS$5:$AS$504,0))),"")&amp;IF(H16&gt;1," (+"&amp;(H16-1)&amp;" more)",""))</f>
        <v/>
      </c>
    </row>
    <row r="19" customFormat="false" ht="15" hidden="false" customHeight="false" outlineLevel="0" collapsed="false">
      <c r="B19" s="38" t="n">
        <f aca="false">H15+1</f>
        <v>46314</v>
      </c>
      <c r="C19" s="38" t="n">
        <f aca="false">B19+1</f>
        <v>46315</v>
      </c>
      <c r="D19" s="38" t="n">
        <f aca="false">C19+1</f>
        <v>46316</v>
      </c>
      <c r="E19" s="38" t="n">
        <f aca="false">D19+1</f>
        <v>46317</v>
      </c>
      <c r="F19" s="38" t="n">
        <f aca="false">E19+1</f>
        <v>46318</v>
      </c>
      <c r="G19" s="38" t="n">
        <f aca="false">F19+1</f>
        <v>46319</v>
      </c>
      <c r="H19" s="38" t="n">
        <f aca="false">G19+1</f>
        <v>46320</v>
      </c>
    </row>
    <row r="20" customFormat="false" ht="15" hidden="false" customHeight="false" outlineLevel="0" collapsed="false">
      <c r="B20" s="39" t="n">
        <f aca="false">IF($F$3="All",COUNTIFS('Comms Calendar'!$O$5:$O$504,B19,'Comms Calendar'!$AE$5:$AE$504,"&lt;&gt;Cancelled"),COUNTIFS('Comms Calendar'!$O$5:$O$504,B19,'Comms Calendar'!$B$5:$B$504,$F$3,'Comms Calendar'!$AE$5:$AE$504,"&lt;&gt;Cancelled"))</f>
        <v>0</v>
      </c>
      <c r="C20" s="39" t="n">
        <f aca="false">IF($F$3="All",COUNTIFS('Comms Calendar'!$O$5:$O$504,C19,'Comms Calendar'!$AE$5:$AE$504,"&lt;&gt;Cancelled"),COUNTIFS('Comms Calendar'!$O$5:$O$504,C19,'Comms Calendar'!$B$5:$B$504,$F$3,'Comms Calendar'!$AE$5:$AE$504,"&lt;&gt;Cancelled"))</f>
        <v>0</v>
      </c>
      <c r="D20" s="39" t="n">
        <f aca="false">IF($F$3="All",COUNTIFS('Comms Calendar'!$O$5:$O$504,D19,'Comms Calendar'!$AE$5:$AE$504,"&lt;&gt;Cancelled"),COUNTIFS('Comms Calendar'!$O$5:$O$504,D19,'Comms Calendar'!$B$5:$B$504,$F$3,'Comms Calendar'!$AE$5:$AE$504,"&lt;&gt;Cancelled"))</f>
        <v>0</v>
      </c>
      <c r="E20" s="39" t="n">
        <f aca="false">IF($F$3="All",COUNTIFS('Comms Calendar'!$O$5:$O$504,E19,'Comms Calendar'!$AE$5:$AE$504,"&lt;&gt;Cancelled"),COUNTIFS('Comms Calendar'!$O$5:$O$504,E19,'Comms Calendar'!$B$5:$B$504,$F$3,'Comms Calendar'!$AE$5:$AE$504,"&lt;&gt;Cancelled"))</f>
        <v>1</v>
      </c>
      <c r="F20" s="39" t="n">
        <f aca="false">IF($F$3="All",COUNTIFS('Comms Calendar'!$O$5:$O$504,F19,'Comms Calendar'!$AE$5:$AE$504,"&lt;&gt;Cancelled"),COUNTIFS('Comms Calendar'!$O$5:$O$504,F19,'Comms Calendar'!$B$5:$B$504,$F$3,'Comms Calendar'!$AE$5:$AE$504,"&lt;&gt;Cancelled"))</f>
        <v>1</v>
      </c>
      <c r="G20" s="39" t="n">
        <f aca="false">IF($F$3="All",COUNTIFS('Comms Calendar'!$O$5:$O$504,G19,'Comms Calendar'!$AE$5:$AE$504,"&lt;&gt;Cancelled"),COUNTIFS('Comms Calendar'!$O$5:$O$504,G19,'Comms Calendar'!$B$5:$B$504,$F$3,'Comms Calendar'!$AE$5:$AE$504,"&lt;&gt;Cancelled"))</f>
        <v>0</v>
      </c>
      <c r="H20" s="39" t="n">
        <f aca="false">IF($F$3="All",COUNTIFS('Comms Calendar'!$O$5:$O$504,H19,'Comms Calendar'!$AE$5:$AE$504,"&lt;&gt;Cancelled"),COUNTIFS('Comms Calendar'!$O$5:$O$504,H19,'Comms Calendar'!$B$5:$B$504,$F$3,'Comms Calendar'!$AE$5:$AE$504,"&lt;&gt;Cancelled"))</f>
        <v>0</v>
      </c>
    </row>
    <row r="21" customFormat="false" ht="15" hidden="false" customHeight="false" outlineLevel="0" collapsed="false">
      <c r="B21" s="40" t="str">
        <f aca="false">IF(B20=0,"","AM "&amp;COUNTIFS('Comms Calendar'!$O$5:$O$504,B19,'Comms Calendar'!$B$5:$B$504,"AMER",'Comms Calendar'!$AE$5:$AE$504,"&lt;&gt;Cancelled")&amp;" · "&amp;"EM "&amp;COUNTIFS('Comms Calendar'!$O$5:$O$504,B19,'Comms Calendar'!$B$5:$B$504,"EMEA",'Comms Calendar'!$AE$5:$AE$504,"&lt;&gt;Cancelled")&amp;" · "&amp;"AP "&amp;COUNTIFS('Comms Calendar'!$O$5:$O$504,B19,'Comms Calendar'!$B$5:$B$504,"APAC",'Comms Calendar'!$AE$5:$AE$504,"&lt;&gt;Cancelled")&amp;" · "&amp;"GL "&amp;COUNTIFS('Comms Calendar'!$O$5:$O$504,B19,'Comms Calendar'!$B$5:$B$504,"Global",'Comms Calendar'!$AE$5:$AE$504,"&lt;&gt;Cancelled"))</f>
        <v/>
      </c>
      <c r="C21" s="40" t="str">
        <f aca="false">IF(C20=0,"","AM "&amp;COUNTIFS('Comms Calendar'!$O$5:$O$504,C19,'Comms Calendar'!$B$5:$B$504,"AMER",'Comms Calendar'!$AE$5:$AE$504,"&lt;&gt;Cancelled")&amp;" · "&amp;"EM "&amp;COUNTIFS('Comms Calendar'!$O$5:$O$504,C19,'Comms Calendar'!$B$5:$B$504,"EMEA",'Comms Calendar'!$AE$5:$AE$504,"&lt;&gt;Cancelled")&amp;" · "&amp;"AP "&amp;COUNTIFS('Comms Calendar'!$O$5:$O$504,C19,'Comms Calendar'!$B$5:$B$504,"APAC",'Comms Calendar'!$AE$5:$AE$504,"&lt;&gt;Cancelled")&amp;" · "&amp;"GL "&amp;COUNTIFS('Comms Calendar'!$O$5:$O$504,C19,'Comms Calendar'!$B$5:$B$504,"Global",'Comms Calendar'!$AE$5:$AE$504,"&lt;&gt;Cancelled"))</f>
        <v/>
      </c>
      <c r="D21" s="40" t="str">
        <f aca="false">IF(D20=0,"","AM "&amp;COUNTIFS('Comms Calendar'!$O$5:$O$504,D19,'Comms Calendar'!$B$5:$B$504,"AMER",'Comms Calendar'!$AE$5:$AE$504,"&lt;&gt;Cancelled")&amp;" · "&amp;"EM "&amp;COUNTIFS('Comms Calendar'!$O$5:$O$504,D19,'Comms Calendar'!$B$5:$B$504,"EMEA",'Comms Calendar'!$AE$5:$AE$504,"&lt;&gt;Cancelled")&amp;" · "&amp;"AP "&amp;COUNTIFS('Comms Calendar'!$O$5:$O$504,D19,'Comms Calendar'!$B$5:$B$504,"APAC",'Comms Calendar'!$AE$5:$AE$504,"&lt;&gt;Cancelled")&amp;" · "&amp;"GL "&amp;COUNTIFS('Comms Calendar'!$O$5:$O$504,D19,'Comms Calendar'!$B$5:$B$504,"Global",'Comms Calendar'!$AE$5:$AE$504,"&lt;&gt;Cancelled"))</f>
        <v/>
      </c>
      <c r="E21" s="40" t="str">
        <f aca="false">IF(E20=0,"","AM "&amp;COUNTIFS('Comms Calendar'!$O$5:$O$504,E19,'Comms Calendar'!$B$5:$B$504,"AMER",'Comms Calendar'!$AE$5:$AE$504,"&lt;&gt;Cancelled")&amp;" · "&amp;"EM "&amp;COUNTIFS('Comms Calendar'!$O$5:$O$504,E19,'Comms Calendar'!$B$5:$B$504,"EMEA",'Comms Calendar'!$AE$5:$AE$504,"&lt;&gt;Cancelled")&amp;" · "&amp;"AP "&amp;COUNTIFS('Comms Calendar'!$O$5:$O$504,E19,'Comms Calendar'!$B$5:$B$504,"APAC",'Comms Calendar'!$AE$5:$AE$504,"&lt;&gt;Cancelled")&amp;" · "&amp;"GL "&amp;COUNTIFS('Comms Calendar'!$O$5:$O$504,E19,'Comms Calendar'!$B$5:$B$504,"Global",'Comms Calendar'!$AE$5:$AE$504,"&lt;&gt;Cancelled"))</f>
        <v>AM 1 · EM 0 · AP 0 · GL 0</v>
      </c>
      <c r="F21" s="40" t="str">
        <f aca="false">IF(F20=0,"","AM "&amp;COUNTIFS('Comms Calendar'!$O$5:$O$504,F19,'Comms Calendar'!$B$5:$B$504,"AMER",'Comms Calendar'!$AE$5:$AE$504,"&lt;&gt;Cancelled")&amp;" · "&amp;"EM "&amp;COUNTIFS('Comms Calendar'!$O$5:$O$504,F19,'Comms Calendar'!$B$5:$B$504,"EMEA",'Comms Calendar'!$AE$5:$AE$504,"&lt;&gt;Cancelled")&amp;" · "&amp;"AP "&amp;COUNTIFS('Comms Calendar'!$O$5:$O$504,F19,'Comms Calendar'!$B$5:$B$504,"APAC",'Comms Calendar'!$AE$5:$AE$504,"&lt;&gt;Cancelled")&amp;" · "&amp;"GL "&amp;COUNTIFS('Comms Calendar'!$O$5:$O$504,F19,'Comms Calendar'!$B$5:$B$504,"Global",'Comms Calendar'!$AE$5:$AE$504,"&lt;&gt;Cancelled"))</f>
        <v>AM 0 · EM 1 · AP 0 · GL 0</v>
      </c>
      <c r="G21" s="40" t="str">
        <f aca="false">IF(G20=0,"","AM "&amp;COUNTIFS('Comms Calendar'!$O$5:$O$504,G19,'Comms Calendar'!$B$5:$B$504,"AMER",'Comms Calendar'!$AE$5:$AE$504,"&lt;&gt;Cancelled")&amp;" · "&amp;"EM "&amp;COUNTIFS('Comms Calendar'!$O$5:$O$504,G19,'Comms Calendar'!$B$5:$B$504,"EMEA",'Comms Calendar'!$AE$5:$AE$504,"&lt;&gt;Cancelled")&amp;" · "&amp;"AP "&amp;COUNTIFS('Comms Calendar'!$O$5:$O$504,G19,'Comms Calendar'!$B$5:$B$504,"APAC",'Comms Calendar'!$AE$5:$AE$504,"&lt;&gt;Cancelled")&amp;" · "&amp;"GL "&amp;COUNTIFS('Comms Calendar'!$O$5:$O$504,G19,'Comms Calendar'!$B$5:$B$504,"Global",'Comms Calendar'!$AE$5:$AE$504,"&lt;&gt;Cancelled"))</f>
        <v/>
      </c>
      <c r="H21" s="40" t="str">
        <f aca="false">IF(H20=0,"","AM "&amp;COUNTIFS('Comms Calendar'!$O$5:$O$504,H19,'Comms Calendar'!$B$5:$B$504,"AMER",'Comms Calendar'!$AE$5:$AE$504,"&lt;&gt;Cancelled")&amp;" · "&amp;"EM "&amp;COUNTIFS('Comms Calendar'!$O$5:$O$504,H19,'Comms Calendar'!$B$5:$B$504,"EMEA",'Comms Calendar'!$AE$5:$AE$504,"&lt;&gt;Cancelled")&amp;" · "&amp;"AP "&amp;COUNTIFS('Comms Calendar'!$O$5:$O$504,H19,'Comms Calendar'!$B$5:$B$504,"APAC",'Comms Calendar'!$AE$5:$AE$504,"&lt;&gt;Cancelled")&amp;" · "&amp;"GL "&amp;COUNTIFS('Comms Calendar'!$O$5:$O$504,H19,'Comms Calendar'!$B$5:$B$504,"Global",'Comms Calendar'!$AE$5:$AE$504,"&lt;&gt;Cancelled"))</f>
        <v/>
      </c>
    </row>
    <row r="22" customFormat="false" ht="33.75" hidden="false" customHeight="true" outlineLevel="0" collapsed="false">
      <c r="B22" s="41" t="str">
        <f aca="false">IF(B20=0,"",IFERROR(INDEX('Comms Calendar'!$G$5:$G$504,IF($F$3="All",MATCH(B19,'Comms Calendar'!$O$5:$O$504,0),MATCH(B19&amp;"|"&amp;$F$3,'Comms Calendar'!$AS$5:$AS$504,0))),"")&amp;IF(B20&gt;1," (+"&amp;(B20-1)&amp;" more)",""))</f>
        <v/>
      </c>
      <c r="C22" s="41" t="str">
        <f aca="false">IF(C20=0,"",IFERROR(INDEX('Comms Calendar'!$G$5:$G$504,IF($F$3="All",MATCH(C19,'Comms Calendar'!$O$5:$O$504,0),MATCH(C19&amp;"|"&amp;$F$3,'Comms Calendar'!$AS$5:$AS$504,0))),"")&amp;IF(C20&gt;1," (+"&amp;(C20-1)&amp;" more)",""))</f>
        <v/>
      </c>
      <c r="D22" s="41" t="str">
        <f aca="false">IF(D20=0,"",IFERROR(INDEX('Comms Calendar'!$G$5:$G$504,IF($F$3="All",MATCH(D19,'Comms Calendar'!$O$5:$O$504,0),MATCH(D19&amp;"|"&amp;$F$3,'Comms Calendar'!$AS$5:$AS$504,0))),"")&amp;IF(D20&gt;1," (+"&amp;(D20-1)&amp;" more)",""))</f>
        <v/>
      </c>
      <c r="E22" s="41" t="str">
        <f aca="false">IF(E20=0,"",IFERROR(INDEX('Comms Calendar'!$G$5:$G$504,IF($F$3="All",MATCH(E19,'Comms Calendar'!$O$5:$O$504,0),MATCH(E19&amp;"|"&amp;$F$3,'Comms Calendar'!$AS$5:$AS$504,0))),"")&amp;IF(E20&gt;1," (+"&amp;(E20-1)&amp;" more)",""))</f>
        <v>Q4 Product Roadmap - Live Webinar</v>
      </c>
      <c r="F22" s="41" t="str">
        <f aca="false">IF(F20=0,"",IFERROR(INDEX('Comms Calendar'!$G$5:$G$504,IF($F$3="All",MATCH(F19,'Comms Calendar'!$O$5:$O$504,0),MATCH(F19&amp;"|"&amp;$F$3,'Comms Calendar'!$AS$5:$AS$504,0))),"")&amp;IF(F20&gt;1," (+"&amp;(F20-1)&amp;" more)",""))</f>
        <v>Q4 Product Roadmap - EMEA session</v>
      </c>
      <c r="G22" s="41" t="str">
        <f aca="false">IF(G20=0,"",IFERROR(INDEX('Comms Calendar'!$G$5:$G$504,IF($F$3="All",MATCH(G19,'Comms Calendar'!$O$5:$O$504,0),MATCH(G19&amp;"|"&amp;$F$3,'Comms Calendar'!$AS$5:$AS$504,0))),"")&amp;IF(G20&gt;1," (+"&amp;(G20-1)&amp;" more)",""))</f>
        <v/>
      </c>
      <c r="H22" s="41" t="str">
        <f aca="false">IF(H20=0,"",IFERROR(INDEX('Comms Calendar'!$G$5:$G$504,IF($F$3="All",MATCH(H19,'Comms Calendar'!$O$5:$O$504,0),MATCH(H19&amp;"|"&amp;$F$3,'Comms Calendar'!$AS$5:$AS$504,0))),"")&amp;IF(H20&gt;1," (+"&amp;(H20-1)&amp;" more)",""))</f>
        <v/>
      </c>
    </row>
    <row r="23" customFormat="false" ht="15" hidden="false" customHeight="false" outlineLevel="0" collapsed="false">
      <c r="B23" s="38" t="n">
        <f aca="false">H19+1</f>
        <v>46321</v>
      </c>
      <c r="C23" s="38" t="n">
        <f aca="false">B23+1</f>
        <v>46322</v>
      </c>
      <c r="D23" s="38" t="n">
        <f aca="false">C23+1</f>
        <v>46323</v>
      </c>
      <c r="E23" s="38" t="n">
        <f aca="false">D23+1</f>
        <v>46324</v>
      </c>
      <c r="F23" s="38" t="n">
        <f aca="false">E23+1</f>
        <v>46325</v>
      </c>
      <c r="G23" s="38" t="n">
        <f aca="false">F23+1</f>
        <v>46326</v>
      </c>
      <c r="H23" s="38" t="n">
        <f aca="false">G23+1</f>
        <v>46327</v>
      </c>
    </row>
    <row r="24" customFormat="false" ht="15" hidden="false" customHeight="false" outlineLevel="0" collapsed="false">
      <c r="B24" s="39" t="n">
        <f aca="false">IF($F$3="All",COUNTIFS('Comms Calendar'!$O$5:$O$504,B23,'Comms Calendar'!$AE$5:$AE$504,"&lt;&gt;Cancelled"),COUNTIFS('Comms Calendar'!$O$5:$O$504,B23,'Comms Calendar'!$B$5:$B$504,$F$3,'Comms Calendar'!$AE$5:$AE$504,"&lt;&gt;Cancelled"))</f>
        <v>0</v>
      </c>
      <c r="C24" s="39" t="n">
        <f aca="false">IF($F$3="All",COUNTIFS('Comms Calendar'!$O$5:$O$504,C23,'Comms Calendar'!$AE$5:$AE$504,"&lt;&gt;Cancelled"),COUNTIFS('Comms Calendar'!$O$5:$O$504,C23,'Comms Calendar'!$B$5:$B$504,$F$3,'Comms Calendar'!$AE$5:$AE$504,"&lt;&gt;Cancelled"))</f>
        <v>0</v>
      </c>
      <c r="D24" s="39" t="n">
        <f aca="false">IF($F$3="All",COUNTIFS('Comms Calendar'!$O$5:$O$504,D23,'Comms Calendar'!$AE$5:$AE$504,"&lt;&gt;Cancelled"),COUNTIFS('Comms Calendar'!$O$5:$O$504,D23,'Comms Calendar'!$B$5:$B$504,$F$3,'Comms Calendar'!$AE$5:$AE$504,"&lt;&gt;Cancelled"))</f>
        <v>1</v>
      </c>
      <c r="E24" s="39" t="n">
        <f aca="false">IF($F$3="All",COUNTIFS('Comms Calendar'!$O$5:$O$504,E23,'Comms Calendar'!$AE$5:$AE$504,"&lt;&gt;Cancelled"),COUNTIFS('Comms Calendar'!$O$5:$O$504,E23,'Comms Calendar'!$B$5:$B$504,$F$3,'Comms Calendar'!$AE$5:$AE$504,"&lt;&gt;Cancelled"))</f>
        <v>1</v>
      </c>
      <c r="F24" s="39" t="n">
        <f aca="false">IF($F$3="All",COUNTIFS('Comms Calendar'!$O$5:$O$504,F23,'Comms Calendar'!$AE$5:$AE$504,"&lt;&gt;Cancelled"),COUNTIFS('Comms Calendar'!$O$5:$O$504,F23,'Comms Calendar'!$B$5:$B$504,$F$3,'Comms Calendar'!$AE$5:$AE$504,"&lt;&gt;Cancelled"))</f>
        <v>0</v>
      </c>
      <c r="G24" s="39" t="n">
        <f aca="false">IF($F$3="All",COUNTIFS('Comms Calendar'!$O$5:$O$504,G23,'Comms Calendar'!$AE$5:$AE$504,"&lt;&gt;Cancelled"),COUNTIFS('Comms Calendar'!$O$5:$O$504,G23,'Comms Calendar'!$B$5:$B$504,$F$3,'Comms Calendar'!$AE$5:$AE$504,"&lt;&gt;Cancelled"))</f>
        <v>0</v>
      </c>
      <c r="H24" s="39" t="n">
        <f aca="false">IF($F$3="All",COUNTIFS('Comms Calendar'!$O$5:$O$504,H23,'Comms Calendar'!$AE$5:$AE$504,"&lt;&gt;Cancelled"),COUNTIFS('Comms Calendar'!$O$5:$O$504,H23,'Comms Calendar'!$B$5:$B$504,$F$3,'Comms Calendar'!$AE$5:$AE$504,"&lt;&gt;Cancelled"))</f>
        <v>0</v>
      </c>
    </row>
    <row r="25" customFormat="false" ht="15" hidden="false" customHeight="false" outlineLevel="0" collapsed="false">
      <c r="B25" s="40" t="str">
        <f aca="false">IF(B24=0,"","AM "&amp;COUNTIFS('Comms Calendar'!$O$5:$O$504,B23,'Comms Calendar'!$B$5:$B$504,"AMER",'Comms Calendar'!$AE$5:$AE$504,"&lt;&gt;Cancelled")&amp;" · "&amp;"EM "&amp;COUNTIFS('Comms Calendar'!$O$5:$O$504,B23,'Comms Calendar'!$B$5:$B$504,"EMEA",'Comms Calendar'!$AE$5:$AE$504,"&lt;&gt;Cancelled")&amp;" · "&amp;"AP "&amp;COUNTIFS('Comms Calendar'!$O$5:$O$504,B23,'Comms Calendar'!$B$5:$B$504,"APAC",'Comms Calendar'!$AE$5:$AE$504,"&lt;&gt;Cancelled")&amp;" · "&amp;"GL "&amp;COUNTIFS('Comms Calendar'!$O$5:$O$504,B23,'Comms Calendar'!$B$5:$B$504,"Global",'Comms Calendar'!$AE$5:$AE$504,"&lt;&gt;Cancelled"))</f>
        <v/>
      </c>
      <c r="C25" s="40" t="str">
        <f aca="false">IF(C24=0,"","AM "&amp;COUNTIFS('Comms Calendar'!$O$5:$O$504,C23,'Comms Calendar'!$B$5:$B$504,"AMER",'Comms Calendar'!$AE$5:$AE$504,"&lt;&gt;Cancelled")&amp;" · "&amp;"EM "&amp;COUNTIFS('Comms Calendar'!$O$5:$O$504,C23,'Comms Calendar'!$B$5:$B$504,"EMEA",'Comms Calendar'!$AE$5:$AE$504,"&lt;&gt;Cancelled")&amp;" · "&amp;"AP "&amp;COUNTIFS('Comms Calendar'!$O$5:$O$504,C23,'Comms Calendar'!$B$5:$B$504,"APAC",'Comms Calendar'!$AE$5:$AE$504,"&lt;&gt;Cancelled")&amp;" · "&amp;"GL "&amp;COUNTIFS('Comms Calendar'!$O$5:$O$504,C23,'Comms Calendar'!$B$5:$B$504,"Global",'Comms Calendar'!$AE$5:$AE$504,"&lt;&gt;Cancelled"))</f>
        <v/>
      </c>
      <c r="D25" s="40" t="str">
        <f aca="false">IF(D24=0,"","AM "&amp;COUNTIFS('Comms Calendar'!$O$5:$O$504,D23,'Comms Calendar'!$B$5:$B$504,"AMER",'Comms Calendar'!$AE$5:$AE$504,"&lt;&gt;Cancelled")&amp;" · "&amp;"EM "&amp;COUNTIFS('Comms Calendar'!$O$5:$O$504,D23,'Comms Calendar'!$B$5:$B$504,"EMEA",'Comms Calendar'!$AE$5:$AE$504,"&lt;&gt;Cancelled")&amp;" · "&amp;"AP "&amp;COUNTIFS('Comms Calendar'!$O$5:$O$504,D23,'Comms Calendar'!$B$5:$B$504,"APAC",'Comms Calendar'!$AE$5:$AE$504,"&lt;&gt;Cancelled")&amp;" · "&amp;"GL "&amp;COUNTIFS('Comms Calendar'!$O$5:$O$504,D23,'Comms Calendar'!$B$5:$B$504,"Global",'Comms Calendar'!$AE$5:$AE$504,"&lt;&gt;Cancelled"))</f>
        <v>AM 0 · EM 0 · AP 1 · GL 0</v>
      </c>
      <c r="E25" s="40" t="str">
        <f aca="false">IF(E24=0,"","AM "&amp;COUNTIFS('Comms Calendar'!$O$5:$O$504,E23,'Comms Calendar'!$B$5:$B$504,"AMER",'Comms Calendar'!$AE$5:$AE$504,"&lt;&gt;Cancelled")&amp;" · "&amp;"EM "&amp;COUNTIFS('Comms Calendar'!$O$5:$O$504,E23,'Comms Calendar'!$B$5:$B$504,"EMEA",'Comms Calendar'!$AE$5:$AE$504,"&lt;&gt;Cancelled")&amp;" · "&amp;"AP "&amp;COUNTIFS('Comms Calendar'!$O$5:$O$504,E23,'Comms Calendar'!$B$5:$B$504,"APAC",'Comms Calendar'!$AE$5:$AE$504,"&lt;&gt;Cancelled")&amp;" · "&amp;"GL "&amp;COUNTIFS('Comms Calendar'!$O$5:$O$504,E23,'Comms Calendar'!$B$5:$B$504,"Global",'Comms Calendar'!$AE$5:$AE$504,"&lt;&gt;Cancelled"))</f>
        <v>AM 0 · EM 0 · AP 0 · GL 1</v>
      </c>
      <c r="F25" s="40" t="str">
        <f aca="false">IF(F24=0,"","AM "&amp;COUNTIFS('Comms Calendar'!$O$5:$O$504,F23,'Comms Calendar'!$B$5:$B$504,"AMER",'Comms Calendar'!$AE$5:$AE$504,"&lt;&gt;Cancelled")&amp;" · "&amp;"EM "&amp;COUNTIFS('Comms Calendar'!$O$5:$O$504,F23,'Comms Calendar'!$B$5:$B$504,"EMEA",'Comms Calendar'!$AE$5:$AE$504,"&lt;&gt;Cancelled")&amp;" · "&amp;"AP "&amp;COUNTIFS('Comms Calendar'!$O$5:$O$504,F23,'Comms Calendar'!$B$5:$B$504,"APAC",'Comms Calendar'!$AE$5:$AE$504,"&lt;&gt;Cancelled")&amp;" · "&amp;"GL "&amp;COUNTIFS('Comms Calendar'!$O$5:$O$504,F23,'Comms Calendar'!$B$5:$B$504,"Global",'Comms Calendar'!$AE$5:$AE$504,"&lt;&gt;Cancelled"))</f>
        <v/>
      </c>
      <c r="G25" s="40" t="str">
        <f aca="false">IF(G24=0,"","AM "&amp;COUNTIFS('Comms Calendar'!$O$5:$O$504,G23,'Comms Calendar'!$B$5:$B$504,"AMER",'Comms Calendar'!$AE$5:$AE$504,"&lt;&gt;Cancelled")&amp;" · "&amp;"EM "&amp;COUNTIFS('Comms Calendar'!$O$5:$O$504,G23,'Comms Calendar'!$B$5:$B$504,"EMEA",'Comms Calendar'!$AE$5:$AE$504,"&lt;&gt;Cancelled")&amp;" · "&amp;"AP "&amp;COUNTIFS('Comms Calendar'!$O$5:$O$504,G23,'Comms Calendar'!$B$5:$B$504,"APAC",'Comms Calendar'!$AE$5:$AE$504,"&lt;&gt;Cancelled")&amp;" · "&amp;"GL "&amp;COUNTIFS('Comms Calendar'!$O$5:$O$504,G23,'Comms Calendar'!$B$5:$B$504,"Global",'Comms Calendar'!$AE$5:$AE$504,"&lt;&gt;Cancelled"))</f>
        <v/>
      </c>
      <c r="H25" s="40" t="str">
        <f aca="false">IF(H24=0,"","AM "&amp;COUNTIFS('Comms Calendar'!$O$5:$O$504,H23,'Comms Calendar'!$B$5:$B$504,"AMER",'Comms Calendar'!$AE$5:$AE$504,"&lt;&gt;Cancelled")&amp;" · "&amp;"EM "&amp;COUNTIFS('Comms Calendar'!$O$5:$O$504,H23,'Comms Calendar'!$B$5:$B$504,"EMEA",'Comms Calendar'!$AE$5:$AE$504,"&lt;&gt;Cancelled")&amp;" · "&amp;"AP "&amp;COUNTIFS('Comms Calendar'!$O$5:$O$504,H23,'Comms Calendar'!$B$5:$B$504,"APAC",'Comms Calendar'!$AE$5:$AE$504,"&lt;&gt;Cancelled")&amp;" · "&amp;"GL "&amp;COUNTIFS('Comms Calendar'!$O$5:$O$504,H23,'Comms Calendar'!$B$5:$B$504,"Global",'Comms Calendar'!$AE$5:$AE$504,"&lt;&gt;Cancelled"))</f>
        <v/>
      </c>
    </row>
    <row r="26" customFormat="false" ht="33.75" hidden="false" customHeight="true" outlineLevel="0" collapsed="false">
      <c r="B26" s="41" t="str">
        <f aca="false">IF(B24=0,"",IFERROR(INDEX('Comms Calendar'!$G$5:$G$504,IF($F$3="All",MATCH(B23,'Comms Calendar'!$O$5:$O$504,0),MATCH(B23&amp;"|"&amp;$F$3,'Comms Calendar'!$AS$5:$AS$504,0))),"")&amp;IF(B24&gt;1," (+"&amp;(B24-1)&amp;" more)",""))</f>
        <v/>
      </c>
      <c r="C26" s="41" t="str">
        <f aca="false">IF(C24=0,"",IFERROR(INDEX('Comms Calendar'!$G$5:$G$504,IF($F$3="All",MATCH(C23,'Comms Calendar'!$O$5:$O$504,0),MATCH(C23&amp;"|"&amp;$F$3,'Comms Calendar'!$AS$5:$AS$504,0))),"")&amp;IF(C24&gt;1," (+"&amp;(C24-1)&amp;" more)",""))</f>
        <v/>
      </c>
      <c r="D26" s="41" t="str">
        <f aca="false">IF(D24=0,"",IFERROR(INDEX('Comms Calendar'!$G$5:$G$504,IF($F$3="All",MATCH(D23,'Comms Calendar'!$O$5:$O$504,0),MATCH(D23&amp;"|"&amp;$F$3,'Comms Calendar'!$AS$5:$AS$504,0))),"")&amp;IF(D24&gt;1," (+"&amp;(D24-1)&amp;" more)",""))</f>
        <v>Q4 Product Roadmap - APAC session</v>
      </c>
      <c r="E26" s="41" t="str">
        <f aca="false">IF(E24=0,"",IFERROR(INDEX('Comms Calendar'!$G$5:$G$504,IF($F$3="All",MATCH(E23,'Comms Calendar'!$O$5:$O$504,0),MATCH(E23&amp;"|"&amp;$F$3,'Comms Calendar'!$AS$5:$AS$504,0))),"")&amp;IF(E24&gt;1," (+"&amp;(E24-1)&amp;" more)",""))</f>
        <v>October customer newsletter</v>
      </c>
      <c r="F26" s="41" t="str">
        <f aca="false">IF(F24=0,"",IFERROR(INDEX('Comms Calendar'!$G$5:$G$504,IF($F$3="All",MATCH(F23,'Comms Calendar'!$O$5:$O$504,0),MATCH(F23&amp;"|"&amp;$F$3,'Comms Calendar'!$AS$5:$AS$504,0))),"")&amp;IF(F24&gt;1," (+"&amp;(F24-1)&amp;" more)",""))</f>
        <v/>
      </c>
      <c r="G26" s="41" t="str">
        <f aca="false">IF(G24=0,"",IFERROR(INDEX('Comms Calendar'!$G$5:$G$504,IF($F$3="All",MATCH(G23,'Comms Calendar'!$O$5:$O$504,0),MATCH(G23&amp;"|"&amp;$F$3,'Comms Calendar'!$AS$5:$AS$504,0))),"")&amp;IF(G24&gt;1," (+"&amp;(G24-1)&amp;" more)",""))</f>
        <v/>
      </c>
      <c r="H26" s="41" t="str">
        <f aca="false">IF(H24=0,"",IFERROR(INDEX('Comms Calendar'!$G$5:$G$504,IF($F$3="All",MATCH(H23,'Comms Calendar'!$O$5:$O$504,0),MATCH(H23&amp;"|"&amp;$F$3,'Comms Calendar'!$AS$5:$AS$504,0))),"")&amp;IF(H24&gt;1," (+"&amp;(H24-1)&amp;" more)",""))</f>
        <v/>
      </c>
    </row>
    <row r="27" customFormat="false" ht="15" hidden="false" customHeight="false" outlineLevel="0" collapsed="false">
      <c r="B27" s="38" t="n">
        <f aca="false">H23+1</f>
        <v>46328</v>
      </c>
      <c r="C27" s="38" t="n">
        <f aca="false">B27+1</f>
        <v>46329</v>
      </c>
      <c r="D27" s="38" t="n">
        <f aca="false">C27+1</f>
        <v>46330</v>
      </c>
      <c r="E27" s="38" t="n">
        <f aca="false">D27+1</f>
        <v>46331</v>
      </c>
      <c r="F27" s="38" t="n">
        <f aca="false">E27+1</f>
        <v>46332</v>
      </c>
      <c r="G27" s="38" t="n">
        <f aca="false">F27+1</f>
        <v>46333</v>
      </c>
      <c r="H27" s="38" t="n">
        <f aca="false">G27+1</f>
        <v>46334</v>
      </c>
    </row>
    <row r="28" customFormat="false" ht="15" hidden="false" customHeight="false" outlineLevel="0" collapsed="false">
      <c r="B28" s="39" t="n">
        <f aca="false">IF($F$3="All",COUNTIFS('Comms Calendar'!$O$5:$O$504,B27,'Comms Calendar'!$AE$5:$AE$504,"&lt;&gt;Cancelled"),COUNTIFS('Comms Calendar'!$O$5:$O$504,B27,'Comms Calendar'!$B$5:$B$504,$F$3,'Comms Calendar'!$AE$5:$AE$504,"&lt;&gt;Cancelled"))</f>
        <v>0</v>
      </c>
      <c r="C28" s="39" t="n">
        <f aca="false">IF($F$3="All",COUNTIFS('Comms Calendar'!$O$5:$O$504,C27,'Comms Calendar'!$AE$5:$AE$504,"&lt;&gt;Cancelled"),COUNTIFS('Comms Calendar'!$O$5:$O$504,C27,'Comms Calendar'!$B$5:$B$504,$F$3,'Comms Calendar'!$AE$5:$AE$504,"&lt;&gt;Cancelled"))</f>
        <v>0</v>
      </c>
      <c r="D28" s="39" t="n">
        <f aca="false">IF($F$3="All",COUNTIFS('Comms Calendar'!$O$5:$O$504,D27,'Comms Calendar'!$AE$5:$AE$504,"&lt;&gt;Cancelled"),COUNTIFS('Comms Calendar'!$O$5:$O$504,D27,'Comms Calendar'!$B$5:$B$504,$F$3,'Comms Calendar'!$AE$5:$AE$504,"&lt;&gt;Cancelled"))</f>
        <v>0</v>
      </c>
      <c r="E28" s="39" t="n">
        <f aca="false">IF($F$3="All",COUNTIFS('Comms Calendar'!$O$5:$O$504,E27,'Comms Calendar'!$AE$5:$AE$504,"&lt;&gt;Cancelled"),COUNTIFS('Comms Calendar'!$O$5:$O$504,E27,'Comms Calendar'!$B$5:$B$504,$F$3,'Comms Calendar'!$AE$5:$AE$504,"&lt;&gt;Cancelled"))</f>
        <v>1</v>
      </c>
      <c r="F28" s="39" t="n">
        <f aca="false">IF($F$3="All",COUNTIFS('Comms Calendar'!$O$5:$O$504,F27,'Comms Calendar'!$AE$5:$AE$504,"&lt;&gt;Cancelled"),COUNTIFS('Comms Calendar'!$O$5:$O$504,F27,'Comms Calendar'!$B$5:$B$504,$F$3,'Comms Calendar'!$AE$5:$AE$504,"&lt;&gt;Cancelled"))</f>
        <v>0</v>
      </c>
      <c r="G28" s="39" t="n">
        <f aca="false">IF($F$3="All",COUNTIFS('Comms Calendar'!$O$5:$O$504,G27,'Comms Calendar'!$AE$5:$AE$504,"&lt;&gt;Cancelled"),COUNTIFS('Comms Calendar'!$O$5:$O$504,G27,'Comms Calendar'!$B$5:$B$504,$F$3,'Comms Calendar'!$AE$5:$AE$504,"&lt;&gt;Cancelled"))</f>
        <v>0</v>
      </c>
      <c r="H28" s="39" t="n">
        <f aca="false">IF($F$3="All",COUNTIFS('Comms Calendar'!$O$5:$O$504,H27,'Comms Calendar'!$AE$5:$AE$504,"&lt;&gt;Cancelled"),COUNTIFS('Comms Calendar'!$O$5:$O$504,H27,'Comms Calendar'!$B$5:$B$504,$F$3,'Comms Calendar'!$AE$5:$AE$504,"&lt;&gt;Cancelled"))</f>
        <v>0</v>
      </c>
    </row>
    <row r="29" customFormat="false" ht="15" hidden="false" customHeight="false" outlineLevel="0" collapsed="false">
      <c r="B29" s="40" t="str">
        <f aca="false">IF(B28=0,"","AM "&amp;COUNTIFS('Comms Calendar'!$O$5:$O$504,B27,'Comms Calendar'!$B$5:$B$504,"AMER",'Comms Calendar'!$AE$5:$AE$504,"&lt;&gt;Cancelled")&amp;" · "&amp;"EM "&amp;COUNTIFS('Comms Calendar'!$O$5:$O$504,B27,'Comms Calendar'!$B$5:$B$504,"EMEA",'Comms Calendar'!$AE$5:$AE$504,"&lt;&gt;Cancelled")&amp;" · "&amp;"AP "&amp;COUNTIFS('Comms Calendar'!$O$5:$O$504,B27,'Comms Calendar'!$B$5:$B$504,"APAC",'Comms Calendar'!$AE$5:$AE$504,"&lt;&gt;Cancelled")&amp;" · "&amp;"GL "&amp;COUNTIFS('Comms Calendar'!$O$5:$O$504,B27,'Comms Calendar'!$B$5:$B$504,"Global",'Comms Calendar'!$AE$5:$AE$504,"&lt;&gt;Cancelled"))</f>
        <v/>
      </c>
      <c r="C29" s="40" t="str">
        <f aca="false">IF(C28=0,"","AM "&amp;COUNTIFS('Comms Calendar'!$O$5:$O$504,C27,'Comms Calendar'!$B$5:$B$504,"AMER",'Comms Calendar'!$AE$5:$AE$504,"&lt;&gt;Cancelled")&amp;" · "&amp;"EM "&amp;COUNTIFS('Comms Calendar'!$O$5:$O$504,C27,'Comms Calendar'!$B$5:$B$504,"EMEA",'Comms Calendar'!$AE$5:$AE$504,"&lt;&gt;Cancelled")&amp;" · "&amp;"AP "&amp;COUNTIFS('Comms Calendar'!$O$5:$O$504,C27,'Comms Calendar'!$B$5:$B$504,"APAC",'Comms Calendar'!$AE$5:$AE$504,"&lt;&gt;Cancelled")&amp;" · "&amp;"GL "&amp;COUNTIFS('Comms Calendar'!$O$5:$O$504,C27,'Comms Calendar'!$B$5:$B$504,"Global",'Comms Calendar'!$AE$5:$AE$504,"&lt;&gt;Cancelled"))</f>
        <v/>
      </c>
      <c r="D29" s="40" t="str">
        <f aca="false">IF(D28=0,"","AM "&amp;COUNTIFS('Comms Calendar'!$O$5:$O$504,D27,'Comms Calendar'!$B$5:$B$504,"AMER",'Comms Calendar'!$AE$5:$AE$504,"&lt;&gt;Cancelled")&amp;" · "&amp;"EM "&amp;COUNTIFS('Comms Calendar'!$O$5:$O$504,D27,'Comms Calendar'!$B$5:$B$504,"EMEA",'Comms Calendar'!$AE$5:$AE$504,"&lt;&gt;Cancelled")&amp;" · "&amp;"AP "&amp;COUNTIFS('Comms Calendar'!$O$5:$O$504,D27,'Comms Calendar'!$B$5:$B$504,"APAC",'Comms Calendar'!$AE$5:$AE$504,"&lt;&gt;Cancelled")&amp;" · "&amp;"GL "&amp;COUNTIFS('Comms Calendar'!$O$5:$O$504,D27,'Comms Calendar'!$B$5:$B$504,"Global",'Comms Calendar'!$AE$5:$AE$504,"&lt;&gt;Cancelled"))</f>
        <v/>
      </c>
      <c r="E29" s="40" t="str">
        <f aca="false">IF(E28=0,"","AM "&amp;COUNTIFS('Comms Calendar'!$O$5:$O$504,E27,'Comms Calendar'!$B$5:$B$504,"AMER",'Comms Calendar'!$AE$5:$AE$504,"&lt;&gt;Cancelled")&amp;" · "&amp;"EM "&amp;COUNTIFS('Comms Calendar'!$O$5:$O$504,E27,'Comms Calendar'!$B$5:$B$504,"EMEA",'Comms Calendar'!$AE$5:$AE$504,"&lt;&gt;Cancelled")&amp;" · "&amp;"AP "&amp;COUNTIFS('Comms Calendar'!$O$5:$O$504,E27,'Comms Calendar'!$B$5:$B$504,"APAC",'Comms Calendar'!$AE$5:$AE$504,"&lt;&gt;Cancelled")&amp;" · "&amp;"GL "&amp;COUNTIFS('Comms Calendar'!$O$5:$O$504,E27,'Comms Calendar'!$B$5:$B$504,"Global",'Comms Calendar'!$AE$5:$AE$504,"&lt;&gt;Cancelled"))</f>
        <v>AM 0 · EM 0 · AP 1 · GL 0</v>
      </c>
      <c r="F29" s="40" t="str">
        <f aca="false">IF(F28=0,"","AM "&amp;COUNTIFS('Comms Calendar'!$O$5:$O$504,F27,'Comms Calendar'!$B$5:$B$504,"AMER",'Comms Calendar'!$AE$5:$AE$504,"&lt;&gt;Cancelled")&amp;" · "&amp;"EM "&amp;COUNTIFS('Comms Calendar'!$O$5:$O$504,F27,'Comms Calendar'!$B$5:$B$504,"EMEA",'Comms Calendar'!$AE$5:$AE$504,"&lt;&gt;Cancelled")&amp;" · "&amp;"AP "&amp;COUNTIFS('Comms Calendar'!$O$5:$O$504,F27,'Comms Calendar'!$B$5:$B$504,"APAC",'Comms Calendar'!$AE$5:$AE$504,"&lt;&gt;Cancelled")&amp;" · "&amp;"GL "&amp;COUNTIFS('Comms Calendar'!$O$5:$O$504,F27,'Comms Calendar'!$B$5:$B$504,"Global",'Comms Calendar'!$AE$5:$AE$504,"&lt;&gt;Cancelled"))</f>
        <v/>
      </c>
      <c r="G29" s="40" t="str">
        <f aca="false">IF(G28=0,"","AM "&amp;COUNTIFS('Comms Calendar'!$O$5:$O$504,G27,'Comms Calendar'!$B$5:$B$504,"AMER",'Comms Calendar'!$AE$5:$AE$504,"&lt;&gt;Cancelled")&amp;" · "&amp;"EM "&amp;COUNTIFS('Comms Calendar'!$O$5:$O$504,G27,'Comms Calendar'!$B$5:$B$504,"EMEA",'Comms Calendar'!$AE$5:$AE$504,"&lt;&gt;Cancelled")&amp;" · "&amp;"AP "&amp;COUNTIFS('Comms Calendar'!$O$5:$O$504,G27,'Comms Calendar'!$B$5:$B$504,"APAC",'Comms Calendar'!$AE$5:$AE$504,"&lt;&gt;Cancelled")&amp;" · "&amp;"GL "&amp;COUNTIFS('Comms Calendar'!$O$5:$O$504,G27,'Comms Calendar'!$B$5:$B$504,"Global",'Comms Calendar'!$AE$5:$AE$504,"&lt;&gt;Cancelled"))</f>
        <v/>
      </c>
      <c r="H29" s="40" t="str">
        <f aca="false">IF(H28=0,"","AM "&amp;COUNTIFS('Comms Calendar'!$O$5:$O$504,H27,'Comms Calendar'!$B$5:$B$504,"AMER",'Comms Calendar'!$AE$5:$AE$504,"&lt;&gt;Cancelled")&amp;" · "&amp;"EM "&amp;COUNTIFS('Comms Calendar'!$O$5:$O$504,H27,'Comms Calendar'!$B$5:$B$504,"EMEA",'Comms Calendar'!$AE$5:$AE$504,"&lt;&gt;Cancelled")&amp;" · "&amp;"AP "&amp;COUNTIFS('Comms Calendar'!$O$5:$O$504,H27,'Comms Calendar'!$B$5:$B$504,"APAC",'Comms Calendar'!$AE$5:$AE$504,"&lt;&gt;Cancelled")&amp;" · "&amp;"GL "&amp;COUNTIFS('Comms Calendar'!$O$5:$O$504,H27,'Comms Calendar'!$B$5:$B$504,"Global",'Comms Calendar'!$AE$5:$AE$504,"&lt;&gt;Cancelled"))</f>
        <v/>
      </c>
    </row>
    <row r="30" customFormat="false" ht="33.75" hidden="false" customHeight="true" outlineLevel="0" collapsed="false">
      <c r="B30" s="41" t="str">
        <f aca="false">IF(B28=0,"",IFERROR(INDEX('Comms Calendar'!$G$5:$G$504,IF($F$3="All",MATCH(B27,'Comms Calendar'!$O$5:$O$504,0),MATCH(B27&amp;"|"&amp;$F$3,'Comms Calendar'!$AS$5:$AS$504,0))),"")&amp;IF(B28&gt;1," (+"&amp;(B28-1)&amp;" more)",""))</f>
        <v/>
      </c>
      <c r="C30" s="41" t="str">
        <f aca="false">IF(C28=0,"",IFERROR(INDEX('Comms Calendar'!$G$5:$G$504,IF($F$3="All",MATCH(C27,'Comms Calendar'!$O$5:$O$504,0),MATCH(C27&amp;"|"&amp;$F$3,'Comms Calendar'!$AS$5:$AS$504,0))),"")&amp;IF(C28&gt;1," (+"&amp;(C28-1)&amp;" more)",""))</f>
        <v/>
      </c>
      <c r="D30" s="41" t="str">
        <f aca="false">IF(D28=0,"",IFERROR(INDEX('Comms Calendar'!$G$5:$G$504,IF($F$3="All",MATCH(D27,'Comms Calendar'!$O$5:$O$504,0),MATCH(D27&amp;"|"&amp;$F$3,'Comms Calendar'!$AS$5:$AS$504,0))),"")&amp;IF(D28&gt;1," (+"&amp;(D28-1)&amp;" more)",""))</f>
        <v/>
      </c>
      <c r="E30" s="41" t="str">
        <f aca="false">IF(E28=0,"",IFERROR(INDEX('Comms Calendar'!$G$5:$G$504,IF($F$3="All",MATCH(E27,'Comms Calendar'!$O$5:$O$504,0),MATCH(E27&amp;"|"&amp;$F$3,'Comms Calendar'!$AS$5:$AS$504,0))),"")&amp;IF(E28&gt;1," (+"&amp;(E28-1)&amp;" more)",""))</f>
        <v>3 ways teams in ANZ cut reporting time</v>
      </c>
      <c r="F30" s="41" t="str">
        <f aca="false">IF(F28=0,"",IFERROR(INDEX('Comms Calendar'!$G$5:$G$504,IF($F$3="All",MATCH(F27,'Comms Calendar'!$O$5:$O$504,0),MATCH(F27&amp;"|"&amp;$F$3,'Comms Calendar'!$AS$5:$AS$504,0))),"")&amp;IF(F28&gt;1," (+"&amp;(F28-1)&amp;" more)",""))</f>
        <v/>
      </c>
      <c r="G30" s="41" t="str">
        <f aca="false">IF(G28=0,"",IFERROR(INDEX('Comms Calendar'!$G$5:$G$504,IF($F$3="All",MATCH(G27,'Comms Calendar'!$O$5:$O$504,0),MATCH(G27&amp;"|"&amp;$F$3,'Comms Calendar'!$AS$5:$AS$504,0))),"")&amp;IF(G28&gt;1," (+"&amp;(G28-1)&amp;" more)",""))</f>
        <v/>
      </c>
      <c r="H30" s="41" t="str">
        <f aca="false">IF(H28=0,"",IFERROR(INDEX('Comms Calendar'!$G$5:$G$504,IF($F$3="All",MATCH(H27,'Comms Calendar'!$O$5:$O$504,0),MATCH(H27&amp;"|"&amp;$F$3,'Comms Calendar'!$AS$5:$AS$504,0))),"")&amp;IF(H28&gt;1," (+"&amp;(H28-1)&amp;" more)",""))</f>
        <v/>
      </c>
    </row>
    <row r="32" customFormat="false" ht="15" hidden="false" customHeight="false" outlineLevel="0" collapsed="false">
      <c r="B32" s="12" t="s">
        <v>313</v>
      </c>
    </row>
  </sheetData>
  <conditionalFormatting sqref="B7:H30">
    <cfRule type="expression" priority="2" aboveAverage="0" equalAverage="0" bottom="0" percent="0" rank="0" text="" dxfId="24">
      <formula>MONTH(INDEX($B$7:$H$30,INT((ROW()-7)/4)*4+1,COLUMN()-1))&lt;&gt;MONTH($C$3)</formula>
    </cfRule>
    <cfRule type="expression" priority="3" aboveAverage="0" equalAverage="0" bottom="0" percent="0" rank="0" text="" dxfId="25">
      <formula>INDEX($B$7:$H$30,INT((ROW()-7)/4)*4+1,COLUMN()-1)=TODAY()</formula>
    </cfRule>
    <cfRule type="expression" priority="4" aboveAverage="0" equalAverage="0" bottom="0" percent="0" rank="0" text="" dxfId="26">
      <formula>INDEX($B$7:$H$30,INT((ROW()-7)/4)*4+2,COLUMN()-1)&gt;=3</formula>
    </cfRule>
    <cfRule type="expression" priority="5" aboveAverage="0" equalAverage="0" bottom="0" percent="0" rank="0" text="" dxfId="27">
      <formula>INDEX($B$7:$H$30,INT((ROW()-7)/4)*4+2,COLUMN()-1)&gt;=1</formula>
    </cfRule>
  </conditionalFormatting>
  <dataValidations count="1">
    <dataValidation allowBlank="false" errorStyle="stop" operator="between" showDropDown="false" showErrorMessage="false" showInputMessage="false" sqref="F3" type="list">
      <formula1>Dropdowns!$K$2:$K$6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7CAC"/>
    <pageSetUpPr fitToPage="false"/>
  </sheetPr>
  <dimension ref="B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17" min="3" style="0" width="11"/>
  </cols>
  <sheetData>
    <row r="1" customFormat="false" ht="19.7" hidden="false" customHeight="false" outlineLevel="0" collapsed="false">
      <c r="B1" s="11" t="s">
        <v>314</v>
      </c>
    </row>
    <row r="3" customFormat="false" ht="15" hidden="false" customHeight="false" outlineLevel="0" collapsed="false">
      <c r="B3" s="32" t="s">
        <v>315</v>
      </c>
      <c r="D3" s="42" t="n">
        <f aca="true">TODAY()-WEEKDAY(TODAY(),3)</f>
        <v>46300</v>
      </c>
      <c r="E3" s="12" t="s">
        <v>316</v>
      </c>
    </row>
    <row r="5" customFormat="false" ht="30" hidden="false" customHeight="true" outlineLevel="0" collapsed="false">
      <c r="B5" s="22" t="s">
        <v>105</v>
      </c>
      <c r="C5" s="22" t="s">
        <v>117</v>
      </c>
      <c r="D5" s="22" t="s">
        <v>178</v>
      </c>
      <c r="E5" s="22" t="s">
        <v>217</v>
      </c>
      <c r="F5" s="22" t="s">
        <v>246</v>
      </c>
      <c r="G5" s="22" t="s">
        <v>317</v>
      </c>
      <c r="H5" s="22" t="s">
        <v>318</v>
      </c>
      <c r="I5" s="22" t="s">
        <v>319</v>
      </c>
      <c r="J5" s="22" t="s">
        <v>320</v>
      </c>
      <c r="K5" s="22" t="s">
        <v>321</v>
      </c>
      <c r="L5" s="22" t="s">
        <v>322</v>
      </c>
      <c r="M5" s="22" t="s">
        <v>323</v>
      </c>
      <c r="N5" s="22" t="s">
        <v>324</v>
      </c>
      <c r="O5" s="22" t="s">
        <v>325</v>
      </c>
      <c r="P5" s="22" t="s">
        <v>326</v>
      </c>
      <c r="Q5" s="22" t="s">
        <v>327</v>
      </c>
    </row>
    <row r="6" customFormat="false" ht="15" hidden="false" customHeight="false" outlineLevel="0" collapsed="false">
      <c r="B6" s="43" t="n">
        <f aca="false">$D$3</f>
        <v>46300</v>
      </c>
      <c r="C6" s="44" t="n">
        <f aca="false">COUNTIFS('Comms Calendar'!$AI$5:$AI$504,$B6,'Comms Calendar'!$B$5:$B$504,"AMER",'Comms Calendar'!$AE$5:$AE$504,"&lt;&gt;Cancelled")</f>
        <v>0</v>
      </c>
      <c r="D6" s="44" t="n">
        <f aca="false">COUNTIFS('Comms Calendar'!$AI$5:$AI$504,$B6,'Comms Calendar'!$B$5:$B$504,"EMEA",'Comms Calendar'!$AE$5:$AE$504,"&lt;&gt;Cancelled")</f>
        <v>0</v>
      </c>
      <c r="E6" s="44" t="n">
        <f aca="false">COUNTIFS('Comms Calendar'!$AI$5:$AI$504,$B6,'Comms Calendar'!$B$5:$B$504,"APAC",'Comms Calendar'!$AE$5:$AE$504,"&lt;&gt;Cancelled")</f>
        <v>0</v>
      </c>
      <c r="F6" s="44" t="n">
        <f aca="false">COUNTIFS('Comms Calendar'!$AI$5:$AI$504,$B6,'Comms Calendar'!$B$5:$B$504,"Global",'Comms Calendar'!$AE$5:$AE$504,"&lt;&gt;Cancelled")</f>
        <v>0</v>
      </c>
      <c r="G6" s="45" t="n">
        <f aca="false">SUM(C6:F6)</f>
        <v>0</v>
      </c>
      <c r="H6" s="44" t="n">
        <f aca="false">COUNTIFS('Comms Calendar'!$AI$5:$AI$504,$B6,'Comms Calendar'!$AR$5:$AR$504,"Webinar",'Comms Calendar'!$AE$5:$AE$504,"&lt;&gt;Cancelled")</f>
        <v>0</v>
      </c>
      <c r="I6" s="44" t="n">
        <f aca="false">COUNTIFS('Comms Calendar'!$AI$5:$AI$504,$B6,'Comms Calendar'!$AR$5:$AR$504,"Email",'Comms Calendar'!$AE$5:$AE$504,"&lt;&gt;Cancelled")</f>
        <v>0</v>
      </c>
      <c r="J6" s="44" t="n">
        <f aca="false">COUNTIFS('Comms Calendar'!$AI$5:$AI$504,$B6,'Comms Calendar'!$AR$5:$AR$504,"Social",'Comms Calendar'!$AE$5:$AE$504,"&lt;&gt;Cancelled")</f>
        <v>0</v>
      </c>
      <c r="K6" s="44" t="n">
        <f aca="false">COUNTIFS('Comms Calendar'!$AI$5:$AI$504,$B6,'Comms Calendar'!$AR$5:$AR$504,"Event",'Comms Calendar'!$AE$5:$AE$504,"&lt;&gt;Cancelled")</f>
        <v>0</v>
      </c>
      <c r="L6" s="44" t="n">
        <f aca="false">COUNTIFS('Comms Calendar'!$AI$5:$AI$504,$B6,'Comms Calendar'!$E$5:$E$504,"Customer",'Comms Calendar'!$AE$5:$AE$504,"&lt;&gt;Cancelled")+COUNTIFS('Comms Calendar'!$AI$5:$AI$504,$B6,'Comms Calendar'!$E$5:$E$504,"Customer + Prospect",'Comms Calendar'!$AE$5:$AE$504,"&lt;&gt;Cancelled")</f>
        <v>0</v>
      </c>
      <c r="M6" s="44" t="n">
        <f aca="false">COUNTIFS('Comms Calendar'!$AI$5:$AI$504,$B6,'Comms Calendar'!$AF$5:$AF$504,"In Progress")+COUNTIFS('Comms Calendar'!$AI$5:$AI$504,$B6,'Comms Calendar'!$AF$5:$AF$504,"At Risk")+COUNTIFS('Comms Calendar'!$AI$5:$AI$504,$B6,'Comms Calendar'!$AF$5:$AF$504,"Overdue")</f>
        <v>0</v>
      </c>
      <c r="N6" s="44" t="n">
        <f aca="false">COUNTIFS('Comms Calendar'!$AI$5:$AI$504,$B6,'Comms Calendar'!$AB$5:$AB$504,"Yes",'Comms Calendar'!$AE$5:$AE$504,"&lt;&gt;Cancelled")</f>
        <v>0</v>
      </c>
      <c r="O6" s="44" t="n">
        <f aca="false">COUNTIFS('Comms Calendar'!$AI$5:$AI$504,$B6,'Comms Calendar'!$AL$5:$AL$504,"Over cap",'Comms Calendar'!$AE$5:$AE$504,"&lt;&gt;Cancelled")</f>
        <v>0</v>
      </c>
      <c r="P6" s="44" t="n">
        <f aca="false">COUNTIFS('Comms Calendar'!$AI$5:$AI$504,$B6,'Comms Calendar'!$AM$5:$AM$504,"Clash",'Comms Calendar'!$AE$5:$AE$504,"&lt;&gt;Cancelled")</f>
        <v>0</v>
      </c>
      <c r="Q6" s="44" t="n">
        <f aca="false">COUNTIFS('Comms Calendar'!$AI$5:$AI$504,$B6,'Comms Calendar'!$AN$5:$AN$504,"Blackout",'Comms Calendar'!$AE$5:$AE$504,"&lt;&gt;Cancelled")</f>
        <v>0</v>
      </c>
    </row>
    <row r="7" customFormat="false" ht="15" hidden="false" customHeight="false" outlineLevel="0" collapsed="false">
      <c r="B7" s="46" t="n">
        <f aca="false">B6+7</f>
        <v>46307</v>
      </c>
      <c r="C7" s="47" t="n">
        <f aca="false">COUNTIFS('Comms Calendar'!$AI$5:$AI$504,$B7,'Comms Calendar'!$B$5:$B$504,"AMER",'Comms Calendar'!$AE$5:$AE$504,"&lt;&gt;Cancelled")</f>
        <v>3</v>
      </c>
      <c r="D7" s="47" t="n">
        <f aca="false">COUNTIFS('Comms Calendar'!$AI$5:$AI$504,$B7,'Comms Calendar'!$B$5:$B$504,"EMEA",'Comms Calendar'!$AE$5:$AE$504,"&lt;&gt;Cancelled")</f>
        <v>1</v>
      </c>
      <c r="E7" s="47" t="n">
        <f aca="false">COUNTIFS('Comms Calendar'!$AI$5:$AI$504,$B7,'Comms Calendar'!$B$5:$B$504,"APAC",'Comms Calendar'!$AE$5:$AE$504,"&lt;&gt;Cancelled")</f>
        <v>0</v>
      </c>
      <c r="F7" s="47" t="n">
        <f aca="false">COUNTIFS('Comms Calendar'!$AI$5:$AI$504,$B7,'Comms Calendar'!$B$5:$B$504,"Global",'Comms Calendar'!$AE$5:$AE$504,"&lt;&gt;Cancelled")</f>
        <v>1</v>
      </c>
      <c r="G7" s="48" t="n">
        <f aca="false">SUM(C7:F7)</f>
        <v>5</v>
      </c>
      <c r="H7" s="47" t="n">
        <f aca="false">COUNTIFS('Comms Calendar'!$AI$5:$AI$504,$B7,'Comms Calendar'!$AR$5:$AR$504,"Webinar",'Comms Calendar'!$AE$5:$AE$504,"&lt;&gt;Cancelled")</f>
        <v>0</v>
      </c>
      <c r="I7" s="47" t="n">
        <f aca="false">COUNTIFS('Comms Calendar'!$AI$5:$AI$504,$B7,'Comms Calendar'!$AR$5:$AR$504,"Email",'Comms Calendar'!$AE$5:$AE$504,"&lt;&gt;Cancelled")</f>
        <v>4</v>
      </c>
      <c r="J7" s="47" t="n">
        <f aca="false">COUNTIFS('Comms Calendar'!$AI$5:$AI$504,$B7,'Comms Calendar'!$AR$5:$AR$504,"Social",'Comms Calendar'!$AE$5:$AE$504,"&lt;&gt;Cancelled")</f>
        <v>1</v>
      </c>
      <c r="K7" s="47" t="n">
        <f aca="false">COUNTIFS('Comms Calendar'!$AI$5:$AI$504,$B7,'Comms Calendar'!$AR$5:$AR$504,"Event",'Comms Calendar'!$AE$5:$AE$504,"&lt;&gt;Cancelled")</f>
        <v>0</v>
      </c>
      <c r="L7" s="47" t="n">
        <f aca="false">COUNTIFS('Comms Calendar'!$AI$5:$AI$504,$B7,'Comms Calendar'!$E$5:$E$504,"Customer",'Comms Calendar'!$AE$5:$AE$504,"&lt;&gt;Cancelled")+COUNTIFS('Comms Calendar'!$AI$5:$AI$504,$B7,'Comms Calendar'!$E$5:$E$504,"Customer + Prospect",'Comms Calendar'!$AE$5:$AE$504,"&lt;&gt;Cancelled")</f>
        <v>5</v>
      </c>
      <c r="M7" s="47" t="n">
        <f aca="false">COUNTIFS('Comms Calendar'!$AI$5:$AI$504,$B7,'Comms Calendar'!$AF$5:$AF$504,"In Progress")+COUNTIFS('Comms Calendar'!$AI$5:$AI$504,$B7,'Comms Calendar'!$AF$5:$AF$504,"At Risk")+COUNTIFS('Comms Calendar'!$AI$5:$AI$504,$B7,'Comms Calendar'!$AF$5:$AF$504,"Overdue")</f>
        <v>2</v>
      </c>
      <c r="N7" s="47" t="n">
        <f aca="false">COUNTIFS('Comms Calendar'!$AI$5:$AI$504,$B7,'Comms Calendar'!$AB$5:$AB$504,"Yes",'Comms Calendar'!$AE$5:$AE$504,"&lt;&gt;Cancelled")</f>
        <v>4</v>
      </c>
      <c r="O7" s="47" t="n">
        <f aca="false">COUNTIFS('Comms Calendar'!$AI$5:$AI$504,$B7,'Comms Calendar'!$AL$5:$AL$504,"Over cap",'Comms Calendar'!$AE$5:$AE$504,"&lt;&gt;Cancelled")</f>
        <v>3</v>
      </c>
      <c r="P7" s="47" t="n">
        <f aca="false">COUNTIFS('Comms Calendar'!$AI$5:$AI$504,$B7,'Comms Calendar'!$AM$5:$AM$504,"Clash",'Comms Calendar'!$AE$5:$AE$504,"&lt;&gt;Cancelled")</f>
        <v>2</v>
      </c>
      <c r="Q7" s="47" t="n">
        <f aca="false">COUNTIFS('Comms Calendar'!$AI$5:$AI$504,$B7,'Comms Calendar'!$AN$5:$AN$504,"Blackout",'Comms Calendar'!$AE$5:$AE$504,"&lt;&gt;Cancelled")</f>
        <v>0</v>
      </c>
    </row>
    <row r="8" customFormat="false" ht="15" hidden="false" customHeight="false" outlineLevel="0" collapsed="false">
      <c r="B8" s="43" t="n">
        <f aca="false">B7+7</f>
        <v>46314</v>
      </c>
      <c r="C8" s="44" t="n">
        <f aca="false">COUNTIFS('Comms Calendar'!$AI$5:$AI$504,$B8,'Comms Calendar'!$B$5:$B$504,"AMER",'Comms Calendar'!$AE$5:$AE$504,"&lt;&gt;Cancelled")</f>
        <v>1</v>
      </c>
      <c r="D8" s="44" t="n">
        <f aca="false">COUNTIFS('Comms Calendar'!$AI$5:$AI$504,$B8,'Comms Calendar'!$B$5:$B$504,"EMEA",'Comms Calendar'!$AE$5:$AE$504,"&lt;&gt;Cancelled")</f>
        <v>1</v>
      </c>
      <c r="E8" s="44" t="n">
        <f aca="false">COUNTIFS('Comms Calendar'!$AI$5:$AI$504,$B8,'Comms Calendar'!$B$5:$B$504,"APAC",'Comms Calendar'!$AE$5:$AE$504,"&lt;&gt;Cancelled")</f>
        <v>0</v>
      </c>
      <c r="F8" s="44" t="n">
        <f aca="false">COUNTIFS('Comms Calendar'!$AI$5:$AI$504,$B8,'Comms Calendar'!$B$5:$B$504,"Global",'Comms Calendar'!$AE$5:$AE$504,"&lt;&gt;Cancelled")</f>
        <v>0</v>
      </c>
      <c r="G8" s="45" t="n">
        <f aca="false">SUM(C8:F8)</f>
        <v>2</v>
      </c>
      <c r="H8" s="44" t="n">
        <f aca="false">COUNTIFS('Comms Calendar'!$AI$5:$AI$504,$B8,'Comms Calendar'!$AR$5:$AR$504,"Webinar",'Comms Calendar'!$AE$5:$AE$504,"&lt;&gt;Cancelled")</f>
        <v>2</v>
      </c>
      <c r="I8" s="44" t="n">
        <f aca="false">COUNTIFS('Comms Calendar'!$AI$5:$AI$504,$B8,'Comms Calendar'!$AR$5:$AR$504,"Email",'Comms Calendar'!$AE$5:$AE$504,"&lt;&gt;Cancelled")</f>
        <v>0</v>
      </c>
      <c r="J8" s="44" t="n">
        <f aca="false">COUNTIFS('Comms Calendar'!$AI$5:$AI$504,$B8,'Comms Calendar'!$AR$5:$AR$504,"Social",'Comms Calendar'!$AE$5:$AE$504,"&lt;&gt;Cancelled")</f>
        <v>0</v>
      </c>
      <c r="K8" s="44" t="n">
        <f aca="false">COUNTIFS('Comms Calendar'!$AI$5:$AI$504,$B8,'Comms Calendar'!$AR$5:$AR$504,"Event",'Comms Calendar'!$AE$5:$AE$504,"&lt;&gt;Cancelled")</f>
        <v>0</v>
      </c>
      <c r="L8" s="44" t="n">
        <f aca="false">COUNTIFS('Comms Calendar'!$AI$5:$AI$504,$B8,'Comms Calendar'!$E$5:$E$504,"Customer",'Comms Calendar'!$AE$5:$AE$504,"&lt;&gt;Cancelled")+COUNTIFS('Comms Calendar'!$AI$5:$AI$504,$B8,'Comms Calendar'!$E$5:$E$504,"Customer + Prospect",'Comms Calendar'!$AE$5:$AE$504,"&lt;&gt;Cancelled")</f>
        <v>2</v>
      </c>
      <c r="M8" s="44" t="n">
        <f aca="false">COUNTIFS('Comms Calendar'!$AI$5:$AI$504,$B8,'Comms Calendar'!$AF$5:$AF$504,"In Progress")+COUNTIFS('Comms Calendar'!$AI$5:$AI$504,$B8,'Comms Calendar'!$AF$5:$AF$504,"At Risk")+COUNTIFS('Comms Calendar'!$AI$5:$AI$504,$B8,'Comms Calendar'!$AF$5:$AF$504,"Overdue")</f>
        <v>1</v>
      </c>
      <c r="N8" s="44" t="n">
        <f aca="false">COUNTIFS('Comms Calendar'!$AI$5:$AI$504,$B8,'Comms Calendar'!$AB$5:$AB$504,"Yes",'Comms Calendar'!$AE$5:$AE$504,"&lt;&gt;Cancelled")</f>
        <v>2</v>
      </c>
      <c r="O8" s="44" t="n">
        <f aca="false">COUNTIFS('Comms Calendar'!$AI$5:$AI$504,$B8,'Comms Calendar'!$AL$5:$AL$504,"Over cap",'Comms Calendar'!$AE$5:$AE$504,"&lt;&gt;Cancelled")</f>
        <v>0</v>
      </c>
      <c r="P8" s="44" t="n">
        <f aca="false">COUNTIFS('Comms Calendar'!$AI$5:$AI$504,$B8,'Comms Calendar'!$AM$5:$AM$504,"Clash",'Comms Calendar'!$AE$5:$AE$504,"&lt;&gt;Cancelled")</f>
        <v>0</v>
      </c>
      <c r="Q8" s="44" t="n">
        <f aca="false">COUNTIFS('Comms Calendar'!$AI$5:$AI$504,$B8,'Comms Calendar'!$AN$5:$AN$504,"Blackout",'Comms Calendar'!$AE$5:$AE$504,"&lt;&gt;Cancelled")</f>
        <v>0</v>
      </c>
    </row>
    <row r="9" customFormat="false" ht="15" hidden="false" customHeight="false" outlineLevel="0" collapsed="false">
      <c r="B9" s="46" t="n">
        <f aca="false">B8+7</f>
        <v>46321</v>
      </c>
      <c r="C9" s="47" t="n">
        <f aca="false">COUNTIFS('Comms Calendar'!$AI$5:$AI$504,$B9,'Comms Calendar'!$B$5:$B$504,"AMER",'Comms Calendar'!$AE$5:$AE$504,"&lt;&gt;Cancelled")</f>
        <v>0</v>
      </c>
      <c r="D9" s="47" t="n">
        <f aca="false">COUNTIFS('Comms Calendar'!$AI$5:$AI$504,$B9,'Comms Calendar'!$B$5:$B$504,"EMEA",'Comms Calendar'!$AE$5:$AE$504,"&lt;&gt;Cancelled")</f>
        <v>0</v>
      </c>
      <c r="E9" s="47" t="n">
        <f aca="false">COUNTIFS('Comms Calendar'!$AI$5:$AI$504,$B9,'Comms Calendar'!$B$5:$B$504,"APAC",'Comms Calendar'!$AE$5:$AE$504,"&lt;&gt;Cancelled")</f>
        <v>1</v>
      </c>
      <c r="F9" s="47" t="n">
        <f aca="false">COUNTIFS('Comms Calendar'!$AI$5:$AI$504,$B9,'Comms Calendar'!$B$5:$B$504,"Global",'Comms Calendar'!$AE$5:$AE$504,"&lt;&gt;Cancelled")</f>
        <v>1</v>
      </c>
      <c r="G9" s="48" t="n">
        <f aca="false">SUM(C9:F9)</f>
        <v>2</v>
      </c>
      <c r="H9" s="47" t="n">
        <f aca="false">COUNTIFS('Comms Calendar'!$AI$5:$AI$504,$B9,'Comms Calendar'!$AR$5:$AR$504,"Webinar",'Comms Calendar'!$AE$5:$AE$504,"&lt;&gt;Cancelled")</f>
        <v>1</v>
      </c>
      <c r="I9" s="47" t="n">
        <f aca="false">COUNTIFS('Comms Calendar'!$AI$5:$AI$504,$B9,'Comms Calendar'!$AR$5:$AR$504,"Email",'Comms Calendar'!$AE$5:$AE$504,"&lt;&gt;Cancelled")</f>
        <v>1</v>
      </c>
      <c r="J9" s="47" t="n">
        <f aca="false">COUNTIFS('Comms Calendar'!$AI$5:$AI$504,$B9,'Comms Calendar'!$AR$5:$AR$504,"Social",'Comms Calendar'!$AE$5:$AE$504,"&lt;&gt;Cancelled")</f>
        <v>0</v>
      </c>
      <c r="K9" s="47" t="n">
        <f aca="false">COUNTIFS('Comms Calendar'!$AI$5:$AI$504,$B9,'Comms Calendar'!$AR$5:$AR$504,"Event",'Comms Calendar'!$AE$5:$AE$504,"&lt;&gt;Cancelled")</f>
        <v>0</v>
      </c>
      <c r="L9" s="47" t="n">
        <f aca="false">COUNTIFS('Comms Calendar'!$AI$5:$AI$504,$B9,'Comms Calendar'!$E$5:$E$504,"Customer",'Comms Calendar'!$AE$5:$AE$504,"&lt;&gt;Cancelled")+COUNTIFS('Comms Calendar'!$AI$5:$AI$504,$B9,'Comms Calendar'!$E$5:$E$504,"Customer + Prospect",'Comms Calendar'!$AE$5:$AE$504,"&lt;&gt;Cancelled")</f>
        <v>2</v>
      </c>
      <c r="M9" s="47" t="n">
        <f aca="false">COUNTIFS('Comms Calendar'!$AI$5:$AI$504,$B9,'Comms Calendar'!$AF$5:$AF$504,"In Progress")+COUNTIFS('Comms Calendar'!$AI$5:$AI$504,$B9,'Comms Calendar'!$AF$5:$AF$504,"At Risk")+COUNTIFS('Comms Calendar'!$AI$5:$AI$504,$B9,'Comms Calendar'!$AF$5:$AF$504,"Overdue")</f>
        <v>2</v>
      </c>
      <c r="N9" s="47" t="n">
        <f aca="false">COUNTIFS('Comms Calendar'!$AI$5:$AI$504,$B9,'Comms Calendar'!$AB$5:$AB$504,"Yes",'Comms Calendar'!$AE$5:$AE$504,"&lt;&gt;Cancelled")</f>
        <v>2</v>
      </c>
      <c r="O9" s="47" t="n">
        <f aca="false">COUNTIFS('Comms Calendar'!$AI$5:$AI$504,$B9,'Comms Calendar'!$AL$5:$AL$504,"Over cap",'Comms Calendar'!$AE$5:$AE$504,"&lt;&gt;Cancelled")</f>
        <v>0</v>
      </c>
      <c r="P9" s="47" t="n">
        <f aca="false">COUNTIFS('Comms Calendar'!$AI$5:$AI$504,$B9,'Comms Calendar'!$AM$5:$AM$504,"Clash",'Comms Calendar'!$AE$5:$AE$504,"&lt;&gt;Cancelled")</f>
        <v>0</v>
      </c>
      <c r="Q9" s="47" t="n">
        <f aca="false">COUNTIFS('Comms Calendar'!$AI$5:$AI$504,$B9,'Comms Calendar'!$AN$5:$AN$504,"Blackout",'Comms Calendar'!$AE$5:$AE$504,"&lt;&gt;Cancelled")</f>
        <v>0</v>
      </c>
    </row>
    <row r="10" customFormat="false" ht="15" hidden="false" customHeight="false" outlineLevel="0" collapsed="false">
      <c r="B10" s="43" t="n">
        <f aca="false">B9+7</f>
        <v>46328</v>
      </c>
      <c r="C10" s="44" t="n">
        <f aca="false">COUNTIFS('Comms Calendar'!$AI$5:$AI$504,$B10,'Comms Calendar'!$B$5:$B$504,"AMER",'Comms Calendar'!$AE$5:$AE$504,"&lt;&gt;Cancelled")</f>
        <v>0</v>
      </c>
      <c r="D10" s="44" t="n">
        <f aca="false">COUNTIFS('Comms Calendar'!$AI$5:$AI$504,$B10,'Comms Calendar'!$B$5:$B$504,"EMEA",'Comms Calendar'!$AE$5:$AE$504,"&lt;&gt;Cancelled")</f>
        <v>0</v>
      </c>
      <c r="E10" s="44" t="n">
        <f aca="false">COUNTIFS('Comms Calendar'!$AI$5:$AI$504,$B10,'Comms Calendar'!$B$5:$B$504,"APAC",'Comms Calendar'!$AE$5:$AE$504,"&lt;&gt;Cancelled")</f>
        <v>1</v>
      </c>
      <c r="F10" s="44" t="n">
        <f aca="false">COUNTIFS('Comms Calendar'!$AI$5:$AI$504,$B10,'Comms Calendar'!$B$5:$B$504,"Global",'Comms Calendar'!$AE$5:$AE$504,"&lt;&gt;Cancelled")</f>
        <v>0</v>
      </c>
      <c r="G10" s="45" t="n">
        <f aca="false">SUM(C10:F10)</f>
        <v>1</v>
      </c>
      <c r="H10" s="44" t="n">
        <f aca="false">COUNTIFS('Comms Calendar'!$AI$5:$AI$504,$B10,'Comms Calendar'!$AR$5:$AR$504,"Webinar",'Comms Calendar'!$AE$5:$AE$504,"&lt;&gt;Cancelled")</f>
        <v>0</v>
      </c>
      <c r="I10" s="44" t="n">
        <f aca="false">COUNTIFS('Comms Calendar'!$AI$5:$AI$504,$B10,'Comms Calendar'!$AR$5:$AR$504,"Email",'Comms Calendar'!$AE$5:$AE$504,"&lt;&gt;Cancelled")</f>
        <v>1</v>
      </c>
      <c r="J10" s="44" t="n">
        <f aca="false">COUNTIFS('Comms Calendar'!$AI$5:$AI$504,$B10,'Comms Calendar'!$AR$5:$AR$504,"Social",'Comms Calendar'!$AE$5:$AE$504,"&lt;&gt;Cancelled")</f>
        <v>0</v>
      </c>
      <c r="K10" s="44" t="n">
        <f aca="false">COUNTIFS('Comms Calendar'!$AI$5:$AI$504,$B10,'Comms Calendar'!$AR$5:$AR$504,"Event",'Comms Calendar'!$AE$5:$AE$504,"&lt;&gt;Cancelled")</f>
        <v>0</v>
      </c>
      <c r="L10" s="44" t="n">
        <f aca="false">COUNTIFS('Comms Calendar'!$AI$5:$AI$504,$B10,'Comms Calendar'!$E$5:$E$504,"Customer",'Comms Calendar'!$AE$5:$AE$504,"&lt;&gt;Cancelled")+COUNTIFS('Comms Calendar'!$AI$5:$AI$504,$B10,'Comms Calendar'!$E$5:$E$504,"Customer + Prospect",'Comms Calendar'!$AE$5:$AE$504,"&lt;&gt;Cancelled")</f>
        <v>0</v>
      </c>
      <c r="M10" s="44" t="n">
        <f aca="false">COUNTIFS('Comms Calendar'!$AI$5:$AI$504,$B10,'Comms Calendar'!$AF$5:$AF$504,"In Progress")+COUNTIFS('Comms Calendar'!$AI$5:$AI$504,$B10,'Comms Calendar'!$AF$5:$AF$504,"At Risk")+COUNTIFS('Comms Calendar'!$AI$5:$AI$504,$B10,'Comms Calendar'!$AF$5:$AF$504,"Overdue")</f>
        <v>1</v>
      </c>
      <c r="N10" s="44" t="n">
        <f aca="false">COUNTIFS('Comms Calendar'!$AI$5:$AI$504,$B10,'Comms Calendar'!$AB$5:$AB$504,"Yes",'Comms Calendar'!$AE$5:$AE$504,"&lt;&gt;Cancelled")</f>
        <v>1</v>
      </c>
      <c r="O10" s="44" t="n">
        <f aca="false">COUNTIFS('Comms Calendar'!$AI$5:$AI$504,$B10,'Comms Calendar'!$AL$5:$AL$504,"Over cap",'Comms Calendar'!$AE$5:$AE$504,"&lt;&gt;Cancelled")</f>
        <v>0</v>
      </c>
      <c r="P10" s="44" t="n">
        <f aca="false">COUNTIFS('Comms Calendar'!$AI$5:$AI$504,$B10,'Comms Calendar'!$AM$5:$AM$504,"Clash",'Comms Calendar'!$AE$5:$AE$504,"&lt;&gt;Cancelled")</f>
        <v>0</v>
      </c>
      <c r="Q10" s="44" t="n">
        <f aca="false">COUNTIFS('Comms Calendar'!$AI$5:$AI$504,$B10,'Comms Calendar'!$AN$5:$AN$504,"Blackout",'Comms Calendar'!$AE$5:$AE$504,"&lt;&gt;Cancelled")</f>
        <v>0</v>
      </c>
    </row>
    <row r="11" customFormat="false" ht="15" hidden="false" customHeight="false" outlineLevel="0" collapsed="false">
      <c r="B11" s="46" t="n">
        <f aca="false">B10+7</f>
        <v>46335</v>
      </c>
      <c r="C11" s="47" t="n">
        <f aca="false">COUNTIFS('Comms Calendar'!$AI$5:$AI$504,$B11,'Comms Calendar'!$B$5:$B$504,"AMER",'Comms Calendar'!$AE$5:$AE$504,"&lt;&gt;Cancelled")</f>
        <v>0</v>
      </c>
      <c r="D11" s="47" t="n">
        <f aca="false">COUNTIFS('Comms Calendar'!$AI$5:$AI$504,$B11,'Comms Calendar'!$B$5:$B$504,"EMEA",'Comms Calendar'!$AE$5:$AE$504,"&lt;&gt;Cancelled")</f>
        <v>1</v>
      </c>
      <c r="E11" s="47" t="n">
        <f aca="false">COUNTIFS('Comms Calendar'!$AI$5:$AI$504,$B11,'Comms Calendar'!$B$5:$B$504,"APAC",'Comms Calendar'!$AE$5:$AE$504,"&lt;&gt;Cancelled")</f>
        <v>0</v>
      </c>
      <c r="F11" s="47" t="n">
        <f aca="false">COUNTIFS('Comms Calendar'!$AI$5:$AI$504,$B11,'Comms Calendar'!$B$5:$B$504,"Global",'Comms Calendar'!$AE$5:$AE$504,"&lt;&gt;Cancelled")</f>
        <v>0</v>
      </c>
      <c r="G11" s="48" t="n">
        <f aca="false">SUM(C11:F11)</f>
        <v>1</v>
      </c>
      <c r="H11" s="47" t="n">
        <f aca="false">COUNTIFS('Comms Calendar'!$AI$5:$AI$504,$B11,'Comms Calendar'!$AR$5:$AR$504,"Webinar",'Comms Calendar'!$AE$5:$AE$504,"&lt;&gt;Cancelled")</f>
        <v>0</v>
      </c>
      <c r="I11" s="47" t="n">
        <f aca="false">COUNTIFS('Comms Calendar'!$AI$5:$AI$504,$B11,'Comms Calendar'!$AR$5:$AR$504,"Email",'Comms Calendar'!$AE$5:$AE$504,"&lt;&gt;Cancelled")</f>
        <v>0</v>
      </c>
      <c r="J11" s="47" t="n">
        <f aca="false">COUNTIFS('Comms Calendar'!$AI$5:$AI$504,$B11,'Comms Calendar'!$AR$5:$AR$504,"Social",'Comms Calendar'!$AE$5:$AE$504,"&lt;&gt;Cancelled")</f>
        <v>0</v>
      </c>
      <c r="K11" s="47" t="n">
        <f aca="false">COUNTIFS('Comms Calendar'!$AI$5:$AI$504,$B11,'Comms Calendar'!$AR$5:$AR$504,"Event",'Comms Calendar'!$AE$5:$AE$504,"&lt;&gt;Cancelled")</f>
        <v>1</v>
      </c>
      <c r="L11" s="47" t="n">
        <f aca="false">COUNTIFS('Comms Calendar'!$AI$5:$AI$504,$B11,'Comms Calendar'!$E$5:$E$504,"Customer",'Comms Calendar'!$AE$5:$AE$504,"&lt;&gt;Cancelled")+COUNTIFS('Comms Calendar'!$AI$5:$AI$504,$B11,'Comms Calendar'!$E$5:$E$504,"Customer + Prospect",'Comms Calendar'!$AE$5:$AE$504,"&lt;&gt;Cancelled")</f>
        <v>1</v>
      </c>
      <c r="M11" s="47" t="n">
        <f aca="false">COUNTIFS('Comms Calendar'!$AI$5:$AI$504,$B11,'Comms Calendar'!$AF$5:$AF$504,"In Progress")+COUNTIFS('Comms Calendar'!$AI$5:$AI$504,$B11,'Comms Calendar'!$AF$5:$AF$504,"At Risk")+COUNTIFS('Comms Calendar'!$AI$5:$AI$504,$B11,'Comms Calendar'!$AF$5:$AF$504,"Overdue")</f>
        <v>0</v>
      </c>
      <c r="N11" s="47" t="n">
        <f aca="false">COUNTIFS('Comms Calendar'!$AI$5:$AI$504,$B11,'Comms Calendar'!$AB$5:$AB$504,"Yes",'Comms Calendar'!$AE$5:$AE$504,"&lt;&gt;Cancelled")</f>
        <v>0</v>
      </c>
      <c r="O11" s="47" t="n">
        <f aca="false">COUNTIFS('Comms Calendar'!$AI$5:$AI$504,$B11,'Comms Calendar'!$AL$5:$AL$504,"Over cap",'Comms Calendar'!$AE$5:$AE$504,"&lt;&gt;Cancelled")</f>
        <v>0</v>
      </c>
      <c r="P11" s="47" t="n">
        <f aca="false">COUNTIFS('Comms Calendar'!$AI$5:$AI$504,$B11,'Comms Calendar'!$AM$5:$AM$504,"Clash",'Comms Calendar'!$AE$5:$AE$504,"&lt;&gt;Cancelled")</f>
        <v>0</v>
      </c>
      <c r="Q11" s="47" t="n">
        <f aca="false">COUNTIFS('Comms Calendar'!$AI$5:$AI$504,$B11,'Comms Calendar'!$AN$5:$AN$504,"Blackout",'Comms Calendar'!$AE$5:$AE$504,"&lt;&gt;Cancelled")</f>
        <v>0</v>
      </c>
    </row>
    <row r="12" customFormat="false" ht="15" hidden="false" customHeight="false" outlineLevel="0" collapsed="false">
      <c r="B12" s="43" t="n">
        <f aca="false">B11+7</f>
        <v>46342</v>
      </c>
      <c r="C12" s="44" t="n">
        <f aca="false">COUNTIFS('Comms Calendar'!$AI$5:$AI$504,$B12,'Comms Calendar'!$B$5:$B$504,"AMER",'Comms Calendar'!$AE$5:$AE$504,"&lt;&gt;Cancelled")</f>
        <v>0</v>
      </c>
      <c r="D12" s="44" t="n">
        <f aca="false">COUNTIFS('Comms Calendar'!$AI$5:$AI$504,$B12,'Comms Calendar'!$B$5:$B$504,"EMEA",'Comms Calendar'!$AE$5:$AE$504,"&lt;&gt;Cancelled")</f>
        <v>0</v>
      </c>
      <c r="E12" s="44" t="n">
        <f aca="false">COUNTIFS('Comms Calendar'!$AI$5:$AI$504,$B12,'Comms Calendar'!$B$5:$B$504,"APAC",'Comms Calendar'!$AE$5:$AE$504,"&lt;&gt;Cancelled")</f>
        <v>0</v>
      </c>
      <c r="F12" s="44" t="n">
        <f aca="false">COUNTIFS('Comms Calendar'!$AI$5:$AI$504,$B12,'Comms Calendar'!$B$5:$B$504,"Global",'Comms Calendar'!$AE$5:$AE$504,"&lt;&gt;Cancelled")</f>
        <v>2</v>
      </c>
      <c r="G12" s="45" t="n">
        <f aca="false">SUM(C12:F12)</f>
        <v>2</v>
      </c>
      <c r="H12" s="44" t="n">
        <f aca="false">COUNTIFS('Comms Calendar'!$AI$5:$AI$504,$B12,'Comms Calendar'!$AR$5:$AR$504,"Webinar",'Comms Calendar'!$AE$5:$AE$504,"&lt;&gt;Cancelled")</f>
        <v>0</v>
      </c>
      <c r="I12" s="44" t="n">
        <f aca="false">COUNTIFS('Comms Calendar'!$AI$5:$AI$504,$B12,'Comms Calendar'!$AR$5:$AR$504,"Email",'Comms Calendar'!$AE$5:$AE$504,"&lt;&gt;Cancelled")</f>
        <v>0</v>
      </c>
      <c r="J12" s="44" t="n">
        <f aca="false">COUNTIFS('Comms Calendar'!$AI$5:$AI$504,$B12,'Comms Calendar'!$AR$5:$AR$504,"Social",'Comms Calendar'!$AE$5:$AE$504,"&lt;&gt;Cancelled")</f>
        <v>0</v>
      </c>
      <c r="K12" s="44" t="n">
        <f aca="false">COUNTIFS('Comms Calendar'!$AI$5:$AI$504,$B12,'Comms Calendar'!$AR$5:$AR$504,"Event",'Comms Calendar'!$AE$5:$AE$504,"&lt;&gt;Cancelled")</f>
        <v>0</v>
      </c>
      <c r="L12" s="44" t="n">
        <f aca="false">COUNTIFS('Comms Calendar'!$AI$5:$AI$504,$B12,'Comms Calendar'!$E$5:$E$504,"Customer",'Comms Calendar'!$AE$5:$AE$504,"&lt;&gt;Cancelled")+COUNTIFS('Comms Calendar'!$AI$5:$AI$504,$B12,'Comms Calendar'!$E$5:$E$504,"Customer + Prospect",'Comms Calendar'!$AE$5:$AE$504,"&lt;&gt;Cancelled")</f>
        <v>2</v>
      </c>
      <c r="M12" s="44" t="n">
        <f aca="false">COUNTIFS('Comms Calendar'!$AI$5:$AI$504,$B12,'Comms Calendar'!$AF$5:$AF$504,"In Progress")+COUNTIFS('Comms Calendar'!$AI$5:$AI$504,$B12,'Comms Calendar'!$AF$5:$AF$504,"At Risk")+COUNTIFS('Comms Calendar'!$AI$5:$AI$504,$B12,'Comms Calendar'!$AF$5:$AF$504,"Overdue")</f>
        <v>2</v>
      </c>
      <c r="N12" s="44" t="n">
        <f aca="false">COUNTIFS('Comms Calendar'!$AI$5:$AI$504,$B12,'Comms Calendar'!$AB$5:$AB$504,"Yes",'Comms Calendar'!$AE$5:$AE$504,"&lt;&gt;Cancelled")</f>
        <v>0</v>
      </c>
      <c r="O12" s="44" t="n">
        <f aca="false">COUNTIFS('Comms Calendar'!$AI$5:$AI$504,$B12,'Comms Calendar'!$AL$5:$AL$504,"Over cap",'Comms Calendar'!$AE$5:$AE$504,"&lt;&gt;Cancelled")</f>
        <v>0</v>
      </c>
      <c r="P12" s="44" t="n">
        <f aca="false">COUNTIFS('Comms Calendar'!$AI$5:$AI$504,$B12,'Comms Calendar'!$AM$5:$AM$504,"Clash",'Comms Calendar'!$AE$5:$AE$504,"&lt;&gt;Cancelled")</f>
        <v>0</v>
      </c>
      <c r="Q12" s="44" t="n">
        <f aca="false">COUNTIFS('Comms Calendar'!$AI$5:$AI$504,$B12,'Comms Calendar'!$AN$5:$AN$504,"Blackout",'Comms Calendar'!$AE$5:$AE$504,"&lt;&gt;Cancelled")</f>
        <v>0</v>
      </c>
    </row>
    <row r="13" customFormat="false" ht="15" hidden="false" customHeight="false" outlineLevel="0" collapsed="false">
      <c r="B13" s="46" t="n">
        <f aca="false">B12+7</f>
        <v>46349</v>
      </c>
      <c r="C13" s="47" t="n">
        <f aca="false">COUNTIFS('Comms Calendar'!$AI$5:$AI$504,$B13,'Comms Calendar'!$B$5:$B$504,"AMER",'Comms Calendar'!$AE$5:$AE$504,"&lt;&gt;Cancelled")</f>
        <v>1</v>
      </c>
      <c r="D13" s="47" t="n">
        <f aca="false">COUNTIFS('Comms Calendar'!$AI$5:$AI$504,$B13,'Comms Calendar'!$B$5:$B$504,"EMEA",'Comms Calendar'!$AE$5:$AE$504,"&lt;&gt;Cancelled")</f>
        <v>0</v>
      </c>
      <c r="E13" s="47" t="n">
        <f aca="false">COUNTIFS('Comms Calendar'!$AI$5:$AI$504,$B13,'Comms Calendar'!$B$5:$B$504,"APAC",'Comms Calendar'!$AE$5:$AE$504,"&lt;&gt;Cancelled")</f>
        <v>0</v>
      </c>
      <c r="F13" s="47" t="n">
        <f aca="false">COUNTIFS('Comms Calendar'!$AI$5:$AI$504,$B13,'Comms Calendar'!$B$5:$B$504,"Global",'Comms Calendar'!$AE$5:$AE$504,"&lt;&gt;Cancelled")</f>
        <v>0</v>
      </c>
      <c r="G13" s="48" t="n">
        <f aca="false">SUM(C13:F13)</f>
        <v>1</v>
      </c>
      <c r="H13" s="47" t="n">
        <f aca="false">COUNTIFS('Comms Calendar'!$AI$5:$AI$504,$B13,'Comms Calendar'!$AR$5:$AR$504,"Webinar",'Comms Calendar'!$AE$5:$AE$504,"&lt;&gt;Cancelled")</f>
        <v>0</v>
      </c>
      <c r="I13" s="47" t="n">
        <f aca="false">COUNTIFS('Comms Calendar'!$AI$5:$AI$504,$B13,'Comms Calendar'!$AR$5:$AR$504,"Email",'Comms Calendar'!$AE$5:$AE$504,"&lt;&gt;Cancelled")</f>
        <v>1</v>
      </c>
      <c r="J13" s="47" t="n">
        <f aca="false">COUNTIFS('Comms Calendar'!$AI$5:$AI$504,$B13,'Comms Calendar'!$AR$5:$AR$504,"Social",'Comms Calendar'!$AE$5:$AE$504,"&lt;&gt;Cancelled")</f>
        <v>0</v>
      </c>
      <c r="K13" s="47" t="n">
        <f aca="false">COUNTIFS('Comms Calendar'!$AI$5:$AI$504,$B13,'Comms Calendar'!$AR$5:$AR$504,"Event",'Comms Calendar'!$AE$5:$AE$504,"&lt;&gt;Cancelled")</f>
        <v>0</v>
      </c>
      <c r="L13" s="47" t="n">
        <f aca="false">COUNTIFS('Comms Calendar'!$AI$5:$AI$504,$B13,'Comms Calendar'!$E$5:$E$504,"Customer",'Comms Calendar'!$AE$5:$AE$504,"&lt;&gt;Cancelled")+COUNTIFS('Comms Calendar'!$AI$5:$AI$504,$B13,'Comms Calendar'!$E$5:$E$504,"Customer + Prospect",'Comms Calendar'!$AE$5:$AE$504,"&lt;&gt;Cancelled")</f>
        <v>0</v>
      </c>
      <c r="M13" s="47" t="n">
        <f aca="false">COUNTIFS('Comms Calendar'!$AI$5:$AI$504,$B13,'Comms Calendar'!$AF$5:$AF$504,"In Progress")+COUNTIFS('Comms Calendar'!$AI$5:$AI$504,$B13,'Comms Calendar'!$AF$5:$AF$504,"At Risk")+COUNTIFS('Comms Calendar'!$AI$5:$AI$504,$B13,'Comms Calendar'!$AF$5:$AF$504,"Overdue")</f>
        <v>1</v>
      </c>
      <c r="N13" s="47" t="n">
        <f aca="false">COUNTIFS('Comms Calendar'!$AI$5:$AI$504,$B13,'Comms Calendar'!$AB$5:$AB$504,"Yes",'Comms Calendar'!$AE$5:$AE$504,"&lt;&gt;Cancelled")</f>
        <v>1</v>
      </c>
      <c r="O13" s="47" t="n">
        <f aca="false">COUNTIFS('Comms Calendar'!$AI$5:$AI$504,$B13,'Comms Calendar'!$AL$5:$AL$504,"Over cap",'Comms Calendar'!$AE$5:$AE$504,"&lt;&gt;Cancelled")</f>
        <v>0</v>
      </c>
      <c r="P13" s="47" t="n">
        <f aca="false">COUNTIFS('Comms Calendar'!$AI$5:$AI$504,$B13,'Comms Calendar'!$AM$5:$AM$504,"Clash",'Comms Calendar'!$AE$5:$AE$504,"&lt;&gt;Cancelled")</f>
        <v>0</v>
      </c>
      <c r="Q13" s="47" t="n">
        <f aca="false">COUNTIFS('Comms Calendar'!$AI$5:$AI$504,$B13,'Comms Calendar'!$AN$5:$AN$504,"Blackout",'Comms Calendar'!$AE$5:$AE$504,"&lt;&gt;Cancelled")</f>
        <v>1</v>
      </c>
    </row>
    <row r="14" customFormat="false" ht="15" hidden="false" customHeight="false" outlineLevel="0" collapsed="false">
      <c r="B14" s="43" t="n">
        <f aca="false">B13+7</f>
        <v>46356</v>
      </c>
      <c r="C14" s="44" t="n">
        <f aca="false">COUNTIFS('Comms Calendar'!$AI$5:$AI$504,$B14,'Comms Calendar'!$B$5:$B$504,"AMER",'Comms Calendar'!$AE$5:$AE$504,"&lt;&gt;Cancelled")</f>
        <v>0</v>
      </c>
      <c r="D14" s="44" t="n">
        <f aca="false">COUNTIFS('Comms Calendar'!$AI$5:$AI$504,$B14,'Comms Calendar'!$B$5:$B$504,"EMEA",'Comms Calendar'!$AE$5:$AE$504,"&lt;&gt;Cancelled")</f>
        <v>0</v>
      </c>
      <c r="E14" s="44" t="n">
        <f aca="false">COUNTIFS('Comms Calendar'!$AI$5:$AI$504,$B14,'Comms Calendar'!$B$5:$B$504,"APAC",'Comms Calendar'!$AE$5:$AE$504,"&lt;&gt;Cancelled")</f>
        <v>0</v>
      </c>
      <c r="F14" s="44" t="n">
        <f aca="false">COUNTIFS('Comms Calendar'!$AI$5:$AI$504,$B14,'Comms Calendar'!$B$5:$B$504,"Global",'Comms Calendar'!$AE$5:$AE$504,"&lt;&gt;Cancelled")</f>
        <v>0</v>
      </c>
      <c r="G14" s="45" t="n">
        <f aca="false">SUM(C14:F14)</f>
        <v>0</v>
      </c>
      <c r="H14" s="44" t="n">
        <f aca="false">COUNTIFS('Comms Calendar'!$AI$5:$AI$504,$B14,'Comms Calendar'!$AR$5:$AR$504,"Webinar",'Comms Calendar'!$AE$5:$AE$504,"&lt;&gt;Cancelled")</f>
        <v>0</v>
      </c>
      <c r="I14" s="44" t="n">
        <f aca="false">COUNTIFS('Comms Calendar'!$AI$5:$AI$504,$B14,'Comms Calendar'!$AR$5:$AR$504,"Email",'Comms Calendar'!$AE$5:$AE$504,"&lt;&gt;Cancelled")</f>
        <v>0</v>
      </c>
      <c r="J14" s="44" t="n">
        <f aca="false">COUNTIFS('Comms Calendar'!$AI$5:$AI$504,$B14,'Comms Calendar'!$AR$5:$AR$504,"Social",'Comms Calendar'!$AE$5:$AE$504,"&lt;&gt;Cancelled")</f>
        <v>0</v>
      </c>
      <c r="K14" s="44" t="n">
        <f aca="false">COUNTIFS('Comms Calendar'!$AI$5:$AI$504,$B14,'Comms Calendar'!$AR$5:$AR$504,"Event",'Comms Calendar'!$AE$5:$AE$504,"&lt;&gt;Cancelled")</f>
        <v>0</v>
      </c>
      <c r="L14" s="44" t="n">
        <f aca="false">COUNTIFS('Comms Calendar'!$AI$5:$AI$504,$B14,'Comms Calendar'!$E$5:$E$504,"Customer",'Comms Calendar'!$AE$5:$AE$504,"&lt;&gt;Cancelled")+COUNTIFS('Comms Calendar'!$AI$5:$AI$504,$B14,'Comms Calendar'!$E$5:$E$504,"Customer + Prospect",'Comms Calendar'!$AE$5:$AE$504,"&lt;&gt;Cancelled")</f>
        <v>0</v>
      </c>
      <c r="M14" s="44" t="n">
        <f aca="false">COUNTIFS('Comms Calendar'!$AI$5:$AI$504,$B14,'Comms Calendar'!$AF$5:$AF$504,"In Progress")+COUNTIFS('Comms Calendar'!$AI$5:$AI$504,$B14,'Comms Calendar'!$AF$5:$AF$504,"At Risk")+COUNTIFS('Comms Calendar'!$AI$5:$AI$504,$B14,'Comms Calendar'!$AF$5:$AF$504,"Overdue")</f>
        <v>0</v>
      </c>
      <c r="N14" s="44" t="n">
        <f aca="false">COUNTIFS('Comms Calendar'!$AI$5:$AI$504,$B14,'Comms Calendar'!$AB$5:$AB$504,"Yes",'Comms Calendar'!$AE$5:$AE$504,"&lt;&gt;Cancelled")</f>
        <v>0</v>
      </c>
      <c r="O14" s="44" t="n">
        <f aca="false">COUNTIFS('Comms Calendar'!$AI$5:$AI$504,$B14,'Comms Calendar'!$AL$5:$AL$504,"Over cap",'Comms Calendar'!$AE$5:$AE$504,"&lt;&gt;Cancelled")</f>
        <v>0</v>
      </c>
      <c r="P14" s="44" t="n">
        <f aca="false">COUNTIFS('Comms Calendar'!$AI$5:$AI$504,$B14,'Comms Calendar'!$AM$5:$AM$504,"Clash",'Comms Calendar'!$AE$5:$AE$504,"&lt;&gt;Cancelled")</f>
        <v>0</v>
      </c>
      <c r="Q14" s="44" t="n">
        <f aca="false">COUNTIFS('Comms Calendar'!$AI$5:$AI$504,$B14,'Comms Calendar'!$AN$5:$AN$504,"Blackout",'Comms Calendar'!$AE$5:$AE$504,"&lt;&gt;Cancelled")</f>
        <v>0</v>
      </c>
    </row>
    <row r="15" customFormat="false" ht="15" hidden="false" customHeight="false" outlineLevel="0" collapsed="false">
      <c r="B15" s="46" t="n">
        <f aca="false">B14+7</f>
        <v>46363</v>
      </c>
      <c r="C15" s="47" t="n">
        <f aca="false">COUNTIFS('Comms Calendar'!$AI$5:$AI$504,$B15,'Comms Calendar'!$B$5:$B$504,"AMER",'Comms Calendar'!$AE$5:$AE$504,"&lt;&gt;Cancelled")</f>
        <v>0</v>
      </c>
      <c r="D15" s="47" t="n">
        <f aca="false">COUNTIFS('Comms Calendar'!$AI$5:$AI$504,$B15,'Comms Calendar'!$B$5:$B$504,"EMEA",'Comms Calendar'!$AE$5:$AE$504,"&lt;&gt;Cancelled")</f>
        <v>0</v>
      </c>
      <c r="E15" s="47" t="n">
        <f aca="false">COUNTIFS('Comms Calendar'!$AI$5:$AI$504,$B15,'Comms Calendar'!$B$5:$B$504,"APAC",'Comms Calendar'!$AE$5:$AE$504,"&lt;&gt;Cancelled")</f>
        <v>0</v>
      </c>
      <c r="F15" s="47" t="n">
        <f aca="false">COUNTIFS('Comms Calendar'!$AI$5:$AI$504,$B15,'Comms Calendar'!$B$5:$B$504,"Global",'Comms Calendar'!$AE$5:$AE$504,"&lt;&gt;Cancelled")</f>
        <v>0</v>
      </c>
      <c r="G15" s="48" t="n">
        <f aca="false">SUM(C15:F15)</f>
        <v>0</v>
      </c>
      <c r="H15" s="47" t="n">
        <f aca="false">COUNTIFS('Comms Calendar'!$AI$5:$AI$504,$B15,'Comms Calendar'!$AR$5:$AR$504,"Webinar",'Comms Calendar'!$AE$5:$AE$504,"&lt;&gt;Cancelled")</f>
        <v>0</v>
      </c>
      <c r="I15" s="47" t="n">
        <f aca="false">COUNTIFS('Comms Calendar'!$AI$5:$AI$504,$B15,'Comms Calendar'!$AR$5:$AR$504,"Email",'Comms Calendar'!$AE$5:$AE$504,"&lt;&gt;Cancelled")</f>
        <v>0</v>
      </c>
      <c r="J15" s="47" t="n">
        <f aca="false">COUNTIFS('Comms Calendar'!$AI$5:$AI$504,$B15,'Comms Calendar'!$AR$5:$AR$504,"Social",'Comms Calendar'!$AE$5:$AE$504,"&lt;&gt;Cancelled")</f>
        <v>0</v>
      </c>
      <c r="K15" s="47" t="n">
        <f aca="false">COUNTIFS('Comms Calendar'!$AI$5:$AI$504,$B15,'Comms Calendar'!$AR$5:$AR$504,"Event",'Comms Calendar'!$AE$5:$AE$504,"&lt;&gt;Cancelled")</f>
        <v>0</v>
      </c>
      <c r="L15" s="47" t="n">
        <f aca="false">COUNTIFS('Comms Calendar'!$AI$5:$AI$504,$B15,'Comms Calendar'!$E$5:$E$504,"Customer",'Comms Calendar'!$AE$5:$AE$504,"&lt;&gt;Cancelled")+COUNTIFS('Comms Calendar'!$AI$5:$AI$504,$B15,'Comms Calendar'!$E$5:$E$504,"Customer + Prospect",'Comms Calendar'!$AE$5:$AE$504,"&lt;&gt;Cancelled")</f>
        <v>0</v>
      </c>
      <c r="M15" s="47" t="n">
        <f aca="false">COUNTIFS('Comms Calendar'!$AI$5:$AI$504,$B15,'Comms Calendar'!$AF$5:$AF$504,"In Progress")+COUNTIFS('Comms Calendar'!$AI$5:$AI$504,$B15,'Comms Calendar'!$AF$5:$AF$504,"At Risk")+COUNTIFS('Comms Calendar'!$AI$5:$AI$504,$B15,'Comms Calendar'!$AF$5:$AF$504,"Overdue")</f>
        <v>0</v>
      </c>
      <c r="N15" s="47" t="n">
        <f aca="false">COUNTIFS('Comms Calendar'!$AI$5:$AI$504,$B15,'Comms Calendar'!$AB$5:$AB$504,"Yes",'Comms Calendar'!$AE$5:$AE$504,"&lt;&gt;Cancelled")</f>
        <v>0</v>
      </c>
      <c r="O15" s="47" t="n">
        <f aca="false">COUNTIFS('Comms Calendar'!$AI$5:$AI$504,$B15,'Comms Calendar'!$AL$5:$AL$504,"Over cap",'Comms Calendar'!$AE$5:$AE$504,"&lt;&gt;Cancelled")</f>
        <v>0</v>
      </c>
      <c r="P15" s="47" t="n">
        <f aca="false">COUNTIFS('Comms Calendar'!$AI$5:$AI$504,$B15,'Comms Calendar'!$AM$5:$AM$504,"Clash",'Comms Calendar'!$AE$5:$AE$504,"&lt;&gt;Cancelled")</f>
        <v>0</v>
      </c>
      <c r="Q15" s="47" t="n">
        <f aca="false">COUNTIFS('Comms Calendar'!$AI$5:$AI$504,$B15,'Comms Calendar'!$AN$5:$AN$504,"Blackout",'Comms Calendar'!$AE$5:$AE$504,"&lt;&gt;Cancelled")</f>
        <v>0</v>
      </c>
    </row>
    <row r="16" customFormat="false" ht="15" hidden="false" customHeight="false" outlineLevel="0" collapsed="false">
      <c r="B16" s="43" t="n">
        <f aca="false">B15+7</f>
        <v>46370</v>
      </c>
      <c r="C16" s="44" t="n">
        <f aca="false">COUNTIFS('Comms Calendar'!$AI$5:$AI$504,$B16,'Comms Calendar'!$B$5:$B$504,"AMER",'Comms Calendar'!$AE$5:$AE$504,"&lt;&gt;Cancelled")</f>
        <v>0</v>
      </c>
      <c r="D16" s="44" t="n">
        <f aca="false">COUNTIFS('Comms Calendar'!$AI$5:$AI$504,$B16,'Comms Calendar'!$B$5:$B$504,"EMEA",'Comms Calendar'!$AE$5:$AE$504,"&lt;&gt;Cancelled")</f>
        <v>0</v>
      </c>
      <c r="E16" s="44" t="n">
        <f aca="false">COUNTIFS('Comms Calendar'!$AI$5:$AI$504,$B16,'Comms Calendar'!$B$5:$B$504,"APAC",'Comms Calendar'!$AE$5:$AE$504,"&lt;&gt;Cancelled")</f>
        <v>0</v>
      </c>
      <c r="F16" s="44" t="n">
        <f aca="false">COUNTIFS('Comms Calendar'!$AI$5:$AI$504,$B16,'Comms Calendar'!$B$5:$B$504,"Global",'Comms Calendar'!$AE$5:$AE$504,"&lt;&gt;Cancelled")</f>
        <v>1</v>
      </c>
      <c r="G16" s="45" t="n">
        <f aca="false">SUM(C16:F16)</f>
        <v>1</v>
      </c>
      <c r="H16" s="44" t="n">
        <f aca="false">COUNTIFS('Comms Calendar'!$AI$5:$AI$504,$B16,'Comms Calendar'!$AR$5:$AR$504,"Webinar",'Comms Calendar'!$AE$5:$AE$504,"&lt;&gt;Cancelled")</f>
        <v>0</v>
      </c>
      <c r="I16" s="44" t="n">
        <f aca="false">COUNTIFS('Comms Calendar'!$AI$5:$AI$504,$B16,'Comms Calendar'!$AR$5:$AR$504,"Email",'Comms Calendar'!$AE$5:$AE$504,"&lt;&gt;Cancelled")</f>
        <v>1</v>
      </c>
      <c r="J16" s="44" t="n">
        <f aca="false">COUNTIFS('Comms Calendar'!$AI$5:$AI$504,$B16,'Comms Calendar'!$AR$5:$AR$504,"Social",'Comms Calendar'!$AE$5:$AE$504,"&lt;&gt;Cancelled")</f>
        <v>0</v>
      </c>
      <c r="K16" s="44" t="n">
        <f aca="false">COUNTIFS('Comms Calendar'!$AI$5:$AI$504,$B16,'Comms Calendar'!$AR$5:$AR$504,"Event",'Comms Calendar'!$AE$5:$AE$504,"&lt;&gt;Cancelled")</f>
        <v>0</v>
      </c>
      <c r="L16" s="44" t="n">
        <f aca="false">COUNTIFS('Comms Calendar'!$AI$5:$AI$504,$B16,'Comms Calendar'!$E$5:$E$504,"Customer",'Comms Calendar'!$AE$5:$AE$504,"&lt;&gt;Cancelled")+COUNTIFS('Comms Calendar'!$AI$5:$AI$504,$B16,'Comms Calendar'!$E$5:$E$504,"Customer + Prospect",'Comms Calendar'!$AE$5:$AE$504,"&lt;&gt;Cancelled")</f>
        <v>1</v>
      </c>
      <c r="M16" s="44" t="n">
        <f aca="false">COUNTIFS('Comms Calendar'!$AI$5:$AI$504,$B16,'Comms Calendar'!$AF$5:$AF$504,"In Progress")+COUNTIFS('Comms Calendar'!$AI$5:$AI$504,$B16,'Comms Calendar'!$AF$5:$AF$504,"At Risk")+COUNTIFS('Comms Calendar'!$AI$5:$AI$504,$B16,'Comms Calendar'!$AF$5:$AF$504,"Overdue")</f>
        <v>1</v>
      </c>
      <c r="N16" s="44" t="n">
        <f aca="false">COUNTIFS('Comms Calendar'!$AI$5:$AI$504,$B16,'Comms Calendar'!$AB$5:$AB$504,"Yes",'Comms Calendar'!$AE$5:$AE$504,"&lt;&gt;Cancelled")</f>
        <v>1</v>
      </c>
      <c r="O16" s="44" t="n">
        <f aca="false">COUNTIFS('Comms Calendar'!$AI$5:$AI$504,$B16,'Comms Calendar'!$AL$5:$AL$504,"Over cap",'Comms Calendar'!$AE$5:$AE$504,"&lt;&gt;Cancelled")</f>
        <v>0</v>
      </c>
      <c r="P16" s="44" t="n">
        <f aca="false">COUNTIFS('Comms Calendar'!$AI$5:$AI$504,$B16,'Comms Calendar'!$AM$5:$AM$504,"Clash",'Comms Calendar'!$AE$5:$AE$504,"&lt;&gt;Cancelled")</f>
        <v>0</v>
      </c>
      <c r="Q16" s="44" t="n">
        <f aca="false">COUNTIFS('Comms Calendar'!$AI$5:$AI$504,$B16,'Comms Calendar'!$AN$5:$AN$504,"Blackout",'Comms Calendar'!$AE$5:$AE$504,"&lt;&gt;Cancelled")</f>
        <v>0</v>
      </c>
    </row>
    <row r="17" customFormat="false" ht="15" hidden="false" customHeight="false" outlineLevel="0" collapsed="false">
      <c r="B17" s="46" t="n">
        <f aca="false">B16+7</f>
        <v>46377</v>
      </c>
      <c r="C17" s="47" t="n">
        <f aca="false">COUNTIFS('Comms Calendar'!$AI$5:$AI$504,$B17,'Comms Calendar'!$B$5:$B$504,"AMER",'Comms Calendar'!$AE$5:$AE$504,"&lt;&gt;Cancelled")</f>
        <v>0</v>
      </c>
      <c r="D17" s="47" t="n">
        <f aca="false">COUNTIFS('Comms Calendar'!$AI$5:$AI$504,$B17,'Comms Calendar'!$B$5:$B$504,"EMEA",'Comms Calendar'!$AE$5:$AE$504,"&lt;&gt;Cancelled")</f>
        <v>0</v>
      </c>
      <c r="E17" s="47" t="n">
        <f aca="false">COUNTIFS('Comms Calendar'!$AI$5:$AI$504,$B17,'Comms Calendar'!$B$5:$B$504,"APAC",'Comms Calendar'!$AE$5:$AE$504,"&lt;&gt;Cancelled")</f>
        <v>0</v>
      </c>
      <c r="F17" s="47" t="n">
        <f aca="false">COUNTIFS('Comms Calendar'!$AI$5:$AI$504,$B17,'Comms Calendar'!$B$5:$B$504,"Global",'Comms Calendar'!$AE$5:$AE$504,"&lt;&gt;Cancelled")</f>
        <v>0</v>
      </c>
      <c r="G17" s="48" t="n">
        <f aca="false">SUM(C17:F17)</f>
        <v>0</v>
      </c>
      <c r="H17" s="47" t="n">
        <f aca="false">COUNTIFS('Comms Calendar'!$AI$5:$AI$504,$B17,'Comms Calendar'!$AR$5:$AR$504,"Webinar",'Comms Calendar'!$AE$5:$AE$504,"&lt;&gt;Cancelled")</f>
        <v>0</v>
      </c>
      <c r="I17" s="47" t="n">
        <f aca="false">COUNTIFS('Comms Calendar'!$AI$5:$AI$504,$B17,'Comms Calendar'!$AR$5:$AR$504,"Email",'Comms Calendar'!$AE$5:$AE$504,"&lt;&gt;Cancelled")</f>
        <v>0</v>
      </c>
      <c r="J17" s="47" t="n">
        <f aca="false">COUNTIFS('Comms Calendar'!$AI$5:$AI$504,$B17,'Comms Calendar'!$AR$5:$AR$504,"Social",'Comms Calendar'!$AE$5:$AE$504,"&lt;&gt;Cancelled")</f>
        <v>0</v>
      </c>
      <c r="K17" s="47" t="n">
        <f aca="false">COUNTIFS('Comms Calendar'!$AI$5:$AI$504,$B17,'Comms Calendar'!$AR$5:$AR$504,"Event",'Comms Calendar'!$AE$5:$AE$504,"&lt;&gt;Cancelled")</f>
        <v>0</v>
      </c>
      <c r="L17" s="47" t="n">
        <f aca="false">COUNTIFS('Comms Calendar'!$AI$5:$AI$504,$B17,'Comms Calendar'!$E$5:$E$504,"Customer",'Comms Calendar'!$AE$5:$AE$504,"&lt;&gt;Cancelled")+COUNTIFS('Comms Calendar'!$AI$5:$AI$504,$B17,'Comms Calendar'!$E$5:$E$504,"Customer + Prospect",'Comms Calendar'!$AE$5:$AE$504,"&lt;&gt;Cancelled")</f>
        <v>0</v>
      </c>
      <c r="M17" s="47" t="n">
        <f aca="false">COUNTIFS('Comms Calendar'!$AI$5:$AI$504,$B17,'Comms Calendar'!$AF$5:$AF$504,"In Progress")+COUNTIFS('Comms Calendar'!$AI$5:$AI$504,$B17,'Comms Calendar'!$AF$5:$AF$504,"At Risk")+COUNTIFS('Comms Calendar'!$AI$5:$AI$504,$B17,'Comms Calendar'!$AF$5:$AF$504,"Overdue")</f>
        <v>0</v>
      </c>
      <c r="N17" s="47" t="n">
        <f aca="false">COUNTIFS('Comms Calendar'!$AI$5:$AI$504,$B17,'Comms Calendar'!$AB$5:$AB$504,"Yes",'Comms Calendar'!$AE$5:$AE$504,"&lt;&gt;Cancelled")</f>
        <v>0</v>
      </c>
      <c r="O17" s="47" t="n">
        <f aca="false">COUNTIFS('Comms Calendar'!$AI$5:$AI$504,$B17,'Comms Calendar'!$AL$5:$AL$504,"Over cap",'Comms Calendar'!$AE$5:$AE$504,"&lt;&gt;Cancelled")</f>
        <v>0</v>
      </c>
      <c r="P17" s="47" t="n">
        <f aca="false">COUNTIFS('Comms Calendar'!$AI$5:$AI$504,$B17,'Comms Calendar'!$AM$5:$AM$504,"Clash",'Comms Calendar'!$AE$5:$AE$504,"&lt;&gt;Cancelled")</f>
        <v>0</v>
      </c>
      <c r="Q17" s="47" t="n">
        <f aca="false">COUNTIFS('Comms Calendar'!$AI$5:$AI$504,$B17,'Comms Calendar'!$AN$5:$AN$504,"Blackout",'Comms Calendar'!$AE$5:$AE$504,"&lt;&gt;Cancelled")</f>
        <v>0</v>
      </c>
    </row>
    <row r="18" customFormat="false" ht="15" hidden="false" customHeight="false" outlineLevel="0" collapsed="false">
      <c r="B18" s="43" t="n">
        <f aca="false">B17+7</f>
        <v>46384</v>
      </c>
      <c r="C18" s="44" t="n">
        <f aca="false">COUNTIFS('Comms Calendar'!$AI$5:$AI$504,$B18,'Comms Calendar'!$B$5:$B$504,"AMER",'Comms Calendar'!$AE$5:$AE$504,"&lt;&gt;Cancelled")</f>
        <v>0</v>
      </c>
      <c r="D18" s="44" t="n">
        <f aca="false">COUNTIFS('Comms Calendar'!$AI$5:$AI$504,$B18,'Comms Calendar'!$B$5:$B$504,"EMEA",'Comms Calendar'!$AE$5:$AE$504,"&lt;&gt;Cancelled")</f>
        <v>0</v>
      </c>
      <c r="E18" s="44" t="n">
        <f aca="false">COUNTIFS('Comms Calendar'!$AI$5:$AI$504,$B18,'Comms Calendar'!$B$5:$B$504,"APAC",'Comms Calendar'!$AE$5:$AE$504,"&lt;&gt;Cancelled")</f>
        <v>0</v>
      </c>
      <c r="F18" s="44" t="n">
        <f aca="false">COUNTIFS('Comms Calendar'!$AI$5:$AI$504,$B18,'Comms Calendar'!$B$5:$B$504,"Global",'Comms Calendar'!$AE$5:$AE$504,"&lt;&gt;Cancelled")</f>
        <v>0</v>
      </c>
      <c r="G18" s="45" t="n">
        <f aca="false">SUM(C18:F18)</f>
        <v>0</v>
      </c>
      <c r="H18" s="44" t="n">
        <f aca="false">COUNTIFS('Comms Calendar'!$AI$5:$AI$504,$B18,'Comms Calendar'!$AR$5:$AR$504,"Webinar",'Comms Calendar'!$AE$5:$AE$504,"&lt;&gt;Cancelled")</f>
        <v>0</v>
      </c>
      <c r="I18" s="44" t="n">
        <f aca="false">COUNTIFS('Comms Calendar'!$AI$5:$AI$504,$B18,'Comms Calendar'!$AR$5:$AR$504,"Email",'Comms Calendar'!$AE$5:$AE$504,"&lt;&gt;Cancelled")</f>
        <v>0</v>
      </c>
      <c r="J18" s="44" t="n">
        <f aca="false">COUNTIFS('Comms Calendar'!$AI$5:$AI$504,$B18,'Comms Calendar'!$AR$5:$AR$504,"Social",'Comms Calendar'!$AE$5:$AE$504,"&lt;&gt;Cancelled")</f>
        <v>0</v>
      </c>
      <c r="K18" s="44" t="n">
        <f aca="false">COUNTIFS('Comms Calendar'!$AI$5:$AI$504,$B18,'Comms Calendar'!$AR$5:$AR$504,"Event",'Comms Calendar'!$AE$5:$AE$504,"&lt;&gt;Cancelled")</f>
        <v>0</v>
      </c>
      <c r="L18" s="44" t="n">
        <f aca="false">COUNTIFS('Comms Calendar'!$AI$5:$AI$504,$B18,'Comms Calendar'!$E$5:$E$504,"Customer",'Comms Calendar'!$AE$5:$AE$504,"&lt;&gt;Cancelled")+COUNTIFS('Comms Calendar'!$AI$5:$AI$504,$B18,'Comms Calendar'!$E$5:$E$504,"Customer + Prospect",'Comms Calendar'!$AE$5:$AE$504,"&lt;&gt;Cancelled")</f>
        <v>0</v>
      </c>
      <c r="M18" s="44" t="n">
        <f aca="false">COUNTIFS('Comms Calendar'!$AI$5:$AI$504,$B18,'Comms Calendar'!$AF$5:$AF$504,"In Progress")+COUNTIFS('Comms Calendar'!$AI$5:$AI$504,$B18,'Comms Calendar'!$AF$5:$AF$504,"At Risk")+COUNTIFS('Comms Calendar'!$AI$5:$AI$504,$B18,'Comms Calendar'!$AF$5:$AF$504,"Overdue")</f>
        <v>0</v>
      </c>
      <c r="N18" s="44" t="n">
        <f aca="false">COUNTIFS('Comms Calendar'!$AI$5:$AI$504,$B18,'Comms Calendar'!$AB$5:$AB$504,"Yes",'Comms Calendar'!$AE$5:$AE$504,"&lt;&gt;Cancelled")</f>
        <v>0</v>
      </c>
      <c r="O18" s="44" t="n">
        <f aca="false">COUNTIFS('Comms Calendar'!$AI$5:$AI$504,$B18,'Comms Calendar'!$AL$5:$AL$504,"Over cap",'Comms Calendar'!$AE$5:$AE$504,"&lt;&gt;Cancelled")</f>
        <v>0</v>
      </c>
      <c r="P18" s="44" t="n">
        <f aca="false">COUNTIFS('Comms Calendar'!$AI$5:$AI$504,$B18,'Comms Calendar'!$AM$5:$AM$504,"Clash",'Comms Calendar'!$AE$5:$AE$504,"&lt;&gt;Cancelled")</f>
        <v>0</v>
      </c>
      <c r="Q18" s="44" t="n">
        <f aca="false">COUNTIFS('Comms Calendar'!$AI$5:$AI$504,$B18,'Comms Calendar'!$AN$5:$AN$504,"Blackout",'Comms Calendar'!$AE$5:$AE$504,"&lt;&gt;Cancelled")</f>
        <v>0</v>
      </c>
    </row>
    <row r="19" customFormat="false" ht="15" hidden="false" customHeight="false" outlineLevel="0" collapsed="false">
      <c r="B19" s="46" t="n">
        <f aca="false">B18+7</f>
        <v>46391</v>
      </c>
      <c r="C19" s="47" t="n">
        <f aca="false">COUNTIFS('Comms Calendar'!$AI$5:$AI$504,$B19,'Comms Calendar'!$B$5:$B$504,"AMER",'Comms Calendar'!$AE$5:$AE$504,"&lt;&gt;Cancelled")</f>
        <v>0</v>
      </c>
      <c r="D19" s="47" t="n">
        <f aca="false">COUNTIFS('Comms Calendar'!$AI$5:$AI$504,$B19,'Comms Calendar'!$B$5:$B$504,"EMEA",'Comms Calendar'!$AE$5:$AE$504,"&lt;&gt;Cancelled")</f>
        <v>0</v>
      </c>
      <c r="E19" s="47" t="n">
        <f aca="false">COUNTIFS('Comms Calendar'!$AI$5:$AI$504,$B19,'Comms Calendar'!$B$5:$B$504,"APAC",'Comms Calendar'!$AE$5:$AE$504,"&lt;&gt;Cancelled")</f>
        <v>0</v>
      </c>
      <c r="F19" s="47" t="n">
        <f aca="false">COUNTIFS('Comms Calendar'!$AI$5:$AI$504,$B19,'Comms Calendar'!$B$5:$B$504,"Global",'Comms Calendar'!$AE$5:$AE$504,"&lt;&gt;Cancelled")</f>
        <v>0</v>
      </c>
      <c r="G19" s="48" t="n">
        <f aca="false">SUM(C19:F19)</f>
        <v>0</v>
      </c>
      <c r="H19" s="47" t="n">
        <f aca="false">COUNTIFS('Comms Calendar'!$AI$5:$AI$504,$B19,'Comms Calendar'!$AR$5:$AR$504,"Webinar",'Comms Calendar'!$AE$5:$AE$504,"&lt;&gt;Cancelled")</f>
        <v>0</v>
      </c>
      <c r="I19" s="47" t="n">
        <f aca="false">COUNTIFS('Comms Calendar'!$AI$5:$AI$504,$B19,'Comms Calendar'!$AR$5:$AR$504,"Email",'Comms Calendar'!$AE$5:$AE$504,"&lt;&gt;Cancelled")</f>
        <v>0</v>
      </c>
      <c r="J19" s="47" t="n">
        <f aca="false">COUNTIFS('Comms Calendar'!$AI$5:$AI$504,$B19,'Comms Calendar'!$AR$5:$AR$504,"Social",'Comms Calendar'!$AE$5:$AE$504,"&lt;&gt;Cancelled")</f>
        <v>0</v>
      </c>
      <c r="K19" s="47" t="n">
        <f aca="false">COUNTIFS('Comms Calendar'!$AI$5:$AI$504,$B19,'Comms Calendar'!$AR$5:$AR$504,"Event",'Comms Calendar'!$AE$5:$AE$504,"&lt;&gt;Cancelled")</f>
        <v>0</v>
      </c>
      <c r="L19" s="47" t="n">
        <f aca="false">COUNTIFS('Comms Calendar'!$AI$5:$AI$504,$B19,'Comms Calendar'!$E$5:$E$504,"Customer",'Comms Calendar'!$AE$5:$AE$504,"&lt;&gt;Cancelled")+COUNTIFS('Comms Calendar'!$AI$5:$AI$504,$B19,'Comms Calendar'!$E$5:$E$504,"Customer + Prospect",'Comms Calendar'!$AE$5:$AE$504,"&lt;&gt;Cancelled")</f>
        <v>0</v>
      </c>
      <c r="M19" s="47" t="n">
        <f aca="false">COUNTIFS('Comms Calendar'!$AI$5:$AI$504,$B19,'Comms Calendar'!$AF$5:$AF$504,"In Progress")+COUNTIFS('Comms Calendar'!$AI$5:$AI$504,$B19,'Comms Calendar'!$AF$5:$AF$504,"At Risk")+COUNTIFS('Comms Calendar'!$AI$5:$AI$504,$B19,'Comms Calendar'!$AF$5:$AF$504,"Overdue")</f>
        <v>0</v>
      </c>
      <c r="N19" s="47" t="n">
        <f aca="false">COUNTIFS('Comms Calendar'!$AI$5:$AI$504,$B19,'Comms Calendar'!$AB$5:$AB$504,"Yes",'Comms Calendar'!$AE$5:$AE$504,"&lt;&gt;Cancelled")</f>
        <v>0</v>
      </c>
      <c r="O19" s="47" t="n">
        <f aca="false">COUNTIFS('Comms Calendar'!$AI$5:$AI$504,$B19,'Comms Calendar'!$AL$5:$AL$504,"Over cap",'Comms Calendar'!$AE$5:$AE$504,"&lt;&gt;Cancelled")</f>
        <v>0</v>
      </c>
      <c r="P19" s="47" t="n">
        <f aca="false">COUNTIFS('Comms Calendar'!$AI$5:$AI$504,$B19,'Comms Calendar'!$AM$5:$AM$504,"Clash",'Comms Calendar'!$AE$5:$AE$504,"&lt;&gt;Cancelled")</f>
        <v>0</v>
      </c>
      <c r="Q19" s="47" t="n">
        <f aca="false">COUNTIFS('Comms Calendar'!$AI$5:$AI$504,$B19,'Comms Calendar'!$AN$5:$AN$504,"Blackout",'Comms Calendar'!$AE$5:$AE$504,"&lt;&gt;Cancelled")</f>
        <v>0</v>
      </c>
    </row>
    <row r="20" customFormat="false" ht="15" hidden="false" customHeight="false" outlineLevel="0" collapsed="false">
      <c r="B20" s="43" t="n">
        <f aca="false">B19+7</f>
        <v>46398</v>
      </c>
      <c r="C20" s="44" t="n">
        <f aca="false">COUNTIFS('Comms Calendar'!$AI$5:$AI$504,$B20,'Comms Calendar'!$B$5:$B$504,"AMER",'Comms Calendar'!$AE$5:$AE$504,"&lt;&gt;Cancelled")</f>
        <v>0</v>
      </c>
      <c r="D20" s="44" t="n">
        <f aca="false">COUNTIFS('Comms Calendar'!$AI$5:$AI$504,$B20,'Comms Calendar'!$B$5:$B$504,"EMEA",'Comms Calendar'!$AE$5:$AE$504,"&lt;&gt;Cancelled")</f>
        <v>0</v>
      </c>
      <c r="E20" s="44" t="n">
        <f aca="false">COUNTIFS('Comms Calendar'!$AI$5:$AI$504,$B20,'Comms Calendar'!$B$5:$B$504,"APAC",'Comms Calendar'!$AE$5:$AE$504,"&lt;&gt;Cancelled")</f>
        <v>0</v>
      </c>
      <c r="F20" s="44" t="n">
        <f aca="false">COUNTIFS('Comms Calendar'!$AI$5:$AI$504,$B20,'Comms Calendar'!$B$5:$B$504,"Global",'Comms Calendar'!$AE$5:$AE$504,"&lt;&gt;Cancelled")</f>
        <v>0</v>
      </c>
      <c r="G20" s="45" t="n">
        <f aca="false">SUM(C20:F20)</f>
        <v>0</v>
      </c>
      <c r="H20" s="44" t="n">
        <f aca="false">COUNTIFS('Comms Calendar'!$AI$5:$AI$504,$B20,'Comms Calendar'!$AR$5:$AR$504,"Webinar",'Comms Calendar'!$AE$5:$AE$504,"&lt;&gt;Cancelled")</f>
        <v>0</v>
      </c>
      <c r="I20" s="44" t="n">
        <f aca="false">COUNTIFS('Comms Calendar'!$AI$5:$AI$504,$B20,'Comms Calendar'!$AR$5:$AR$504,"Email",'Comms Calendar'!$AE$5:$AE$504,"&lt;&gt;Cancelled")</f>
        <v>0</v>
      </c>
      <c r="J20" s="44" t="n">
        <f aca="false">COUNTIFS('Comms Calendar'!$AI$5:$AI$504,$B20,'Comms Calendar'!$AR$5:$AR$504,"Social",'Comms Calendar'!$AE$5:$AE$504,"&lt;&gt;Cancelled")</f>
        <v>0</v>
      </c>
      <c r="K20" s="44" t="n">
        <f aca="false">COUNTIFS('Comms Calendar'!$AI$5:$AI$504,$B20,'Comms Calendar'!$AR$5:$AR$504,"Event",'Comms Calendar'!$AE$5:$AE$504,"&lt;&gt;Cancelled")</f>
        <v>0</v>
      </c>
      <c r="L20" s="44" t="n">
        <f aca="false">COUNTIFS('Comms Calendar'!$AI$5:$AI$504,$B20,'Comms Calendar'!$E$5:$E$504,"Customer",'Comms Calendar'!$AE$5:$AE$504,"&lt;&gt;Cancelled")+COUNTIFS('Comms Calendar'!$AI$5:$AI$504,$B20,'Comms Calendar'!$E$5:$E$504,"Customer + Prospect",'Comms Calendar'!$AE$5:$AE$504,"&lt;&gt;Cancelled")</f>
        <v>0</v>
      </c>
      <c r="M20" s="44" t="n">
        <f aca="false">COUNTIFS('Comms Calendar'!$AI$5:$AI$504,$B20,'Comms Calendar'!$AF$5:$AF$504,"In Progress")+COUNTIFS('Comms Calendar'!$AI$5:$AI$504,$B20,'Comms Calendar'!$AF$5:$AF$504,"At Risk")+COUNTIFS('Comms Calendar'!$AI$5:$AI$504,$B20,'Comms Calendar'!$AF$5:$AF$504,"Overdue")</f>
        <v>0</v>
      </c>
      <c r="N20" s="44" t="n">
        <f aca="false">COUNTIFS('Comms Calendar'!$AI$5:$AI$504,$B20,'Comms Calendar'!$AB$5:$AB$504,"Yes",'Comms Calendar'!$AE$5:$AE$504,"&lt;&gt;Cancelled")</f>
        <v>0</v>
      </c>
      <c r="O20" s="44" t="n">
        <f aca="false">COUNTIFS('Comms Calendar'!$AI$5:$AI$504,$B20,'Comms Calendar'!$AL$5:$AL$504,"Over cap",'Comms Calendar'!$AE$5:$AE$504,"&lt;&gt;Cancelled")</f>
        <v>0</v>
      </c>
      <c r="P20" s="44" t="n">
        <f aca="false">COUNTIFS('Comms Calendar'!$AI$5:$AI$504,$B20,'Comms Calendar'!$AM$5:$AM$504,"Clash",'Comms Calendar'!$AE$5:$AE$504,"&lt;&gt;Cancelled")</f>
        <v>0</v>
      </c>
      <c r="Q20" s="44" t="n">
        <f aca="false">COUNTIFS('Comms Calendar'!$AI$5:$AI$504,$B20,'Comms Calendar'!$AN$5:$AN$504,"Blackout",'Comms Calendar'!$AE$5:$AE$504,"&lt;&gt;Cancelled")</f>
        <v>0</v>
      </c>
    </row>
    <row r="21" customFormat="false" ht="15" hidden="false" customHeight="false" outlineLevel="0" collapsed="false">
      <c r="B21" s="46" t="n">
        <f aca="false">B20+7</f>
        <v>46405</v>
      </c>
      <c r="C21" s="47" t="n">
        <f aca="false">COUNTIFS('Comms Calendar'!$AI$5:$AI$504,$B21,'Comms Calendar'!$B$5:$B$504,"AMER",'Comms Calendar'!$AE$5:$AE$504,"&lt;&gt;Cancelled")</f>
        <v>0</v>
      </c>
      <c r="D21" s="47" t="n">
        <f aca="false">COUNTIFS('Comms Calendar'!$AI$5:$AI$504,$B21,'Comms Calendar'!$B$5:$B$504,"EMEA",'Comms Calendar'!$AE$5:$AE$504,"&lt;&gt;Cancelled")</f>
        <v>0</v>
      </c>
      <c r="E21" s="47" t="n">
        <f aca="false">COUNTIFS('Comms Calendar'!$AI$5:$AI$504,$B21,'Comms Calendar'!$B$5:$B$504,"APAC",'Comms Calendar'!$AE$5:$AE$504,"&lt;&gt;Cancelled")</f>
        <v>0</v>
      </c>
      <c r="F21" s="47" t="n">
        <f aca="false">COUNTIFS('Comms Calendar'!$AI$5:$AI$504,$B21,'Comms Calendar'!$B$5:$B$504,"Global",'Comms Calendar'!$AE$5:$AE$504,"&lt;&gt;Cancelled")</f>
        <v>0</v>
      </c>
      <c r="G21" s="48" t="n">
        <f aca="false">SUM(C21:F21)</f>
        <v>0</v>
      </c>
      <c r="H21" s="47" t="n">
        <f aca="false">COUNTIFS('Comms Calendar'!$AI$5:$AI$504,$B21,'Comms Calendar'!$AR$5:$AR$504,"Webinar",'Comms Calendar'!$AE$5:$AE$504,"&lt;&gt;Cancelled")</f>
        <v>0</v>
      </c>
      <c r="I21" s="47" t="n">
        <f aca="false">COUNTIFS('Comms Calendar'!$AI$5:$AI$504,$B21,'Comms Calendar'!$AR$5:$AR$504,"Email",'Comms Calendar'!$AE$5:$AE$504,"&lt;&gt;Cancelled")</f>
        <v>0</v>
      </c>
      <c r="J21" s="47" t="n">
        <f aca="false">COUNTIFS('Comms Calendar'!$AI$5:$AI$504,$B21,'Comms Calendar'!$AR$5:$AR$504,"Social",'Comms Calendar'!$AE$5:$AE$504,"&lt;&gt;Cancelled")</f>
        <v>0</v>
      </c>
      <c r="K21" s="47" t="n">
        <f aca="false">COUNTIFS('Comms Calendar'!$AI$5:$AI$504,$B21,'Comms Calendar'!$AR$5:$AR$504,"Event",'Comms Calendar'!$AE$5:$AE$504,"&lt;&gt;Cancelled")</f>
        <v>0</v>
      </c>
      <c r="L21" s="47" t="n">
        <f aca="false">COUNTIFS('Comms Calendar'!$AI$5:$AI$504,$B21,'Comms Calendar'!$E$5:$E$504,"Customer",'Comms Calendar'!$AE$5:$AE$504,"&lt;&gt;Cancelled")+COUNTIFS('Comms Calendar'!$AI$5:$AI$504,$B21,'Comms Calendar'!$E$5:$E$504,"Customer + Prospect",'Comms Calendar'!$AE$5:$AE$504,"&lt;&gt;Cancelled")</f>
        <v>0</v>
      </c>
      <c r="M21" s="47" t="n">
        <f aca="false">COUNTIFS('Comms Calendar'!$AI$5:$AI$504,$B21,'Comms Calendar'!$AF$5:$AF$504,"In Progress")+COUNTIFS('Comms Calendar'!$AI$5:$AI$504,$B21,'Comms Calendar'!$AF$5:$AF$504,"At Risk")+COUNTIFS('Comms Calendar'!$AI$5:$AI$504,$B21,'Comms Calendar'!$AF$5:$AF$504,"Overdue")</f>
        <v>0</v>
      </c>
      <c r="N21" s="47" t="n">
        <f aca="false">COUNTIFS('Comms Calendar'!$AI$5:$AI$504,$B21,'Comms Calendar'!$AB$5:$AB$504,"Yes",'Comms Calendar'!$AE$5:$AE$504,"&lt;&gt;Cancelled")</f>
        <v>0</v>
      </c>
      <c r="O21" s="47" t="n">
        <f aca="false">COUNTIFS('Comms Calendar'!$AI$5:$AI$504,$B21,'Comms Calendar'!$AL$5:$AL$504,"Over cap",'Comms Calendar'!$AE$5:$AE$504,"&lt;&gt;Cancelled")</f>
        <v>0</v>
      </c>
      <c r="P21" s="47" t="n">
        <f aca="false">COUNTIFS('Comms Calendar'!$AI$5:$AI$504,$B21,'Comms Calendar'!$AM$5:$AM$504,"Clash",'Comms Calendar'!$AE$5:$AE$504,"&lt;&gt;Cancelled")</f>
        <v>0</v>
      </c>
      <c r="Q21" s="47" t="n">
        <f aca="false">COUNTIFS('Comms Calendar'!$AI$5:$AI$504,$B21,'Comms Calendar'!$AN$5:$AN$504,"Blackout",'Comms Calendar'!$AE$5:$AE$504,"&lt;&gt;Cancelled")</f>
        <v>0</v>
      </c>
    </row>
    <row r="22" customFormat="false" ht="15" hidden="false" customHeight="false" outlineLevel="0" collapsed="false">
      <c r="B22" s="43" t="n">
        <f aca="false">B21+7</f>
        <v>46412</v>
      </c>
      <c r="C22" s="44" t="n">
        <f aca="false">COUNTIFS('Comms Calendar'!$AI$5:$AI$504,$B22,'Comms Calendar'!$B$5:$B$504,"AMER",'Comms Calendar'!$AE$5:$AE$504,"&lt;&gt;Cancelled")</f>
        <v>0</v>
      </c>
      <c r="D22" s="44" t="n">
        <f aca="false">COUNTIFS('Comms Calendar'!$AI$5:$AI$504,$B22,'Comms Calendar'!$B$5:$B$504,"EMEA",'Comms Calendar'!$AE$5:$AE$504,"&lt;&gt;Cancelled")</f>
        <v>0</v>
      </c>
      <c r="E22" s="44" t="n">
        <f aca="false">COUNTIFS('Comms Calendar'!$AI$5:$AI$504,$B22,'Comms Calendar'!$B$5:$B$504,"APAC",'Comms Calendar'!$AE$5:$AE$504,"&lt;&gt;Cancelled")</f>
        <v>0</v>
      </c>
      <c r="F22" s="44" t="n">
        <f aca="false">COUNTIFS('Comms Calendar'!$AI$5:$AI$504,$B22,'Comms Calendar'!$B$5:$B$504,"Global",'Comms Calendar'!$AE$5:$AE$504,"&lt;&gt;Cancelled")</f>
        <v>0</v>
      </c>
      <c r="G22" s="45" t="n">
        <f aca="false">SUM(C22:F22)</f>
        <v>0</v>
      </c>
      <c r="H22" s="44" t="n">
        <f aca="false">COUNTIFS('Comms Calendar'!$AI$5:$AI$504,$B22,'Comms Calendar'!$AR$5:$AR$504,"Webinar",'Comms Calendar'!$AE$5:$AE$504,"&lt;&gt;Cancelled")</f>
        <v>0</v>
      </c>
      <c r="I22" s="44" t="n">
        <f aca="false">COUNTIFS('Comms Calendar'!$AI$5:$AI$504,$B22,'Comms Calendar'!$AR$5:$AR$504,"Email",'Comms Calendar'!$AE$5:$AE$504,"&lt;&gt;Cancelled")</f>
        <v>0</v>
      </c>
      <c r="J22" s="44" t="n">
        <f aca="false">COUNTIFS('Comms Calendar'!$AI$5:$AI$504,$B22,'Comms Calendar'!$AR$5:$AR$504,"Social",'Comms Calendar'!$AE$5:$AE$504,"&lt;&gt;Cancelled")</f>
        <v>0</v>
      </c>
      <c r="K22" s="44" t="n">
        <f aca="false">COUNTIFS('Comms Calendar'!$AI$5:$AI$504,$B22,'Comms Calendar'!$AR$5:$AR$504,"Event",'Comms Calendar'!$AE$5:$AE$504,"&lt;&gt;Cancelled")</f>
        <v>0</v>
      </c>
      <c r="L22" s="44" t="n">
        <f aca="false">COUNTIFS('Comms Calendar'!$AI$5:$AI$504,$B22,'Comms Calendar'!$E$5:$E$504,"Customer",'Comms Calendar'!$AE$5:$AE$504,"&lt;&gt;Cancelled")+COUNTIFS('Comms Calendar'!$AI$5:$AI$504,$B22,'Comms Calendar'!$E$5:$E$504,"Customer + Prospect",'Comms Calendar'!$AE$5:$AE$504,"&lt;&gt;Cancelled")</f>
        <v>0</v>
      </c>
      <c r="M22" s="44" t="n">
        <f aca="false">COUNTIFS('Comms Calendar'!$AI$5:$AI$504,$B22,'Comms Calendar'!$AF$5:$AF$504,"In Progress")+COUNTIFS('Comms Calendar'!$AI$5:$AI$504,$B22,'Comms Calendar'!$AF$5:$AF$504,"At Risk")+COUNTIFS('Comms Calendar'!$AI$5:$AI$504,$B22,'Comms Calendar'!$AF$5:$AF$504,"Overdue")</f>
        <v>0</v>
      </c>
      <c r="N22" s="44" t="n">
        <f aca="false">COUNTIFS('Comms Calendar'!$AI$5:$AI$504,$B22,'Comms Calendar'!$AB$5:$AB$504,"Yes",'Comms Calendar'!$AE$5:$AE$504,"&lt;&gt;Cancelled")</f>
        <v>0</v>
      </c>
      <c r="O22" s="44" t="n">
        <f aca="false">COUNTIFS('Comms Calendar'!$AI$5:$AI$504,$B22,'Comms Calendar'!$AL$5:$AL$504,"Over cap",'Comms Calendar'!$AE$5:$AE$504,"&lt;&gt;Cancelled")</f>
        <v>0</v>
      </c>
      <c r="P22" s="44" t="n">
        <f aca="false">COUNTIFS('Comms Calendar'!$AI$5:$AI$504,$B22,'Comms Calendar'!$AM$5:$AM$504,"Clash",'Comms Calendar'!$AE$5:$AE$504,"&lt;&gt;Cancelled")</f>
        <v>0</v>
      </c>
      <c r="Q22" s="44" t="n">
        <f aca="false">COUNTIFS('Comms Calendar'!$AI$5:$AI$504,$B22,'Comms Calendar'!$AN$5:$AN$504,"Blackout",'Comms Calendar'!$AE$5:$AE$504,"&lt;&gt;Cancelled")</f>
        <v>0</v>
      </c>
    </row>
    <row r="23" customFormat="false" ht="15" hidden="false" customHeight="false" outlineLevel="0" collapsed="false">
      <c r="B23" s="46" t="n">
        <f aca="false">B22+7</f>
        <v>46419</v>
      </c>
      <c r="C23" s="47" t="n">
        <f aca="false">COUNTIFS('Comms Calendar'!$AI$5:$AI$504,$B23,'Comms Calendar'!$B$5:$B$504,"AMER",'Comms Calendar'!$AE$5:$AE$504,"&lt;&gt;Cancelled")</f>
        <v>0</v>
      </c>
      <c r="D23" s="47" t="n">
        <f aca="false">COUNTIFS('Comms Calendar'!$AI$5:$AI$504,$B23,'Comms Calendar'!$B$5:$B$504,"EMEA",'Comms Calendar'!$AE$5:$AE$504,"&lt;&gt;Cancelled")</f>
        <v>0</v>
      </c>
      <c r="E23" s="47" t="n">
        <f aca="false">COUNTIFS('Comms Calendar'!$AI$5:$AI$504,$B23,'Comms Calendar'!$B$5:$B$504,"APAC",'Comms Calendar'!$AE$5:$AE$504,"&lt;&gt;Cancelled")</f>
        <v>0</v>
      </c>
      <c r="F23" s="47" t="n">
        <f aca="false">COUNTIFS('Comms Calendar'!$AI$5:$AI$504,$B23,'Comms Calendar'!$B$5:$B$504,"Global",'Comms Calendar'!$AE$5:$AE$504,"&lt;&gt;Cancelled")</f>
        <v>0</v>
      </c>
      <c r="G23" s="48" t="n">
        <f aca="false">SUM(C23:F23)</f>
        <v>0</v>
      </c>
      <c r="H23" s="47" t="n">
        <f aca="false">COUNTIFS('Comms Calendar'!$AI$5:$AI$504,$B23,'Comms Calendar'!$AR$5:$AR$504,"Webinar",'Comms Calendar'!$AE$5:$AE$504,"&lt;&gt;Cancelled")</f>
        <v>0</v>
      </c>
      <c r="I23" s="47" t="n">
        <f aca="false">COUNTIFS('Comms Calendar'!$AI$5:$AI$504,$B23,'Comms Calendar'!$AR$5:$AR$504,"Email",'Comms Calendar'!$AE$5:$AE$504,"&lt;&gt;Cancelled")</f>
        <v>0</v>
      </c>
      <c r="J23" s="47" t="n">
        <f aca="false">COUNTIFS('Comms Calendar'!$AI$5:$AI$504,$B23,'Comms Calendar'!$AR$5:$AR$504,"Social",'Comms Calendar'!$AE$5:$AE$504,"&lt;&gt;Cancelled")</f>
        <v>0</v>
      </c>
      <c r="K23" s="47" t="n">
        <f aca="false">COUNTIFS('Comms Calendar'!$AI$5:$AI$504,$B23,'Comms Calendar'!$AR$5:$AR$504,"Event",'Comms Calendar'!$AE$5:$AE$504,"&lt;&gt;Cancelled")</f>
        <v>0</v>
      </c>
      <c r="L23" s="47" t="n">
        <f aca="false">COUNTIFS('Comms Calendar'!$AI$5:$AI$504,$B23,'Comms Calendar'!$E$5:$E$504,"Customer",'Comms Calendar'!$AE$5:$AE$504,"&lt;&gt;Cancelled")+COUNTIFS('Comms Calendar'!$AI$5:$AI$504,$B23,'Comms Calendar'!$E$5:$E$504,"Customer + Prospect",'Comms Calendar'!$AE$5:$AE$504,"&lt;&gt;Cancelled")</f>
        <v>0</v>
      </c>
      <c r="M23" s="47" t="n">
        <f aca="false">COUNTIFS('Comms Calendar'!$AI$5:$AI$504,$B23,'Comms Calendar'!$AF$5:$AF$504,"In Progress")+COUNTIFS('Comms Calendar'!$AI$5:$AI$504,$B23,'Comms Calendar'!$AF$5:$AF$504,"At Risk")+COUNTIFS('Comms Calendar'!$AI$5:$AI$504,$B23,'Comms Calendar'!$AF$5:$AF$504,"Overdue")</f>
        <v>0</v>
      </c>
      <c r="N23" s="47" t="n">
        <f aca="false">COUNTIFS('Comms Calendar'!$AI$5:$AI$504,$B23,'Comms Calendar'!$AB$5:$AB$504,"Yes",'Comms Calendar'!$AE$5:$AE$504,"&lt;&gt;Cancelled")</f>
        <v>0</v>
      </c>
      <c r="O23" s="47" t="n">
        <f aca="false">COUNTIFS('Comms Calendar'!$AI$5:$AI$504,$B23,'Comms Calendar'!$AL$5:$AL$504,"Over cap",'Comms Calendar'!$AE$5:$AE$504,"&lt;&gt;Cancelled")</f>
        <v>0</v>
      </c>
      <c r="P23" s="47" t="n">
        <f aca="false">COUNTIFS('Comms Calendar'!$AI$5:$AI$504,$B23,'Comms Calendar'!$AM$5:$AM$504,"Clash",'Comms Calendar'!$AE$5:$AE$504,"&lt;&gt;Cancelled")</f>
        <v>0</v>
      </c>
      <c r="Q23" s="47" t="n">
        <f aca="false">COUNTIFS('Comms Calendar'!$AI$5:$AI$504,$B23,'Comms Calendar'!$AN$5:$AN$504,"Blackout",'Comms Calendar'!$AE$5:$AE$504,"&lt;&gt;Cancelled")</f>
        <v>0</v>
      </c>
    </row>
    <row r="24" customFormat="false" ht="15" hidden="false" customHeight="false" outlineLevel="0" collapsed="false">
      <c r="B24" s="43" t="n">
        <f aca="false">B23+7</f>
        <v>46426</v>
      </c>
      <c r="C24" s="44" t="n">
        <f aca="false">COUNTIFS('Comms Calendar'!$AI$5:$AI$504,$B24,'Comms Calendar'!$B$5:$B$504,"AMER",'Comms Calendar'!$AE$5:$AE$504,"&lt;&gt;Cancelled")</f>
        <v>0</v>
      </c>
      <c r="D24" s="44" t="n">
        <f aca="false">COUNTIFS('Comms Calendar'!$AI$5:$AI$504,$B24,'Comms Calendar'!$B$5:$B$504,"EMEA",'Comms Calendar'!$AE$5:$AE$504,"&lt;&gt;Cancelled")</f>
        <v>0</v>
      </c>
      <c r="E24" s="44" t="n">
        <f aca="false">COUNTIFS('Comms Calendar'!$AI$5:$AI$504,$B24,'Comms Calendar'!$B$5:$B$504,"APAC",'Comms Calendar'!$AE$5:$AE$504,"&lt;&gt;Cancelled")</f>
        <v>0</v>
      </c>
      <c r="F24" s="44" t="n">
        <f aca="false">COUNTIFS('Comms Calendar'!$AI$5:$AI$504,$B24,'Comms Calendar'!$B$5:$B$504,"Global",'Comms Calendar'!$AE$5:$AE$504,"&lt;&gt;Cancelled")</f>
        <v>0</v>
      </c>
      <c r="G24" s="45" t="n">
        <f aca="false">SUM(C24:F24)</f>
        <v>0</v>
      </c>
      <c r="H24" s="44" t="n">
        <f aca="false">COUNTIFS('Comms Calendar'!$AI$5:$AI$504,$B24,'Comms Calendar'!$AR$5:$AR$504,"Webinar",'Comms Calendar'!$AE$5:$AE$504,"&lt;&gt;Cancelled")</f>
        <v>0</v>
      </c>
      <c r="I24" s="44" t="n">
        <f aca="false">COUNTIFS('Comms Calendar'!$AI$5:$AI$504,$B24,'Comms Calendar'!$AR$5:$AR$504,"Email",'Comms Calendar'!$AE$5:$AE$504,"&lt;&gt;Cancelled")</f>
        <v>0</v>
      </c>
      <c r="J24" s="44" t="n">
        <f aca="false">COUNTIFS('Comms Calendar'!$AI$5:$AI$504,$B24,'Comms Calendar'!$AR$5:$AR$504,"Social",'Comms Calendar'!$AE$5:$AE$504,"&lt;&gt;Cancelled")</f>
        <v>0</v>
      </c>
      <c r="K24" s="44" t="n">
        <f aca="false">COUNTIFS('Comms Calendar'!$AI$5:$AI$504,$B24,'Comms Calendar'!$AR$5:$AR$504,"Event",'Comms Calendar'!$AE$5:$AE$504,"&lt;&gt;Cancelled")</f>
        <v>0</v>
      </c>
      <c r="L24" s="44" t="n">
        <f aca="false">COUNTIFS('Comms Calendar'!$AI$5:$AI$504,$B24,'Comms Calendar'!$E$5:$E$504,"Customer",'Comms Calendar'!$AE$5:$AE$504,"&lt;&gt;Cancelled")+COUNTIFS('Comms Calendar'!$AI$5:$AI$504,$B24,'Comms Calendar'!$E$5:$E$504,"Customer + Prospect",'Comms Calendar'!$AE$5:$AE$504,"&lt;&gt;Cancelled")</f>
        <v>0</v>
      </c>
      <c r="M24" s="44" t="n">
        <f aca="false">COUNTIFS('Comms Calendar'!$AI$5:$AI$504,$B24,'Comms Calendar'!$AF$5:$AF$504,"In Progress")+COUNTIFS('Comms Calendar'!$AI$5:$AI$504,$B24,'Comms Calendar'!$AF$5:$AF$504,"At Risk")+COUNTIFS('Comms Calendar'!$AI$5:$AI$504,$B24,'Comms Calendar'!$AF$5:$AF$504,"Overdue")</f>
        <v>0</v>
      </c>
      <c r="N24" s="44" t="n">
        <f aca="false">COUNTIFS('Comms Calendar'!$AI$5:$AI$504,$B24,'Comms Calendar'!$AB$5:$AB$504,"Yes",'Comms Calendar'!$AE$5:$AE$504,"&lt;&gt;Cancelled")</f>
        <v>0</v>
      </c>
      <c r="O24" s="44" t="n">
        <f aca="false">COUNTIFS('Comms Calendar'!$AI$5:$AI$504,$B24,'Comms Calendar'!$AL$5:$AL$504,"Over cap",'Comms Calendar'!$AE$5:$AE$504,"&lt;&gt;Cancelled")</f>
        <v>0</v>
      </c>
      <c r="P24" s="44" t="n">
        <f aca="false">COUNTIFS('Comms Calendar'!$AI$5:$AI$504,$B24,'Comms Calendar'!$AM$5:$AM$504,"Clash",'Comms Calendar'!$AE$5:$AE$504,"&lt;&gt;Cancelled")</f>
        <v>0</v>
      </c>
      <c r="Q24" s="44" t="n">
        <f aca="false">COUNTIFS('Comms Calendar'!$AI$5:$AI$504,$B24,'Comms Calendar'!$AN$5:$AN$504,"Blackout",'Comms Calendar'!$AE$5:$AE$504,"&lt;&gt;Cancelled")</f>
        <v>0</v>
      </c>
    </row>
    <row r="25" customFormat="false" ht="15" hidden="false" customHeight="false" outlineLevel="0" collapsed="false">
      <c r="B25" s="46" t="n">
        <f aca="false">B24+7</f>
        <v>46433</v>
      </c>
      <c r="C25" s="47" t="n">
        <f aca="false">COUNTIFS('Comms Calendar'!$AI$5:$AI$504,$B25,'Comms Calendar'!$B$5:$B$504,"AMER",'Comms Calendar'!$AE$5:$AE$504,"&lt;&gt;Cancelled")</f>
        <v>0</v>
      </c>
      <c r="D25" s="47" t="n">
        <f aca="false">COUNTIFS('Comms Calendar'!$AI$5:$AI$504,$B25,'Comms Calendar'!$B$5:$B$504,"EMEA",'Comms Calendar'!$AE$5:$AE$504,"&lt;&gt;Cancelled")</f>
        <v>0</v>
      </c>
      <c r="E25" s="47" t="n">
        <f aca="false">COUNTIFS('Comms Calendar'!$AI$5:$AI$504,$B25,'Comms Calendar'!$B$5:$B$504,"APAC",'Comms Calendar'!$AE$5:$AE$504,"&lt;&gt;Cancelled")</f>
        <v>0</v>
      </c>
      <c r="F25" s="47" t="n">
        <f aca="false">COUNTIFS('Comms Calendar'!$AI$5:$AI$504,$B25,'Comms Calendar'!$B$5:$B$504,"Global",'Comms Calendar'!$AE$5:$AE$504,"&lt;&gt;Cancelled")</f>
        <v>0</v>
      </c>
      <c r="G25" s="48" t="n">
        <f aca="false">SUM(C25:F25)</f>
        <v>0</v>
      </c>
      <c r="H25" s="47" t="n">
        <f aca="false">COUNTIFS('Comms Calendar'!$AI$5:$AI$504,$B25,'Comms Calendar'!$AR$5:$AR$504,"Webinar",'Comms Calendar'!$AE$5:$AE$504,"&lt;&gt;Cancelled")</f>
        <v>0</v>
      </c>
      <c r="I25" s="47" t="n">
        <f aca="false">COUNTIFS('Comms Calendar'!$AI$5:$AI$504,$B25,'Comms Calendar'!$AR$5:$AR$504,"Email",'Comms Calendar'!$AE$5:$AE$504,"&lt;&gt;Cancelled")</f>
        <v>0</v>
      </c>
      <c r="J25" s="47" t="n">
        <f aca="false">COUNTIFS('Comms Calendar'!$AI$5:$AI$504,$B25,'Comms Calendar'!$AR$5:$AR$504,"Social",'Comms Calendar'!$AE$5:$AE$504,"&lt;&gt;Cancelled")</f>
        <v>0</v>
      </c>
      <c r="K25" s="47" t="n">
        <f aca="false">COUNTIFS('Comms Calendar'!$AI$5:$AI$504,$B25,'Comms Calendar'!$AR$5:$AR$504,"Event",'Comms Calendar'!$AE$5:$AE$504,"&lt;&gt;Cancelled")</f>
        <v>0</v>
      </c>
      <c r="L25" s="47" t="n">
        <f aca="false">COUNTIFS('Comms Calendar'!$AI$5:$AI$504,$B25,'Comms Calendar'!$E$5:$E$504,"Customer",'Comms Calendar'!$AE$5:$AE$504,"&lt;&gt;Cancelled")+COUNTIFS('Comms Calendar'!$AI$5:$AI$504,$B25,'Comms Calendar'!$E$5:$E$504,"Customer + Prospect",'Comms Calendar'!$AE$5:$AE$504,"&lt;&gt;Cancelled")</f>
        <v>0</v>
      </c>
      <c r="M25" s="47" t="n">
        <f aca="false">COUNTIFS('Comms Calendar'!$AI$5:$AI$504,$B25,'Comms Calendar'!$AF$5:$AF$504,"In Progress")+COUNTIFS('Comms Calendar'!$AI$5:$AI$504,$B25,'Comms Calendar'!$AF$5:$AF$504,"At Risk")+COUNTIFS('Comms Calendar'!$AI$5:$AI$504,$B25,'Comms Calendar'!$AF$5:$AF$504,"Overdue")</f>
        <v>0</v>
      </c>
      <c r="N25" s="47" t="n">
        <f aca="false">COUNTIFS('Comms Calendar'!$AI$5:$AI$504,$B25,'Comms Calendar'!$AB$5:$AB$504,"Yes",'Comms Calendar'!$AE$5:$AE$504,"&lt;&gt;Cancelled")</f>
        <v>0</v>
      </c>
      <c r="O25" s="47" t="n">
        <f aca="false">COUNTIFS('Comms Calendar'!$AI$5:$AI$504,$B25,'Comms Calendar'!$AL$5:$AL$504,"Over cap",'Comms Calendar'!$AE$5:$AE$504,"&lt;&gt;Cancelled")</f>
        <v>0</v>
      </c>
      <c r="P25" s="47" t="n">
        <f aca="false">COUNTIFS('Comms Calendar'!$AI$5:$AI$504,$B25,'Comms Calendar'!$AM$5:$AM$504,"Clash",'Comms Calendar'!$AE$5:$AE$504,"&lt;&gt;Cancelled")</f>
        <v>0</v>
      </c>
      <c r="Q25" s="47" t="n">
        <f aca="false">COUNTIFS('Comms Calendar'!$AI$5:$AI$504,$B25,'Comms Calendar'!$AN$5:$AN$504,"Blackout",'Comms Calendar'!$AE$5:$AE$504,"&lt;&gt;Cancelled")</f>
        <v>0</v>
      </c>
    </row>
    <row r="26" customFormat="false" ht="15" hidden="false" customHeight="false" outlineLevel="0" collapsed="false">
      <c r="B26" s="43" t="n">
        <f aca="false">B25+7</f>
        <v>46440</v>
      </c>
      <c r="C26" s="44" t="n">
        <f aca="false">COUNTIFS('Comms Calendar'!$AI$5:$AI$504,$B26,'Comms Calendar'!$B$5:$B$504,"AMER",'Comms Calendar'!$AE$5:$AE$504,"&lt;&gt;Cancelled")</f>
        <v>0</v>
      </c>
      <c r="D26" s="44" t="n">
        <f aca="false">COUNTIFS('Comms Calendar'!$AI$5:$AI$504,$B26,'Comms Calendar'!$B$5:$B$504,"EMEA",'Comms Calendar'!$AE$5:$AE$504,"&lt;&gt;Cancelled")</f>
        <v>0</v>
      </c>
      <c r="E26" s="44" t="n">
        <f aca="false">COUNTIFS('Comms Calendar'!$AI$5:$AI$504,$B26,'Comms Calendar'!$B$5:$B$504,"APAC",'Comms Calendar'!$AE$5:$AE$504,"&lt;&gt;Cancelled")</f>
        <v>0</v>
      </c>
      <c r="F26" s="44" t="n">
        <f aca="false">COUNTIFS('Comms Calendar'!$AI$5:$AI$504,$B26,'Comms Calendar'!$B$5:$B$504,"Global",'Comms Calendar'!$AE$5:$AE$504,"&lt;&gt;Cancelled")</f>
        <v>0</v>
      </c>
      <c r="G26" s="45" t="n">
        <f aca="false">SUM(C26:F26)</f>
        <v>0</v>
      </c>
      <c r="H26" s="44" t="n">
        <f aca="false">COUNTIFS('Comms Calendar'!$AI$5:$AI$504,$B26,'Comms Calendar'!$AR$5:$AR$504,"Webinar",'Comms Calendar'!$AE$5:$AE$504,"&lt;&gt;Cancelled")</f>
        <v>0</v>
      </c>
      <c r="I26" s="44" t="n">
        <f aca="false">COUNTIFS('Comms Calendar'!$AI$5:$AI$504,$B26,'Comms Calendar'!$AR$5:$AR$504,"Email",'Comms Calendar'!$AE$5:$AE$504,"&lt;&gt;Cancelled")</f>
        <v>0</v>
      </c>
      <c r="J26" s="44" t="n">
        <f aca="false">COUNTIFS('Comms Calendar'!$AI$5:$AI$504,$B26,'Comms Calendar'!$AR$5:$AR$504,"Social",'Comms Calendar'!$AE$5:$AE$504,"&lt;&gt;Cancelled")</f>
        <v>0</v>
      </c>
      <c r="K26" s="44" t="n">
        <f aca="false">COUNTIFS('Comms Calendar'!$AI$5:$AI$504,$B26,'Comms Calendar'!$AR$5:$AR$504,"Event",'Comms Calendar'!$AE$5:$AE$504,"&lt;&gt;Cancelled")</f>
        <v>0</v>
      </c>
      <c r="L26" s="44" t="n">
        <f aca="false">COUNTIFS('Comms Calendar'!$AI$5:$AI$504,$B26,'Comms Calendar'!$E$5:$E$504,"Customer",'Comms Calendar'!$AE$5:$AE$504,"&lt;&gt;Cancelled")+COUNTIFS('Comms Calendar'!$AI$5:$AI$504,$B26,'Comms Calendar'!$E$5:$E$504,"Customer + Prospect",'Comms Calendar'!$AE$5:$AE$504,"&lt;&gt;Cancelled")</f>
        <v>0</v>
      </c>
      <c r="M26" s="44" t="n">
        <f aca="false">COUNTIFS('Comms Calendar'!$AI$5:$AI$504,$B26,'Comms Calendar'!$AF$5:$AF$504,"In Progress")+COUNTIFS('Comms Calendar'!$AI$5:$AI$504,$B26,'Comms Calendar'!$AF$5:$AF$504,"At Risk")+COUNTIFS('Comms Calendar'!$AI$5:$AI$504,$B26,'Comms Calendar'!$AF$5:$AF$504,"Overdue")</f>
        <v>0</v>
      </c>
      <c r="N26" s="44" t="n">
        <f aca="false">COUNTIFS('Comms Calendar'!$AI$5:$AI$504,$B26,'Comms Calendar'!$AB$5:$AB$504,"Yes",'Comms Calendar'!$AE$5:$AE$504,"&lt;&gt;Cancelled")</f>
        <v>0</v>
      </c>
      <c r="O26" s="44" t="n">
        <f aca="false">COUNTIFS('Comms Calendar'!$AI$5:$AI$504,$B26,'Comms Calendar'!$AL$5:$AL$504,"Over cap",'Comms Calendar'!$AE$5:$AE$504,"&lt;&gt;Cancelled")</f>
        <v>0</v>
      </c>
      <c r="P26" s="44" t="n">
        <f aca="false">COUNTIFS('Comms Calendar'!$AI$5:$AI$504,$B26,'Comms Calendar'!$AM$5:$AM$504,"Clash",'Comms Calendar'!$AE$5:$AE$504,"&lt;&gt;Cancelled")</f>
        <v>0</v>
      </c>
      <c r="Q26" s="44" t="n">
        <f aca="false">COUNTIFS('Comms Calendar'!$AI$5:$AI$504,$B26,'Comms Calendar'!$AN$5:$AN$504,"Blackout",'Comms Calendar'!$AE$5:$AE$504,"&lt;&gt;Cancelled")</f>
        <v>0</v>
      </c>
    </row>
    <row r="27" customFormat="false" ht="15" hidden="false" customHeight="false" outlineLevel="0" collapsed="false">
      <c r="B27" s="46" t="n">
        <f aca="false">B26+7</f>
        <v>46447</v>
      </c>
      <c r="C27" s="47" t="n">
        <f aca="false">COUNTIFS('Comms Calendar'!$AI$5:$AI$504,$B27,'Comms Calendar'!$B$5:$B$504,"AMER",'Comms Calendar'!$AE$5:$AE$504,"&lt;&gt;Cancelled")</f>
        <v>0</v>
      </c>
      <c r="D27" s="47" t="n">
        <f aca="false">COUNTIFS('Comms Calendar'!$AI$5:$AI$504,$B27,'Comms Calendar'!$B$5:$B$504,"EMEA",'Comms Calendar'!$AE$5:$AE$504,"&lt;&gt;Cancelled")</f>
        <v>0</v>
      </c>
      <c r="E27" s="47" t="n">
        <f aca="false">COUNTIFS('Comms Calendar'!$AI$5:$AI$504,$B27,'Comms Calendar'!$B$5:$B$504,"APAC",'Comms Calendar'!$AE$5:$AE$504,"&lt;&gt;Cancelled")</f>
        <v>0</v>
      </c>
      <c r="F27" s="47" t="n">
        <f aca="false">COUNTIFS('Comms Calendar'!$AI$5:$AI$504,$B27,'Comms Calendar'!$B$5:$B$504,"Global",'Comms Calendar'!$AE$5:$AE$504,"&lt;&gt;Cancelled")</f>
        <v>0</v>
      </c>
      <c r="G27" s="48" t="n">
        <f aca="false">SUM(C27:F27)</f>
        <v>0</v>
      </c>
      <c r="H27" s="47" t="n">
        <f aca="false">COUNTIFS('Comms Calendar'!$AI$5:$AI$504,$B27,'Comms Calendar'!$AR$5:$AR$504,"Webinar",'Comms Calendar'!$AE$5:$AE$504,"&lt;&gt;Cancelled")</f>
        <v>0</v>
      </c>
      <c r="I27" s="47" t="n">
        <f aca="false">COUNTIFS('Comms Calendar'!$AI$5:$AI$504,$B27,'Comms Calendar'!$AR$5:$AR$504,"Email",'Comms Calendar'!$AE$5:$AE$504,"&lt;&gt;Cancelled")</f>
        <v>0</v>
      </c>
      <c r="J27" s="47" t="n">
        <f aca="false">COUNTIFS('Comms Calendar'!$AI$5:$AI$504,$B27,'Comms Calendar'!$AR$5:$AR$504,"Social",'Comms Calendar'!$AE$5:$AE$504,"&lt;&gt;Cancelled")</f>
        <v>0</v>
      </c>
      <c r="K27" s="47" t="n">
        <f aca="false">COUNTIFS('Comms Calendar'!$AI$5:$AI$504,$B27,'Comms Calendar'!$AR$5:$AR$504,"Event",'Comms Calendar'!$AE$5:$AE$504,"&lt;&gt;Cancelled")</f>
        <v>0</v>
      </c>
      <c r="L27" s="47" t="n">
        <f aca="false">COUNTIFS('Comms Calendar'!$AI$5:$AI$504,$B27,'Comms Calendar'!$E$5:$E$504,"Customer",'Comms Calendar'!$AE$5:$AE$504,"&lt;&gt;Cancelled")+COUNTIFS('Comms Calendar'!$AI$5:$AI$504,$B27,'Comms Calendar'!$E$5:$E$504,"Customer + Prospect",'Comms Calendar'!$AE$5:$AE$504,"&lt;&gt;Cancelled")</f>
        <v>0</v>
      </c>
      <c r="M27" s="47" t="n">
        <f aca="false">COUNTIFS('Comms Calendar'!$AI$5:$AI$504,$B27,'Comms Calendar'!$AF$5:$AF$504,"In Progress")+COUNTIFS('Comms Calendar'!$AI$5:$AI$504,$B27,'Comms Calendar'!$AF$5:$AF$504,"At Risk")+COUNTIFS('Comms Calendar'!$AI$5:$AI$504,$B27,'Comms Calendar'!$AF$5:$AF$504,"Overdue")</f>
        <v>0</v>
      </c>
      <c r="N27" s="47" t="n">
        <f aca="false">COUNTIFS('Comms Calendar'!$AI$5:$AI$504,$B27,'Comms Calendar'!$AB$5:$AB$504,"Yes",'Comms Calendar'!$AE$5:$AE$504,"&lt;&gt;Cancelled")</f>
        <v>0</v>
      </c>
      <c r="O27" s="47" t="n">
        <f aca="false">COUNTIFS('Comms Calendar'!$AI$5:$AI$504,$B27,'Comms Calendar'!$AL$5:$AL$504,"Over cap",'Comms Calendar'!$AE$5:$AE$504,"&lt;&gt;Cancelled")</f>
        <v>0</v>
      </c>
      <c r="P27" s="47" t="n">
        <f aca="false">COUNTIFS('Comms Calendar'!$AI$5:$AI$504,$B27,'Comms Calendar'!$AM$5:$AM$504,"Clash",'Comms Calendar'!$AE$5:$AE$504,"&lt;&gt;Cancelled")</f>
        <v>0</v>
      </c>
      <c r="Q27" s="47" t="n">
        <f aca="false">COUNTIFS('Comms Calendar'!$AI$5:$AI$504,$B27,'Comms Calendar'!$AN$5:$AN$504,"Blackout",'Comms Calendar'!$AE$5:$AE$504,"&lt;&gt;Cancelled")</f>
        <v>0</v>
      </c>
    </row>
    <row r="28" customFormat="false" ht="15" hidden="false" customHeight="false" outlineLevel="0" collapsed="false">
      <c r="B28" s="43" t="n">
        <f aca="false">B27+7</f>
        <v>46454</v>
      </c>
      <c r="C28" s="44" t="n">
        <f aca="false">COUNTIFS('Comms Calendar'!$AI$5:$AI$504,$B28,'Comms Calendar'!$B$5:$B$504,"AMER",'Comms Calendar'!$AE$5:$AE$504,"&lt;&gt;Cancelled")</f>
        <v>0</v>
      </c>
      <c r="D28" s="44" t="n">
        <f aca="false">COUNTIFS('Comms Calendar'!$AI$5:$AI$504,$B28,'Comms Calendar'!$B$5:$B$504,"EMEA",'Comms Calendar'!$AE$5:$AE$504,"&lt;&gt;Cancelled")</f>
        <v>0</v>
      </c>
      <c r="E28" s="44" t="n">
        <f aca="false">COUNTIFS('Comms Calendar'!$AI$5:$AI$504,$B28,'Comms Calendar'!$B$5:$B$504,"APAC",'Comms Calendar'!$AE$5:$AE$504,"&lt;&gt;Cancelled")</f>
        <v>0</v>
      </c>
      <c r="F28" s="44" t="n">
        <f aca="false">COUNTIFS('Comms Calendar'!$AI$5:$AI$504,$B28,'Comms Calendar'!$B$5:$B$504,"Global",'Comms Calendar'!$AE$5:$AE$504,"&lt;&gt;Cancelled")</f>
        <v>0</v>
      </c>
      <c r="G28" s="45" t="n">
        <f aca="false">SUM(C28:F28)</f>
        <v>0</v>
      </c>
      <c r="H28" s="44" t="n">
        <f aca="false">COUNTIFS('Comms Calendar'!$AI$5:$AI$504,$B28,'Comms Calendar'!$AR$5:$AR$504,"Webinar",'Comms Calendar'!$AE$5:$AE$504,"&lt;&gt;Cancelled")</f>
        <v>0</v>
      </c>
      <c r="I28" s="44" t="n">
        <f aca="false">COUNTIFS('Comms Calendar'!$AI$5:$AI$504,$B28,'Comms Calendar'!$AR$5:$AR$504,"Email",'Comms Calendar'!$AE$5:$AE$504,"&lt;&gt;Cancelled")</f>
        <v>0</v>
      </c>
      <c r="J28" s="44" t="n">
        <f aca="false">COUNTIFS('Comms Calendar'!$AI$5:$AI$504,$B28,'Comms Calendar'!$AR$5:$AR$504,"Social",'Comms Calendar'!$AE$5:$AE$504,"&lt;&gt;Cancelled")</f>
        <v>0</v>
      </c>
      <c r="K28" s="44" t="n">
        <f aca="false">COUNTIFS('Comms Calendar'!$AI$5:$AI$504,$B28,'Comms Calendar'!$AR$5:$AR$504,"Event",'Comms Calendar'!$AE$5:$AE$504,"&lt;&gt;Cancelled")</f>
        <v>0</v>
      </c>
      <c r="L28" s="44" t="n">
        <f aca="false">COUNTIFS('Comms Calendar'!$AI$5:$AI$504,$B28,'Comms Calendar'!$E$5:$E$504,"Customer",'Comms Calendar'!$AE$5:$AE$504,"&lt;&gt;Cancelled")+COUNTIFS('Comms Calendar'!$AI$5:$AI$504,$B28,'Comms Calendar'!$E$5:$E$504,"Customer + Prospect",'Comms Calendar'!$AE$5:$AE$504,"&lt;&gt;Cancelled")</f>
        <v>0</v>
      </c>
      <c r="M28" s="44" t="n">
        <f aca="false">COUNTIFS('Comms Calendar'!$AI$5:$AI$504,$B28,'Comms Calendar'!$AF$5:$AF$504,"In Progress")+COUNTIFS('Comms Calendar'!$AI$5:$AI$504,$B28,'Comms Calendar'!$AF$5:$AF$504,"At Risk")+COUNTIFS('Comms Calendar'!$AI$5:$AI$504,$B28,'Comms Calendar'!$AF$5:$AF$504,"Overdue")</f>
        <v>0</v>
      </c>
      <c r="N28" s="44" t="n">
        <f aca="false">COUNTIFS('Comms Calendar'!$AI$5:$AI$504,$B28,'Comms Calendar'!$AB$5:$AB$504,"Yes",'Comms Calendar'!$AE$5:$AE$504,"&lt;&gt;Cancelled")</f>
        <v>0</v>
      </c>
      <c r="O28" s="44" t="n">
        <f aca="false">COUNTIFS('Comms Calendar'!$AI$5:$AI$504,$B28,'Comms Calendar'!$AL$5:$AL$504,"Over cap",'Comms Calendar'!$AE$5:$AE$504,"&lt;&gt;Cancelled")</f>
        <v>0</v>
      </c>
      <c r="P28" s="44" t="n">
        <f aca="false">COUNTIFS('Comms Calendar'!$AI$5:$AI$504,$B28,'Comms Calendar'!$AM$5:$AM$504,"Clash",'Comms Calendar'!$AE$5:$AE$504,"&lt;&gt;Cancelled")</f>
        <v>0</v>
      </c>
      <c r="Q28" s="44" t="n">
        <f aca="false">COUNTIFS('Comms Calendar'!$AI$5:$AI$504,$B28,'Comms Calendar'!$AN$5:$AN$504,"Blackout",'Comms Calendar'!$AE$5:$AE$504,"&lt;&gt;Cancelled")</f>
        <v>0</v>
      </c>
    </row>
    <row r="29" customFormat="false" ht="15" hidden="false" customHeight="false" outlineLevel="0" collapsed="false">
      <c r="B29" s="46" t="n">
        <f aca="false">B28+7</f>
        <v>46461</v>
      </c>
      <c r="C29" s="47" t="n">
        <f aca="false">COUNTIFS('Comms Calendar'!$AI$5:$AI$504,$B29,'Comms Calendar'!$B$5:$B$504,"AMER",'Comms Calendar'!$AE$5:$AE$504,"&lt;&gt;Cancelled")</f>
        <v>0</v>
      </c>
      <c r="D29" s="47" t="n">
        <f aca="false">COUNTIFS('Comms Calendar'!$AI$5:$AI$504,$B29,'Comms Calendar'!$B$5:$B$504,"EMEA",'Comms Calendar'!$AE$5:$AE$504,"&lt;&gt;Cancelled")</f>
        <v>0</v>
      </c>
      <c r="E29" s="47" t="n">
        <f aca="false">COUNTIFS('Comms Calendar'!$AI$5:$AI$504,$B29,'Comms Calendar'!$B$5:$B$504,"APAC",'Comms Calendar'!$AE$5:$AE$504,"&lt;&gt;Cancelled")</f>
        <v>0</v>
      </c>
      <c r="F29" s="47" t="n">
        <f aca="false">COUNTIFS('Comms Calendar'!$AI$5:$AI$504,$B29,'Comms Calendar'!$B$5:$B$504,"Global",'Comms Calendar'!$AE$5:$AE$504,"&lt;&gt;Cancelled")</f>
        <v>0</v>
      </c>
      <c r="G29" s="48" t="n">
        <f aca="false">SUM(C29:F29)</f>
        <v>0</v>
      </c>
      <c r="H29" s="47" t="n">
        <f aca="false">COUNTIFS('Comms Calendar'!$AI$5:$AI$504,$B29,'Comms Calendar'!$AR$5:$AR$504,"Webinar",'Comms Calendar'!$AE$5:$AE$504,"&lt;&gt;Cancelled")</f>
        <v>0</v>
      </c>
      <c r="I29" s="47" t="n">
        <f aca="false">COUNTIFS('Comms Calendar'!$AI$5:$AI$504,$B29,'Comms Calendar'!$AR$5:$AR$504,"Email",'Comms Calendar'!$AE$5:$AE$504,"&lt;&gt;Cancelled")</f>
        <v>0</v>
      </c>
      <c r="J29" s="47" t="n">
        <f aca="false">COUNTIFS('Comms Calendar'!$AI$5:$AI$504,$B29,'Comms Calendar'!$AR$5:$AR$504,"Social",'Comms Calendar'!$AE$5:$AE$504,"&lt;&gt;Cancelled")</f>
        <v>0</v>
      </c>
      <c r="K29" s="47" t="n">
        <f aca="false">COUNTIFS('Comms Calendar'!$AI$5:$AI$504,$B29,'Comms Calendar'!$AR$5:$AR$504,"Event",'Comms Calendar'!$AE$5:$AE$504,"&lt;&gt;Cancelled")</f>
        <v>0</v>
      </c>
      <c r="L29" s="47" t="n">
        <f aca="false">COUNTIFS('Comms Calendar'!$AI$5:$AI$504,$B29,'Comms Calendar'!$E$5:$E$504,"Customer",'Comms Calendar'!$AE$5:$AE$504,"&lt;&gt;Cancelled")+COUNTIFS('Comms Calendar'!$AI$5:$AI$504,$B29,'Comms Calendar'!$E$5:$E$504,"Customer + Prospect",'Comms Calendar'!$AE$5:$AE$504,"&lt;&gt;Cancelled")</f>
        <v>0</v>
      </c>
      <c r="M29" s="47" t="n">
        <f aca="false">COUNTIFS('Comms Calendar'!$AI$5:$AI$504,$B29,'Comms Calendar'!$AF$5:$AF$504,"In Progress")+COUNTIFS('Comms Calendar'!$AI$5:$AI$504,$B29,'Comms Calendar'!$AF$5:$AF$504,"At Risk")+COUNTIFS('Comms Calendar'!$AI$5:$AI$504,$B29,'Comms Calendar'!$AF$5:$AF$504,"Overdue")</f>
        <v>0</v>
      </c>
      <c r="N29" s="47" t="n">
        <f aca="false">COUNTIFS('Comms Calendar'!$AI$5:$AI$504,$B29,'Comms Calendar'!$AB$5:$AB$504,"Yes",'Comms Calendar'!$AE$5:$AE$504,"&lt;&gt;Cancelled")</f>
        <v>0</v>
      </c>
      <c r="O29" s="47" t="n">
        <f aca="false">COUNTIFS('Comms Calendar'!$AI$5:$AI$504,$B29,'Comms Calendar'!$AL$5:$AL$504,"Over cap",'Comms Calendar'!$AE$5:$AE$504,"&lt;&gt;Cancelled")</f>
        <v>0</v>
      </c>
      <c r="P29" s="47" t="n">
        <f aca="false">COUNTIFS('Comms Calendar'!$AI$5:$AI$504,$B29,'Comms Calendar'!$AM$5:$AM$504,"Clash",'Comms Calendar'!$AE$5:$AE$504,"&lt;&gt;Cancelled")</f>
        <v>0</v>
      </c>
      <c r="Q29" s="47" t="n">
        <f aca="false">COUNTIFS('Comms Calendar'!$AI$5:$AI$504,$B29,'Comms Calendar'!$AN$5:$AN$504,"Blackout",'Comms Calendar'!$AE$5:$AE$504,"&lt;&gt;Cancelled")</f>
        <v>0</v>
      </c>
    </row>
    <row r="30" customFormat="false" ht="15" hidden="false" customHeight="false" outlineLevel="0" collapsed="false">
      <c r="B30" s="43" t="n">
        <f aca="false">B29+7</f>
        <v>46468</v>
      </c>
      <c r="C30" s="44" t="n">
        <f aca="false">COUNTIFS('Comms Calendar'!$AI$5:$AI$504,$B30,'Comms Calendar'!$B$5:$B$504,"AMER",'Comms Calendar'!$AE$5:$AE$504,"&lt;&gt;Cancelled")</f>
        <v>0</v>
      </c>
      <c r="D30" s="44" t="n">
        <f aca="false">COUNTIFS('Comms Calendar'!$AI$5:$AI$504,$B30,'Comms Calendar'!$B$5:$B$504,"EMEA",'Comms Calendar'!$AE$5:$AE$504,"&lt;&gt;Cancelled")</f>
        <v>0</v>
      </c>
      <c r="E30" s="44" t="n">
        <f aca="false">COUNTIFS('Comms Calendar'!$AI$5:$AI$504,$B30,'Comms Calendar'!$B$5:$B$504,"APAC",'Comms Calendar'!$AE$5:$AE$504,"&lt;&gt;Cancelled")</f>
        <v>0</v>
      </c>
      <c r="F30" s="44" t="n">
        <f aca="false">COUNTIFS('Comms Calendar'!$AI$5:$AI$504,$B30,'Comms Calendar'!$B$5:$B$504,"Global",'Comms Calendar'!$AE$5:$AE$504,"&lt;&gt;Cancelled")</f>
        <v>0</v>
      </c>
      <c r="G30" s="45" t="n">
        <f aca="false">SUM(C30:F30)</f>
        <v>0</v>
      </c>
      <c r="H30" s="44" t="n">
        <f aca="false">COUNTIFS('Comms Calendar'!$AI$5:$AI$504,$B30,'Comms Calendar'!$AR$5:$AR$504,"Webinar",'Comms Calendar'!$AE$5:$AE$504,"&lt;&gt;Cancelled")</f>
        <v>0</v>
      </c>
      <c r="I30" s="44" t="n">
        <f aca="false">COUNTIFS('Comms Calendar'!$AI$5:$AI$504,$B30,'Comms Calendar'!$AR$5:$AR$504,"Email",'Comms Calendar'!$AE$5:$AE$504,"&lt;&gt;Cancelled")</f>
        <v>0</v>
      </c>
      <c r="J30" s="44" t="n">
        <f aca="false">COUNTIFS('Comms Calendar'!$AI$5:$AI$504,$B30,'Comms Calendar'!$AR$5:$AR$504,"Social",'Comms Calendar'!$AE$5:$AE$504,"&lt;&gt;Cancelled")</f>
        <v>0</v>
      </c>
      <c r="K30" s="44" t="n">
        <f aca="false">COUNTIFS('Comms Calendar'!$AI$5:$AI$504,$B30,'Comms Calendar'!$AR$5:$AR$504,"Event",'Comms Calendar'!$AE$5:$AE$504,"&lt;&gt;Cancelled")</f>
        <v>0</v>
      </c>
      <c r="L30" s="44" t="n">
        <f aca="false">COUNTIFS('Comms Calendar'!$AI$5:$AI$504,$B30,'Comms Calendar'!$E$5:$E$504,"Customer",'Comms Calendar'!$AE$5:$AE$504,"&lt;&gt;Cancelled")+COUNTIFS('Comms Calendar'!$AI$5:$AI$504,$B30,'Comms Calendar'!$E$5:$E$504,"Customer + Prospect",'Comms Calendar'!$AE$5:$AE$504,"&lt;&gt;Cancelled")</f>
        <v>0</v>
      </c>
      <c r="M30" s="44" t="n">
        <f aca="false">COUNTIFS('Comms Calendar'!$AI$5:$AI$504,$B30,'Comms Calendar'!$AF$5:$AF$504,"In Progress")+COUNTIFS('Comms Calendar'!$AI$5:$AI$504,$B30,'Comms Calendar'!$AF$5:$AF$504,"At Risk")+COUNTIFS('Comms Calendar'!$AI$5:$AI$504,$B30,'Comms Calendar'!$AF$5:$AF$504,"Overdue")</f>
        <v>0</v>
      </c>
      <c r="N30" s="44" t="n">
        <f aca="false">COUNTIFS('Comms Calendar'!$AI$5:$AI$504,$B30,'Comms Calendar'!$AB$5:$AB$504,"Yes",'Comms Calendar'!$AE$5:$AE$504,"&lt;&gt;Cancelled")</f>
        <v>0</v>
      </c>
      <c r="O30" s="44" t="n">
        <f aca="false">COUNTIFS('Comms Calendar'!$AI$5:$AI$504,$B30,'Comms Calendar'!$AL$5:$AL$504,"Over cap",'Comms Calendar'!$AE$5:$AE$504,"&lt;&gt;Cancelled")</f>
        <v>0</v>
      </c>
      <c r="P30" s="44" t="n">
        <f aca="false">COUNTIFS('Comms Calendar'!$AI$5:$AI$504,$B30,'Comms Calendar'!$AM$5:$AM$504,"Clash",'Comms Calendar'!$AE$5:$AE$504,"&lt;&gt;Cancelled")</f>
        <v>0</v>
      </c>
      <c r="Q30" s="44" t="n">
        <f aca="false">COUNTIFS('Comms Calendar'!$AI$5:$AI$504,$B30,'Comms Calendar'!$AN$5:$AN$504,"Blackout",'Comms Calendar'!$AE$5:$AE$504,"&lt;&gt;Cancelled")</f>
        <v>0</v>
      </c>
    </row>
    <row r="31" customFormat="false" ht="15" hidden="false" customHeight="false" outlineLevel="0" collapsed="false">
      <c r="B31" s="46" t="n">
        <f aca="false">B30+7</f>
        <v>46475</v>
      </c>
      <c r="C31" s="47" t="n">
        <f aca="false">COUNTIFS('Comms Calendar'!$AI$5:$AI$504,$B31,'Comms Calendar'!$B$5:$B$504,"AMER",'Comms Calendar'!$AE$5:$AE$504,"&lt;&gt;Cancelled")</f>
        <v>0</v>
      </c>
      <c r="D31" s="47" t="n">
        <f aca="false">COUNTIFS('Comms Calendar'!$AI$5:$AI$504,$B31,'Comms Calendar'!$B$5:$B$504,"EMEA",'Comms Calendar'!$AE$5:$AE$504,"&lt;&gt;Cancelled")</f>
        <v>0</v>
      </c>
      <c r="E31" s="47" t="n">
        <f aca="false">COUNTIFS('Comms Calendar'!$AI$5:$AI$504,$B31,'Comms Calendar'!$B$5:$B$504,"APAC",'Comms Calendar'!$AE$5:$AE$504,"&lt;&gt;Cancelled")</f>
        <v>0</v>
      </c>
      <c r="F31" s="47" t="n">
        <f aca="false">COUNTIFS('Comms Calendar'!$AI$5:$AI$504,$B31,'Comms Calendar'!$B$5:$B$504,"Global",'Comms Calendar'!$AE$5:$AE$504,"&lt;&gt;Cancelled")</f>
        <v>0</v>
      </c>
      <c r="G31" s="48" t="n">
        <f aca="false">SUM(C31:F31)</f>
        <v>0</v>
      </c>
      <c r="H31" s="47" t="n">
        <f aca="false">COUNTIFS('Comms Calendar'!$AI$5:$AI$504,$B31,'Comms Calendar'!$AR$5:$AR$504,"Webinar",'Comms Calendar'!$AE$5:$AE$504,"&lt;&gt;Cancelled")</f>
        <v>0</v>
      </c>
      <c r="I31" s="47" t="n">
        <f aca="false">COUNTIFS('Comms Calendar'!$AI$5:$AI$504,$B31,'Comms Calendar'!$AR$5:$AR$504,"Email",'Comms Calendar'!$AE$5:$AE$504,"&lt;&gt;Cancelled")</f>
        <v>0</v>
      </c>
      <c r="J31" s="47" t="n">
        <f aca="false">COUNTIFS('Comms Calendar'!$AI$5:$AI$504,$B31,'Comms Calendar'!$AR$5:$AR$504,"Social",'Comms Calendar'!$AE$5:$AE$504,"&lt;&gt;Cancelled")</f>
        <v>0</v>
      </c>
      <c r="K31" s="47" t="n">
        <f aca="false">COUNTIFS('Comms Calendar'!$AI$5:$AI$504,$B31,'Comms Calendar'!$AR$5:$AR$504,"Event",'Comms Calendar'!$AE$5:$AE$504,"&lt;&gt;Cancelled")</f>
        <v>0</v>
      </c>
      <c r="L31" s="47" t="n">
        <f aca="false">COUNTIFS('Comms Calendar'!$AI$5:$AI$504,$B31,'Comms Calendar'!$E$5:$E$504,"Customer",'Comms Calendar'!$AE$5:$AE$504,"&lt;&gt;Cancelled")+COUNTIFS('Comms Calendar'!$AI$5:$AI$504,$B31,'Comms Calendar'!$E$5:$E$504,"Customer + Prospect",'Comms Calendar'!$AE$5:$AE$504,"&lt;&gt;Cancelled")</f>
        <v>0</v>
      </c>
      <c r="M31" s="47" t="n">
        <f aca="false">COUNTIFS('Comms Calendar'!$AI$5:$AI$504,$B31,'Comms Calendar'!$AF$5:$AF$504,"In Progress")+COUNTIFS('Comms Calendar'!$AI$5:$AI$504,$B31,'Comms Calendar'!$AF$5:$AF$504,"At Risk")+COUNTIFS('Comms Calendar'!$AI$5:$AI$504,$B31,'Comms Calendar'!$AF$5:$AF$504,"Overdue")</f>
        <v>0</v>
      </c>
      <c r="N31" s="47" t="n">
        <f aca="false">COUNTIFS('Comms Calendar'!$AI$5:$AI$504,$B31,'Comms Calendar'!$AB$5:$AB$504,"Yes",'Comms Calendar'!$AE$5:$AE$504,"&lt;&gt;Cancelled")</f>
        <v>0</v>
      </c>
      <c r="O31" s="47" t="n">
        <f aca="false">COUNTIFS('Comms Calendar'!$AI$5:$AI$504,$B31,'Comms Calendar'!$AL$5:$AL$504,"Over cap",'Comms Calendar'!$AE$5:$AE$504,"&lt;&gt;Cancelled")</f>
        <v>0</v>
      </c>
      <c r="P31" s="47" t="n">
        <f aca="false">COUNTIFS('Comms Calendar'!$AI$5:$AI$504,$B31,'Comms Calendar'!$AM$5:$AM$504,"Clash",'Comms Calendar'!$AE$5:$AE$504,"&lt;&gt;Cancelled")</f>
        <v>0</v>
      </c>
      <c r="Q31" s="47" t="n">
        <f aca="false">COUNTIFS('Comms Calendar'!$AI$5:$AI$504,$B31,'Comms Calendar'!$AN$5:$AN$504,"Blackout",'Comms Calendar'!$AE$5:$AE$504,"&lt;&gt;Cancelled")</f>
        <v>0</v>
      </c>
    </row>
    <row r="33" customFormat="false" ht="15" hidden="false" customHeight="false" outlineLevel="0" collapsed="false">
      <c r="B33" s="12" t="s">
        <v>328</v>
      </c>
    </row>
  </sheetData>
  <conditionalFormatting sqref="M6:Q31">
    <cfRule type="cellIs" priority="2" operator="greaterThan" aboveAverage="0" equalAverage="0" bottom="0" percent="0" rank="0" text="" dxfId="15">
      <formula>0</formula>
    </cfRule>
  </conditionalFormatting>
  <conditionalFormatting sqref="G6:G31">
    <cfRule type="cellIs" priority="3" operator="greaterThanOrEqual" aboveAverage="0" equalAverage="0" bottom="0" percent="0" rank="0" text="" dxfId="26">
      <formula>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7A"/>
    <pageSetUpPr fitToPage="false"/>
  </sheetPr>
  <dimension ref="B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0" min="3" style="0" width="16"/>
  </cols>
  <sheetData>
    <row r="1" customFormat="false" ht="19.7" hidden="false" customHeight="false" outlineLevel="0" collapsed="false">
      <c r="B1" s="11" t="s">
        <v>329</v>
      </c>
    </row>
    <row r="2" customFormat="false" ht="15" hidden="false" customHeight="false" outlineLevel="0" collapsed="false">
      <c r="B2" s="12" t="str">
        <f aca="true">"As of "&amp;TEXT(TODAY(),"dd mmm yyyy")&amp;" · excludes cancelled comms"</f>
        <v>As of 08 Oct 2026 · excludes cancelled comms</v>
      </c>
    </row>
    <row r="4" customFormat="false" ht="15" hidden="false" customHeight="false" outlineLevel="0" collapsed="false">
      <c r="B4" s="49" t="s">
        <v>330</v>
      </c>
    </row>
    <row r="5" customFormat="false" ht="15" hidden="false" customHeight="false" outlineLevel="0" collapsed="false">
      <c r="B5" s="50" t="s">
        <v>331</v>
      </c>
      <c r="C5" s="51" t="n">
        <f aca="false">COUNTIFS('Comms Calendar'!$O$5:$O$504,"&lt;&gt;",'Comms Calendar'!$AE$5:$AE$504,"&lt;&gt;Cancelled")</f>
        <v>15</v>
      </c>
    </row>
    <row r="6" customFormat="false" ht="15" hidden="false" customHeight="false" outlineLevel="0" collapsed="false">
      <c r="B6" s="50" t="s">
        <v>332</v>
      </c>
      <c r="C6" s="51" t="n">
        <f aca="true">COUNTIFS('Comms Calendar'!$O$5:$O$504,"&gt;="&amp;TODAY(),'Comms Calendar'!$O$5:$O$504,"&lt;"&amp;TODAY()+7,'Comms Calendar'!$AE$5:$AE$504,"&lt;&gt;Cancelled")</f>
        <v>3</v>
      </c>
    </row>
    <row r="7" customFormat="false" ht="15" hidden="false" customHeight="false" outlineLevel="0" collapsed="false">
      <c r="B7" s="50" t="s">
        <v>333</v>
      </c>
      <c r="C7" s="51" t="n">
        <f aca="true">COUNTIFS('Comms Calendar'!$O$5:$O$504,"&gt;="&amp;TODAY(),'Comms Calendar'!$O$5:$O$504,"&lt;"&amp;TODAY()+30,'Comms Calendar'!$AE$5:$AE$504,"&lt;&gt;Cancelled")</f>
        <v>10</v>
      </c>
    </row>
    <row r="8" customFormat="false" ht="15" hidden="false" customHeight="false" outlineLevel="0" collapsed="false">
      <c r="B8" s="50" t="s">
        <v>334</v>
      </c>
      <c r="C8" s="52" t="n">
        <f aca="false">IFERROR(COUNTIF('Comms Calendar'!$AF$5:$AF$504,"Ready")/(COUNTIF('Comms Calendar'!$AF$5:$AF$504,"Ready")+COUNTIF('Comms Calendar'!$AF$5:$AF$504,"In Progress")+COUNTIF('Comms Calendar'!$AF$5:$AF$504,"At Risk")+COUNTIF('Comms Calendar'!$AF$5:$AF$504,"Overdue")),0)</f>
        <v>0.333333333333333</v>
      </c>
    </row>
    <row r="9" customFormat="false" ht="15" hidden="false" customHeight="false" outlineLevel="0" collapsed="false">
      <c r="B9" s="50" t="s">
        <v>335</v>
      </c>
      <c r="C9" s="51" t="n">
        <f aca="false">COUNTIF('Comms Calendar'!$AF$5:$AF$504,"At Risk")+COUNTIF('Comms Calendar'!$AF$5:$AF$504,"Overdue")</f>
        <v>2</v>
      </c>
    </row>
    <row r="10" customFormat="false" ht="15" hidden="false" customHeight="false" outlineLevel="0" collapsed="false">
      <c r="B10" s="50" t="s">
        <v>336</v>
      </c>
      <c r="C10" s="51" t="n">
        <f aca="false">COUNTIFS('Comms Calendar'!$AB$5:$AB$504,"Yes",'Comms Calendar'!$AD$5:$AD$504,"&lt;&gt;Yes",'Comms Calendar'!$AE$5:$AE$504,"&lt;&gt;Launched",'Comms Calendar'!$AE$5:$AE$504,"&lt;&gt;Cancelled",'Comms Calendar'!$O$5:$O$504,"&lt;&gt;")</f>
        <v>8</v>
      </c>
    </row>
    <row r="11" customFormat="false" ht="15" hidden="false" customHeight="false" outlineLevel="0" collapsed="false">
      <c r="B11" s="50" t="s">
        <v>337</v>
      </c>
      <c r="C11" s="51" t="n">
        <f aca="false">COUNTIFS('Comms Calendar'!$AL$5:$AL$504,"Over cap",'Comms Calendar'!$AE$5:$AE$504,"&lt;&gt;Cancelled")</f>
        <v>3</v>
      </c>
    </row>
    <row r="12" customFormat="false" ht="15" hidden="false" customHeight="false" outlineLevel="0" collapsed="false">
      <c r="B12" s="50" t="s">
        <v>338</v>
      </c>
      <c r="C12" s="51" t="n">
        <f aca="false">COUNTIFS('Comms Calendar'!$AM$5:$AM$504,"Clash",'Comms Calendar'!$AE$5:$AE$504,"&lt;&gt;Cancelled")</f>
        <v>2</v>
      </c>
    </row>
    <row r="13" customFormat="false" ht="15" hidden="false" customHeight="false" outlineLevel="0" collapsed="false">
      <c r="B13" s="50" t="s">
        <v>339</v>
      </c>
      <c r="C13" s="51" t="n">
        <f aca="false">COUNTIFS('Comms Calendar'!$AN$5:$AN$504,"Blackout",'Comms Calendar'!$AE$5:$AE$504,"&lt;&gt;Cancelled")</f>
        <v>1</v>
      </c>
    </row>
    <row r="15" customFormat="false" ht="15" hidden="false" customHeight="false" outlineLevel="0" collapsed="false">
      <c r="B15" s="49" t="s">
        <v>340</v>
      </c>
    </row>
    <row r="16" customFormat="false" ht="15" hidden="false" customHeight="false" outlineLevel="0" collapsed="false">
      <c r="B16" s="22" t="s">
        <v>73</v>
      </c>
      <c r="C16" s="22" t="s">
        <v>167</v>
      </c>
      <c r="D16" s="22" t="s">
        <v>341</v>
      </c>
      <c r="E16" s="22" t="s">
        <v>320</v>
      </c>
      <c r="F16" s="22" t="s">
        <v>342</v>
      </c>
      <c r="G16" s="22" t="s">
        <v>343</v>
      </c>
      <c r="H16" s="22" t="s">
        <v>344</v>
      </c>
      <c r="I16" s="22" t="s">
        <v>345</v>
      </c>
      <c r="J16" s="22" t="s">
        <v>317</v>
      </c>
    </row>
    <row r="17" customFormat="false" ht="15" hidden="false" customHeight="false" outlineLevel="0" collapsed="false">
      <c r="B17" s="53" t="s">
        <v>117</v>
      </c>
      <c r="C17" s="54" t="n">
        <f aca="false">COUNTIFS('Comms Calendar'!$B$5:$B$504,"AMER",'Comms Calendar'!$AR$5:$AR$504,"Webinar",'Comms Calendar'!$AE$5:$AE$504,"&lt;&gt;Cancelled")</f>
        <v>1</v>
      </c>
      <c r="D17" s="54" t="n">
        <f aca="false">COUNTIFS('Comms Calendar'!$B$5:$B$504,"AMER",'Comms Calendar'!$AR$5:$AR$504,"Email",'Comms Calendar'!$AE$5:$AE$504,"&lt;&gt;Cancelled")</f>
        <v>4</v>
      </c>
      <c r="E17" s="54" t="n">
        <f aca="false">COUNTIFS('Comms Calendar'!$B$5:$B$504,"AMER",'Comms Calendar'!$AR$5:$AR$504,"Social",'Comms Calendar'!$AE$5:$AE$504,"&lt;&gt;Cancelled")</f>
        <v>0</v>
      </c>
      <c r="F17" s="54" t="n">
        <f aca="false">COUNTIFS('Comms Calendar'!$B$5:$B$504,"AMER",'Comms Calendar'!$AR$5:$AR$504,"Event",'Comms Calendar'!$AE$5:$AE$504,"&lt;&gt;Cancelled")</f>
        <v>0</v>
      </c>
      <c r="G17" s="54" t="n">
        <f aca="false">COUNTIFS('Comms Calendar'!$B$5:$B$504,"AMER",'Comms Calendar'!$AR$5:$AR$504,"PR",'Comms Calendar'!$AE$5:$AE$504,"&lt;&gt;Cancelled")</f>
        <v>0</v>
      </c>
      <c r="H17" s="54" t="n">
        <f aca="false">COUNTIFS('Comms Calendar'!$B$5:$B$504,"AMER",'Comms Calendar'!$AR$5:$AR$504,"In-app",'Comms Calendar'!$AE$5:$AE$504,"&lt;&gt;Cancelled")</f>
        <v>0</v>
      </c>
      <c r="I17" s="54" t="n">
        <f aca="false">COUNTIFS('Comms Calendar'!$B$5:$B$504,"AMER",'Comms Calendar'!$O$5:$O$504,"&lt;&gt;",'Comms Calendar'!$AE$5:$AE$504,"&lt;&gt;Cancelled")-SUM(C17:H17)</f>
        <v>0</v>
      </c>
      <c r="J17" s="53" t="n">
        <f aca="false">SUM(C17:I17)</f>
        <v>5</v>
      </c>
    </row>
    <row r="18" customFormat="false" ht="15" hidden="false" customHeight="false" outlineLevel="0" collapsed="false">
      <c r="B18" s="53" t="s">
        <v>178</v>
      </c>
      <c r="C18" s="54" t="n">
        <f aca="false">COUNTIFS('Comms Calendar'!$B$5:$B$504,"EMEA",'Comms Calendar'!$AR$5:$AR$504,"Webinar",'Comms Calendar'!$AE$5:$AE$504,"&lt;&gt;Cancelled")</f>
        <v>1</v>
      </c>
      <c r="D18" s="54" t="n">
        <f aca="false">COUNTIFS('Comms Calendar'!$B$5:$B$504,"EMEA",'Comms Calendar'!$AR$5:$AR$504,"Email",'Comms Calendar'!$AE$5:$AE$504,"&lt;&gt;Cancelled")</f>
        <v>1</v>
      </c>
      <c r="E18" s="54" t="n">
        <f aca="false">COUNTIFS('Comms Calendar'!$B$5:$B$504,"EMEA",'Comms Calendar'!$AR$5:$AR$504,"Social",'Comms Calendar'!$AE$5:$AE$504,"&lt;&gt;Cancelled")</f>
        <v>0</v>
      </c>
      <c r="F18" s="54" t="n">
        <f aca="false">COUNTIFS('Comms Calendar'!$B$5:$B$504,"EMEA",'Comms Calendar'!$AR$5:$AR$504,"Event",'Comms Calendar'!$AE$5:$AE$504,"&lt;&gt;Cancelled")</f>
        <v>1</v>
      </c>
      <c r="G18" s="54" t="n">
        <f aca="false">COUNTIFS('Comms Calendar'!$B$5:$B$504,"EMEA",'Comms Calendar'!$AR$5:$AR$504,"PR",'Comms Calendar'!$AE$5:$AE$504,"&lt;&gt;Cancelled")</f>
        <v>0</v>
      </c>
      <c r="H18" s="54" t="n">
        <f aca="false">COUNTIFS('Comms Calendar'!$B$5:$B$504,"EMEA",'Comms Calendar'!$AR$5:$AR$504,"In-app",'Comms Calendar'!$AE$5:$AE$504,"&lt;&gt;Cancelled")</f>
        <v>0</v>
      </c>
      <c r="I18" s="54" t="n">
        <f aca="false">COUNTIFS('Comms Calendar'!$B$5:$B$504,"EMEA",'Comms Calendar'!$O$5:$O$504,"&lt;&gt;",'Comms Calendar'!$AE$5:$AE$504,"&lt;&gt;Cancelled")-SUM(C18:H18)</f>
        <v>0</v>
      </c>
      <c r="J18" s="53" t="n">
        <f aca="false">SUM(C18:I18)</f>
        <v>3</v>
      </c>
    </row>
    <row r="19" customFormat="false" ht="15" hidden="false" customHeight="false" outlineLevel="0" collapsed="false">
      <c r="B19" s="53" t="s">
        <v>217</v>
      </c>
      <c r="C19" s="54" t="n">
        <f aca="false">COUNTIFS('Comms Calendar'!$B$5:$B$504,"APAC",'Comms Calendar'!$AR$5:$AR$504,"Webinar",'Comms Calendar'!$AE$5:$AE$504,"&lt;&gt;Cancelled")</f>
        <v>1</v>
      </c>
      <c r="D19" s="54" t="n">
        <f aca="false">COUNTIFS('Comms Calendar'!$B$5:$B$504,"APAC",'Comms Calendar'!$AR$5:$AR$504,"Email",'Comms Calendar'!$AE$5:$AE$504,"&lt;&gt;Cancelled")</f>
        <v>1</v>
      </c>
      <c r="E19" s="54" t="n">
        <f aca="false">COUNTIFS('Comms Calendar'!$B$5:$B$504,"APAC",'Comms Calendar'!$AR$5:$AR$504,"Social",'Comms Calendar'!$AE$5:$AE$504,"&lt;&gt;Cancelled")</f>
        <v>0</v>
      </c>
      <c r="F19" s="54" t="n">
        <f aca="false">COUNTIFS('Comms Calendar'!$B$5:$B$504,"APAC",'Comms Calendar'!$AR$5:$AR$504,"Event",'Comms Calendar'!$AE$5:$AE$504,"&lt;&gt;Cancelled")</f>
        <v>0</v>
      </c>
      <c r="G19" s="54" t="n">
        <f aca="false">COUNTIFS('Comms Calendar'!$B$5:$B$504,"APAC",'Comms Calendar'!$AR$5:$AR$504,"PR",'Comms Calendar'!$AE$5:$AE$504,"&lt;&gt;Cancelled")</f>
        <v>0</v>
      </c>
      <c r="H19" s="54" t="n">
        <f aca="false">COUNTIFS('Comms Calendar'!$B$5:$B$504,"APAC",'Comms Calendar'!$AR$5:$AR$504,"In-app",'Comms Calendar'!$AE$5:$AE$504,"&lt;&gt;Cancelled")</f>
        <v>0</v>
      </c>
      <c r="I19" s="54" t="n">
        <f aca="false">COUNTIFS('Comms Calendar'!$B$5:$B$504,"APAC",'Comms Calendar'!$O$5:$O$504,"&lt;&gt;",'Comms Calendar'!$AE$5:$AE$504,"&lt;&gt;Cancelled")-SUM(C19:H19)</f>
        <v>0</v>
      </c>
      <c r="J19" s="53" t="n">
        <f aca="false">SUM(C19:I19)</f>
        <v>2</v>
      </c>
    </row>
    <row r="20" customFormat="false" ht="15" hidden="false" customHeight="false" outlineLevel="0" collapsed="false">
      <c r="B20" s="53" t="s">
        <v>246</v>
      </c>
      <c r="C20" s="54" t="n">
        <f aca="false">COUNTIFS('Comms Calendar'!$B$5:$B$504,"Global",'Comms Calendar'!$AR$5:$AR$504,"Webinar",'Comms Calendar'!$AE$5:$AE$504,"&lt;&gt;Cancelled")</f>
        <v>0</v>
      </c>
      <c r="D20" s="54" t="n">
        <f aca="false">COUNTIFS('Comms Calendar'!$B$5:$B$504,"Global",'Comms Calendar'!$AR$5:$AR$504,"Email",'Comms Calendar'!$AE$5:$AE$504,"&lt;&gt;Cancelled")</f>
        <v>2</v>
      </c>
      <c r="E20" s="54" t="n">
        <f aca="false">COUNTIFS('Comms Calendar'!$B$5:$B$504,"Global",'Comms Calendar'!$AR$5:$AR$504,"Social",'Comms Calendar'!$AE$5:$AE$504,"&lt;&gt;Cancelled")</f>
        <v>1</v>
      </c>
      <c r="F20" s="54" t="n">
        <f aca="false">COUNTIFS('Comms Calendar'!$B$5:$B$504,"Global",'Comms Calendar'!$AR$5:$AR$504,"Event",'Comms Calendar'!$AE$5:$AE$504,"&lt;&gt;Cancelled")</f>
        <v>0</v>
      </c>
      <c r="G20" s="54" t="n">
        <f aca="false">COUNTIFS('Comms Calendar'!$B$5:$B$504,"Global",'Comms Calendar'!$AR$5:$AR$504,"PR",'Comms Calendar'!$AE$5:$AE$504,"&lt;&gt;Cancelled")</f>
        <v>1</v>
      </c>
      <c r="H20" s="54" t="n">
        <f aca="false">COUNTIFS('Comms Calendar'!$B$5:$B$504,"Global",'Comms Calendar'!$AR$5:$AR$504,"In-app",'Comms Calendar'!$AE$5:$AE$504,"&lt;&gt;Cancelled")</f>
        <v>1</v>
      </c>
      <c r="I20" s="54" t="n">
        <f aca="false">COUNTIFS('Comms Calendar'!$B$5:$B$504,"Global",'Comms Calendar'!$O$5:$O$504,"&lt;&gt;",'Comms Calendar'!$AE$5:$AE$504,"&lt;&gt;Cancelled")-SUM(C20:H20)</f>
        <v>0</v>
      </c>
      <c r="J20" s="53" t="n">
        <f aca="false">SUM(C20:I20)</f>
        <v>5</v>
      </c>
    </row>
    <row r="21" customFormat="false" ht="15" hidden="false" customHeight="false" outlineLevel="0" collapsed="false">
      <c r="B21" s="53" t="s">
        <v>317</v>
      </c>
      <c r="C21" s="53" t="n">
        <f aca="false">SUM(C17:C20)</f>
        <v>3</v>
      </c>
      <c r="D21" s="53" t="n">
        <f aca="false">SUM(D17:D20)</f>
        <v>8</v>
      </c>
      <c r="E21" s="53" t="n">
        <f aca="false">SUM(E17:E20)</f>
        <v>1</v>
      </c>
      <c r="F21" s="53" t="n">
        <f aca="false">SUM(F17:F20)</f>
        <v>1</v>
      </c>
      <c r="G21" s="53" t="n">
        <f aca="false">SUM(G17:G20)</f>
        <v>1</v>
      </c>
      <c r="H21" s="53" t="n">
        <f aca="false">SUM(H17:H20)</f>
        <v>1</v>
      </c>
      <c r="I21" s="53" t="n">
        <f aca="false">SUM(I17:I20)</f>
        <v>0</v>
      </c>
      <c r="J21" s="53" t="n">
        <f aca="false">SUM(C21:I21)</f>
        <v>15</v>
      </c>
    </row>
    <row r="23" customFormat="false" ht="15" hidden="false" customHeight="false" outlineLevel="0" collapsed="false">
      <c r="B23" s="49" t="s">
        <v>346</v>
      </c>
    </row>
    <row r="24" customFormat="false" ht="15" hidden="false" customHeight="false" outlineLevel="0" collapsed="false">
      <c r="B24" s="22" t="s">
        <v>73</v>
      </c>
      <c r="C24" s="55" t="s">
        <v>46</v>
      </c>
      <c r="D24" s="56" t="s">
        <v>347</v>
      </c>
      <c r="E24" s="57" t="s">
        <v>48</v>
      </c>
      <c r="F24" s="58" t="s">
        <v>50</v>
      </c>
      <c r="G24" s="22" t="s">
        <v>348</v>
      </c>
      <c r="H24" s="22" t="s">
        <v>349</v>
      </c>
      <c r="I24" s="22" t="s">
        <v>336</v>
      </c>
    </row>
    <row r="25" customFormat="false" ht="15" hidden="false" customHeight="false" outlineLevel="0" collapsed="false">
      <c r="B25" s="53" t="s">
        <v>117</v>
      </c>
      <c r="C25" s="54" t="n">
        <f aca="false">COUNTIFS('Comms Calendar'!$B$5:$B$504,"AMER",'Comms Calendar'!$AF$5:$AF$504,"Ready")</f>
        <v>3</v>
      </c>
      <c r="D25" s="54" t="n">
        <f aca="false">COUNTIFS('Comms Calendar'!$B$5:$B$504,"AMER",'Comms Calendar'!$AF$5:$AF$504,"In Progress")</f>
        <v>1</v>
      </c>
      <c r="E25" s="54" t="n">
        <f aca="false">COUNTIFS('Comms Calendar'!$B$5:$B$504,"AMER",'Comms Calendar'!$AF$5:$AF$504,"At Risk")</f>
        <v>1</v>
      </c>
      <c r="F25" s="54" t="n">
        <f aca="false">COUNTIFS('Comms Calendar'!$B$5:$B$504,"AMER",'Comms Calendar'!$AF$5:$AF$504,"Overdue")</f>
        <v>0</v>
      </c>
      <c r="G25" s="54" t="n">
        <f aca="false">COUNTIFS('Comms Calendar'!$B$5:$B$504,"AMER",'Comms Calendar'!$AF$5:$AF$504,"On hold")</f>
        <v>0</v>
      </c>
      <c r="H25" s="54" t="n">
        <f aca="false">COUNTIFS('Comms Calendar'!$B$5:$B$504,"AMER",'Comms Calendar'!$AF$5:$AF$504,"Launched")</f>
        <v>0</v>
      </c>
      <c r="I25" s="54" t="n">
        <f aca="false">COUNTIFS('Comms Calendar'!$B$5:$B$504,"AMER",'Comms Calendar'!$AB$5:$AB$504,"Yes",'Comms Calendar'!$AD$5:$AD$504,"&lt;&gt;Yes",'Comms Calendar'!$AE$5:$AE$504,"&lt;&gt;Launched",'Comms Calendar'!$AE$5:$AE$504,"&lt;&gt;Cancelled",'Comms Calendar'!$O$5:$O$504,"&lt;&gt;")</f>
        <v>2</v>
      </c>
    </row>
    <row r="26" customFormat="false" ht="15" hidden="false" customHeight="false" outlineLevel="0" collapsed="false">
      <c r="B26" s="53" t="s">
        <v>178</v>
      </c>
      <c r="C26" s="54" t="n">
        <f aca="false">COUNTIFS('Comms Calendar'!$B$5:$B$504,"EMEA",'Comms Calendar'!$AF$5:$AF$504,"Ready")</f>
        <v>1</v>
      </c>
      <c r="D26" s="54" t="n">
        <f aca="false">COUNTIFS('Comms Calendar'!$B$5:$B$504,"EMEA",'Comms Calendar'!$AF$5:$AF$504,"In Progress")</f>
        <v>1</v>
      </c>
      <c r="E26" s="54" t="n">
        <f aca="false">COUNTIFS('Comms Calendar'!$B$5:$B$504,"EMEA",'Comms Calendar'!$AF$5:$AF$504,"At Risk")</f>
        <v>1</v>
      </c>
      <c r="F26" s="54" t="n">
        <f aca="false">COUNTIFS('Comms Calendar'!$B$5:$B$504,"EMEA",'Comms Calendar'!$AF$5:$AF$504,"Overdue")</f>
        <v>0</v>
      </c>
      <c r="G26" s="54" t="n">
        <f aca="false">COUNTIFS('Comms Calendar'!$B$5:$B$504,"EMEA",'Comms Calendar'!$AF$5:$AF$504,"On hold")</f>
        <v>0</v>
      </c>
      <c r="H26" s="54" t="n">
        <f aca="false">COUNTIFS('Comms Calendar'!$B$5:$B$504,"EMEA",'Comms Calendar'!$AF$5:$AF$504,"Launched")</f>
        <v>0</v>
      </c>
      <c r="I26" s="54" t="n">
        <f aca="false">COUNTIFS('Comms Calendar'!$B$5:$B$504,"EMEA",'Comms Calendar'!$AB$5:$AB$504,"Yes",'Comms Calendar'!$AD$5:$AD$504,"&lt;&gt;Yes",'Comms Calendar'!$AE$5:$AE$504,"&lt;&gt;Launched",'Comms Calendar'!$AE$5:$AE$504,"&lt;&gt;Cancelled",'Comms Calendar'!$O$5:$O$504,"&lt;&gt;")</f>
        <v>2</v>
      </c>
    </row>
    <row r="27" customFormat="false" ht="15" hidden="false" customHeight="false" outlineLevel="0" collapsed="false">
      <c r="B27" s="53" t="s">
        <v>217</v>
      </c>
      <c r="C27" s="54" t="n">
        <f aca="false">COUNTIFS('Comms Calendar'!$B$5:$B$504,"APAC",'Comms Calendar'!$AF$5:$AF$504,"Ready")</f>
        <v>0</v>
      </c>
      <c r="D27" s="54" t="n">
        <f aca="false">COUNTIFS('Comms Calendar'!$B$5:$B$504,"APAC",'Comms Calendar'!$AF$5:$AF$504,"In Progress")</f>
        <v>2</v>
      </c>
      <c r="E27" s="54" t="n">
        <f aca="false">COUNTIFS('Comms Calendar'!$B$5:$B$504,"APAC",'Comms Calendar'!$AF$5:$AF$504,"At Risk")</f>
        <v>0</v>
      </c>
      <c r="F27" s="54" t="n">
        <f aca="false">COUNTIFS('Comms Calendar'!$B$5:$B$504,"APAC",'Comms Calendar'!$AF$5:$AF$504,"Overdue")</f>
        <v>0</v>
      </c>
      <c r="G27" s="54" t="n">
        <f aca="false">COUNTIFS('Comms Calendar'!$B$5:$B$504,"APAC",'Comms Calendar'!$AF$5:$AF$504,"On hold")</f>
        <v>0</v>
      </c>
      <c r="H27" s="54" t="n">
        <f aca="false">COUNTIFS('Comms Calendar'!$B$5:$B$504,"APAC",'Comms Calendar'!$AF$5:$AF$504,"Launched")</f>
        <v>0</v>
      </c>
      <c r="I27" s="54" t="n">
        <f aca="false">COUNTIFS('Comms Calendar'!$B$5:$B$504,"APAC",'Comms Calendar'!$AB$5:$AB$504,"Yes",'Comms Calendar'!$AD$5:$AD$504,"&lt;&gt;Yes",'Comms Calendar'!$AE$5:$AE$504,"&lt;&gt;Launched",'Comms Calendar'!$AE$5:$AE$504,"&lt;&gt;Cancelled",'Comms Calendar'!$O$5:$O$504,"&lt;&gt;")</f>
        <v>2</v>
      </c>
    </row>
    <row r="28" customFormat="false" ht="15" hidden="false" customHeight="false" outlineLevel="0" collapsed="false">
      <c r="B28" s="53" t="s">
        <v>246</v>
      </c>
      <c r="C28" s="54" t="n">
        <f aca="false">COUNTIFS('Comms Calendar'!$B$5:$B$504,"Global",'Comms Calendar'!$AF$5:$AF$504,"Ready")</f>
        <v>1</v>
      </c>
      <c r="D28" s="54" t="n">
        <f aca="false">COUNTIFS('Comms Calendar'!$B$5:$B$504,"Global",'Comms Calendar'!$AF$5:$AF$504,"In Progress")</f>
        <v>4</v>
      </c>
      <c r="E28" s="54" t="n">
        <f aca="false">COUNTIFS('Comms Calendar'!$B$5:$B$504,"Global",'Comms Calendar'!$AF$5:$AF$504,"At Risk")</f>
        <v>0</v>
      </c>
      <c r="F28" s="54" t="n">
        <f aca="false">COUNTIFS('Comms Calendar'!$B$5:$B$504,"Global",'Comms Calendar'!$AF$5:$AF$504,"Overdue")</f>
        <v>0</v>
      </c>
      <c r="G28" s="54" t="n">
        <f aca="false">COUNTIFS('Comms Calendar'!$B$5:$B$504,"Global",'Comms Calendar'!$AF$5:$AF$504,"On hold")</f>
        <v>0</v>
      </c>
      <c r="H28" s="54" t="n">
        <f aca="false">COUNTIFS('Comms Calendar'!$B$5:$B$504,"Global",'Comms Calendar'!$AF$5:$AF$504,"Launched")</f>
        <v>0</v>
      </c>
      <c r="I28" s="54" t="n">
        <f aca="false">COUNTIFS('Comms Calendar'!$B$5:$B$504,"Global",'Comms Calendar'!$AB$5:$AB$504,"Yes",'Comms Calendar'!$AD$5:$AD$504,"&lt;&gt;Yes",'Comms Calendar'!$AE$5:$AE$504,"&lt;&gt;Launched",'Comms Calendar'!$AE$5:$AE$504,"&lt;&gt;Cancelled",'Comms Calendar'!$O$5:$O$504,"&lt;&gt;")</f>
        <v>2</v>
      </c>
    </row>
    <row r="29" customFormat="false" ht="15" hidden="false" customHeight="false" outlineLevel="0" collapsed="false">
      <c r="B29" s="53" t="s">
        <v>317</v>
      </c>
      <c r="C29" s="53" t="n">
        <f aca="false">SUM(C25:C28)</f>
        <v>5</v>
      </c>
      <c r="D29" s="53" t="n">
        <f aca="false">SUM(D25:D28)</f>
        <v>8</v>
      </c>
      <c r="E29" s="53" t="n">
        <f aca="false">SUM(E25:E28)</f>
        <v>2</v>
      </c>
      <c r="F29" s="53" t="n">
        <f aca="false">SUM(F25:F28)</f>
        <v>0</v>
      </c>
      <c r="G29" s="53" t="n">
        <f aca="false">SUM(G25:G28)</f>
        <v>0</v>
      </c>
      <c r="H29" s="53" t="n">
        <f aca="false">SUM(H25:H28)</f>
        <v>0</v>
      </c>
      <c r="I29" s="53" t="n">
        <f aca="false">SUM(I25:I28)</f>
        <v>8</v>
      </c>
    </row>
    <row r="31" customFormat="false" ht="15" hidden="false" customHeight="false" outlineLevel="0" collapsed="false">
      <c r="B31" s="49" t="s">
        <v>350</v>
      </c>
    </row>
    <row r="32" customFormat="false" ht="15" hidden="false" customHeight="false" outlineLevel="0" collapsed="false">
      <c r="B32" s="22" t="s">
        <v>73</v>
      </c>
      <c r="C32" s="59" t="n">
        <f aca="true">DATE(YEAR(TODAY()),MONTH(TODAY()),1)</f>
        <v>46296</v>
      </c>
      <c r="D32" s="59" t="n">
        <f aca="false">EDATE(C32,1)</f>
        <v>46327</v>
      </c>
      <c r="E32" s="59" t="n">
        <f aca="false">EDATE(D32,1)</f>
        <v>46357</v>
      </c>
      <c r="F32" s="59" t="n">
        <f aca="false">EDATE(E32,1)</f>
        <v>46388</v>
      </c>
      <c r="G32" s="59" t="n">
        <f aca="false">EDATE(F32,1)</f>
        <v>46419</v>
      </c>
      <c r="H32" s="59" t="n">
        <f aca="false">EDATE(G32,1)</f>
        <v>46447</v>
      </c>
    </row>
    <row r="33" customFormat="false" ht="15" hidden="false" customHeight="false" outlineLevel="0" collapsed="false">
      <c r="B33" s="53" t="s">
        <v>117</v>
      </c>
      <c r="C33" s="54" t="n">
        <f aca="false">COUNTIFS('Comms Calendar'!$B$5:$B$504,"AMER",'Comms Calendar'!$AJ$5:$AJ$504,C$32,'Comms Calendar'!$AE$5:$AE$504,"&lt;&gt;Cancelled")</f>
        <v>4</v>
      </c>
      <c r="D33" s="54" t="n">
        <f aca="false">COUNTIFS('Comms Calendar'!$B$5:$B$504,"AMER",'Comms Calendar'!$AJ$5:$AJ$504,D$32,'Comms Calendar'!$AE$5:$AE$504,"&lt;&gt;Cancelled")</f>
        <v>1</v>
      </c>
      <c r="E33" s="54" t="n">
        <f aca="false">COUNTIFS('Comms Calendar'!$B$5:$B$504,"AMER",'Comms Calendar'!$AJ$5:$AJ$504,E$32,'Comms Calendar'!$AE$5:$AE$504,"&lt;&gt;Cancelled")</f>
        <v>0</v>
      </c>
      <c r="F33" s="54" t="n">
        <f aca="false">COUNTIFS('Comms Calendar'!$B$5:$B$504,"AMER",'Comms Calendar'!$AJ$5:$AJ$504,F$32,'Comms Calendar'!$AE$5:$AE$504,"&lt;&gt;Cancelled")</f>
        <v>0</v>
      </c>
      <c r="G33" s="54" t="n">
        <f aca="false">COUNTIFS('Comms Calendar'!$B$5:$B$504,"AMER",'Comms Calendar'!$AJ$5:$AJ$504,G$32,'Comms Calendar'!$AE$5:$AE$504,"&lt;&gt;Cancelled")</f>
        <v>0</v>
      </c>
      <c r="H33" s="54" t="n">
        <f aca="false">COUNTIFS('Comms Calendar'!$B$5:$B$504,"AMER",'Comms Calendar'!$AJ$5:$AJ$504,H$32,'Comms Calendar'!$AE$5:$AE$504,"&lt;&gt;Cancelled")</f>
        <v>0</v>
      </c>
    </row>
    <row r="34" customFormat="false" ht="15" hidden="false" customHeight="false" outlineLevel="0" collapsed="false">
      <c r="B34" s="53" t="s">
        <v>178</v>
      </c>
      <c r="C34" s="54" t="n">
        <f aca="false">COUNTIFS('Comms Calendar'!$B$5:$B$504,"EMEA",'Comms Calendar'!$AJ$5:$AJ$504,C$32,'Comms Calendar'!$AE$5:$AE$504,"&lt;&gt;Cancelled")</f>
        <v>2</v>
      </c>
      <c r="D34" s="54" t="n">
        <f aca="false">COUNTIFS('Comms Calendar'!$B$5:$B$504,"EMEA",'Comms Calendar'!$AJ$5:$AJ$504,D$32,'Comms Calendar'!$AE$5:$AE$504,"&lt;&gt;Cancelled")</f>
        <v>1</v>
      </c>
      <c r="E34" s="54" t="n">
        <f aca="false">COUNTIFS('Comms Calendar'!$B$5:$B$504,"EMEA",'Comms Calendar'!$AJ$5:$AJ$504,E$32,'Comms Calendar'!$AE$5:$AE$504,"&lt;&gt;Cancelled")</f>
        <v>0</v>
      </c>
      <c r="F34" s="54" t="n">
        <f aca="false">COUNTIFS('Comms Calendar'!$B$5:$B$504,"EMEA",'Comms Calendar'!$AJ$5:$AJ$504,F$32,'Comms Calendar'!$AE$5:$AE$504,"&lt;&gt;Cancelled")</f>
        <v>0</v>
      </c>
      <c r="G34" s="54" t="n">
        <f aca="false">COUNTIFS('Comms Calendar'!$B$5:$B$504,"EMEA",'Comms Calendar'!$AJ$5:$AJ$504,G$32,'Comms Calendar'!$AE$5:$AE$504,"&lt;&gt;Cancelled")</f>
        <v>0</v>
      </c>
      <c r="H34" s="54" t="n">
        <f aca="false">COUNTIFS('Comms Calendar'!$B$5:$B$504,"EMEA",'Comms Calendar'!$AJ$5:$AJ$504,H$32,'Comms Calendar'!$AE$5:$AE$504,"&lt;&gt;Cancelled")</f>
        <v>0</v>
      </c>
    </row>
    <row r="35" customFormat="false" ht="15" hidden="false" customHeight="false" outlineLevel="0" collapsed="false">
      <c r="B35" s="53" t="s">
        <v>217</v>
      </c>
      <c r="C35" s="54" t="n">
        <f aca="false">COUNTIFS('Comms Calendar'!$B$5:$B$504,"APAC",'Comms Calendar'!$AJ$5:$AJ$504,C$32,'Comms Calendar'!$AE$5:$AE$504,"&lt;&gt;Cancelled")</f>
        <v>1</v>
      </c>
      <c r="D35" s="54" t="n">
        <f aca="false">COUNTIFS('Comms Calendar'!$B$5:$B$504,"APAC",'Comms Calendar'!$AJ$5:$AJ$504,D$32,'Comms Calendar'!$AE$5:$AE$504,"&lt;&gt;Cancelled")</f>
        <v>1</v>
      </c>
      <c r="E35" s="54" t="n">
        <f aca="false">COUNTIFS('Comms Calendar'!$B$5:$B$504,"APAC",'Comms Calendar'!$AJ$5:$AJ$504,E$32,'Comms Calendar'!$AE$5:$AE$504,"&lt;&gt;Cancelled")</f>
        <v>0</v>
      </c>
      <c r="F35" s="54" t="n">
        <f aca="false">COUNTIFS('Comms Calendar'!$B$5:$B$504,"APAC",'Comms Calendar'!$AJ$5:$AJ$504,F$32,'Comms Calendar'!$AE$5:$AE$504,"&lt;&gt;Cancelled")</f>
        <v>0</v>
      </c>
      <c r="G35" s="54" t="n">
        <f aca="false">COUNTIFS('Comms Calendar'!$B$5:$B$504,"APAC",'Comms Calendar'!$AJ$5:$AJ$504,G$32,'Comms Calendar'!$AE$5:$AE$504,"&lt;&gt;Cancelled")</f>
        <v>0</v>
      </c>
      <c r="H35" s="54" t="n">
        <f aca="false">COUNTIFS('Comms Calendar'!$B$5:$B$504,"APAC",'Comms Calendar'!$AJ$5:$AJ$504,H$32,'Comms Calendar'!$AE$5:$AE$504,"&lt;&gt;Cancelled")</f>
        <v>0</v>
      </c>
    </row>
    <row r="36" customFormat="false" ht="15" hidden="false" customHeight="false" outlineLevel="0" collapsed="false">
      <c r="B36" s="53" t="s">
        <v>246</v>
      </c>
      <c r="C36" s="54" t="n">
        <f aca="false">COUNTIFS('Comms Calendar'!$B$5:$B$504,"Global",'Comms Calendar'!$AJ$5:$AJ$504,C$32,'Comms Calendar'!$AE$5:$AE$504,"&lt;&gt;Cancelled")</f>
        <v>2</v>
      </c>
      <c r="D36" s="54" t="n">
        <f aca="false">COUNTIFS('Comms Calendar'!$B$5:$B$504,"Global",'Comms Calendar'!$AJ$5:$AJ$504,D$32,'Comms Calendar'!$AE$5:$AE$504,"&lt;&gt;Cancelled")</f>
        <v>2</v>
      </c>
      <c r="E36" s="54" t="n">
        <f aca="false">COUNTIFS('Comms Calendar'!$B$5:$B$504,"Global",'Comms Calendar'!$AJ$5:$AJ$504,E$32,'Comms Calendar'!$AE$5:$AE$504,"&lt;&gt;Cancelled")</f>
        <v>1</v>
      </c>
      <c r="F36" s="54" t="n">
        <f aca="false">COUNTIFS('Comms Calendar'!$B$5:$B$504,"Global",'Comms Calendar'!$AJ$5:$AJ$504,F$32,'Comms Calendar'!$AE$5:$AE$504,"&lt;&gt;Cancelled")</f>
        <v>0</v>
      </c>
      <c r="G36" s="54" t="n">
        <f aca="false">COUNTIFS('Comms Calendar'!$B$5:$B$504,"Global",'Comms Calendar'!$AJ$5:$AJ$504,G$32,'Comms Calendar'!$AE$5:$AE$504,"&lt;&gt;Cancelled")</f>
        <v>0</v>
      </c>
      <c r="H36" s="54" t="n">
        <f aca="false">COUNTIFS('Comms Calendar'!$B$5:$B$504,"Global",'Comms Calendar'!$AJ$5:$AJ$504,H$32,'Comms Calendar'!$AE$5:$AE$504,"&lt;&gt;Cancelled")</f>
        <v>0</v>
      </c>
    </row>
    <row r="37" customFormat="false" ht="15" hidden="false" customHeight="false" outlineLevel="0" collapsed="false">
      <c r="B37" s="53" t="s">
        <v>317</v>
      </c>
      <c r="C37" s="53" t="n">
        <f aca="false">SUM(C33:C36)</f>
        <v>9</v>
      </c>
      <c r="D37" s="53" t="n">
        <f aca="false">SUM(D33:D36)</f>
        <v>5</v>
      </c>
      <c r="E37" s="53" t="n">
        <f aca="false">SUM(E33:E36)</f>
        <v>1</v>
      </c>
      <c r="F37" s="53" t="n">
        <f aca="false">SUM(F33:F36)</f>
        <v>0</v>
      </c>
      <c r="G37" s="53" t="n">
        <f aca="false">SUM(G33:G36)</f>
        <v>0</v>
      </c>
      <c r="H37" s="53" t="n">
        <f aca="false">SUM(H33:H36)</f>
        <v>0</v>
      </c>
    </row>
  </sheetData>
  <conditionalFormatting sqref="C9">
    <cfRule type="cellIs" priority="2" operator="greaterThan" aboveAverage="0" equalAverage="0" bottom="0" percent="0" rank="0" text="" dxfId="15">
      <formula>0</formula>
    </cfRule>
  </conditionalFormatting>
  <conditionalFormatting sqref="C10">
    <cfRule type="cellIs" priority="3" operator="greaterThan" aboveAverage="0" equalAverage="0" bottom="0" percent="0" rank="0" text="" dxfId="15">
      <formula>0</formula>
    </cfRule>
  </conditionalFormatting>
  <conditionalFormatting sqref="C11">
    <cfRule type="cellIs" priority="4" operator="greaterThan" aboveAverage="0" equalAverage="0" bottom="0" percent="0" rank="0" text="" dxfId="15">
      <formula>0</formula>
    </cfRule>
  </conditionalFormatting>
  <conditionalFormatting sqref="C12">
    <cfRule type="cellIs" priority="5" operator="greaterThan" aboveAverage="0" equalAverage="0" bottom="0" percent="0" rank="0" text="" dxfId="15">
      <formula>0</formula>
    </cfRule>
  </conditionalFormatting>
  <conditionalFormatting sqref="C13">
    <cfRule type="cellIs" priority="6" operator="greaterThan" aboveAverage="0" equalAverage="0" bottom="0" percent="0" rank="0" text="" dxfId="1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7A"/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30"/>
    <col collapsed="false" customWidth="true" hidden="false" outlineLevel="0" max="11" min="11" style="0" width="26"/>
  </cols>
  <sheetData>
    <row r="1" customFormat="false" ht="19.7" hidden="false" customHeight="false" outlineLevel="0" collapsed="false">
      <c r="A1" s="11" t="s">
        <v>351</v>
      </c>
    </row>
    <row r="2" customFormat="false" ht="15" hidden="false" customHeight="false" outlineLevel="0" collapsed="false">
      <c r="A2" s="12" t="s">
        <v>352</v>
      </c>
    </row>
    <row r="4" customFormat="false" ht="23.85" hidden="false" customHeight="false" outlineLevel="0" collapsed="false">
      <c r="A4" s="22" t="s">
        <v>353</v>
      </c>
      <c r="B4" s="22" t="s">
        <v>73</v>
      </c>
      <c r="C4" s="22" t="s">
        <v>76</v>
      </c>
      <c r="D4" s="22" t="s">
        <v>354</v>
      </c>
      <c r="E4" s="22" t="s">
        <v>355</v>
      </c>
      <c r="F4" s="22" t="s">
        <v>356</v>
      </c>
      <c r="G4" s="22" t="s">
        <v>357</v>
      </c>
      <c r="H4" s="22" t="s">
        <v>358</v>
      </c>
      <c r="I4" s="22" t="s">
        <v>359</v>
      </c>
      <c r="J4" s="22" t="s">
        <v>360</v>
      </c>
      <c r="K4" s="22" t="s">
        <v>361</v>
      </c>
    </row>
    <row r="5" customFormat="false" ht="15" hidden="false" customHeight="false" outlineLevel="0" collapsed="false">
      <c r="A5" s="50" t="s">
        <v>126</v>
      </c>
      <c r="B5" s="50" t="s">
        <v>117</v>
      </c>
      <c r="C5" s="50" t="s">
        <v>120</v>
      </c>
      <c r="D5" s="50" t="s">
        <v>362</v>
      </c>
      <c r="E5" s="50" t="s">
        <v>363</v>
      </c>
      <c r="F5" s="60" t="n">
        <v>5200</v>
      </c>
      <c r="G5" s="50" t="s">
        <v>364</v>
      </c>
      <c r="H5" s="61" t="n">
        <v>46296</v>
      </c>
      <c r="I5" s="50" t="s">
        <v>365</v>
      </c>
      <c r="J5" s="50" t="s">
        <v>366</v>
      </c>
      <c r="K5" s="50"/>
    </row>
    <row r="6" customFormat="false" ht="15" hidden="false" customHeight="false" outlineLevel="0" collapsed="false">
      <c r="A6" s="50" t="s">
        <v>367</v>
      </c>
      <c r="B6" s="50" t="s">
        <v>117</v>
      </c>
      <c r="C6" s="50" t="s">
        <v>120</v>
      </c>
      <c r="D6" s="50" t="s">
        <v>368</v>
      </c>
      <c r="E6" s="50" t="s">
        <v>363</v>
      </c>
      <c r="F6" s="60" t="n">
        <v>350</v>
      </c>
      <c r="G6" s="50" t="s">
        <v>364</v>
      </c>
      <c r="H6" s="61" t="n">
        <v>46280</v>
      </c>
      <c r="I6" s="50" t="s">
        <v>365</v>
      </c>
      <c r="J6" s="50" t="s">
        <v>224</v>
      </c>
      <c r="K6" s="50"/>
    </row>
    <row r="7" customFormat="false" ht="15" hidden="false" customHeight="false" outlineLevel="0" collapsed="false">
      <c r="A7" s="50" t="s">
        <v>295</v>
      </c>
      <c r="B7" s="50" t="s">
        <v>117</v>
      </c>
      <c r="C7" s="50" t="s">
        <v>232</v>
      </c>
      <c r="D7" s="50" t="s">
        <v>369</v>
      </c>
      <c r="E7" s="50" t="s">
        <v>370</v>
      </c>
      <c r="F7" s="60" t="n">
        <v>6400</v>
      </c>
      <c r="G7" s="50" t="s">
        <v>364</v>
      </c>
      <c r="H7" s="61" t="n">
        <v>46296</v>
      </c>
      <c r="I7" s="50" t="s">
        <v>371</v>
      </c>
      <c r="J7" s="50" t="s">
        <v>372</v>
      </c>
      <c r="K7" s="50"/>
    </row>
    <row r="8" customFormat="false" ht="15" hidden="false" customHeight="false" outlineLevel="0" collapsed="false">
      <c r="A8" s="50" t="s">
        <v>185</v>
      </c>
      <c r="B8" s="50" t="s">
        <v>178</v>
      </c>
      <c r="C8" s="50" t="s">
        <v>180</v>
      </c>
      <c r="D8" s="50" t="s">
        <v>373</v>
      </c>
      <c r="E8" s="50" t="s">
        <v>374</v>
      </c>
      <c r="F8" s="60" t="n">
        <v>9100</v>
      </c>
      <c r="G8" s="50" t="s">
        <v>364</v>
      </c>
      <c r="H8" s="61" t="n">
        <v>46296</v>
      </c>
      <c r="I8" s="50" t="s">
        <v>375</v>
      </c>
      <c r="J8" s="50" t="s">
        <v>376</v>
      </c>
      <c r="K8" s="50" t="s">
        <v>377</v>
      </c>
    </row>
    <row r="9" customFormat="false" ht="15" hidden="false" customHeight="false" outlineLevel="0" collapsed="false">
      <c r="A9" s="50" t="s">
        <v>210</v>
      </c>
      <c r="B9" s="50" t="s">
        <v>178</v>
      </c>
      <c r="C9" s="50" t="s">
        <v>120</v>
      </c>
      <c r="D9" s="50" t="s">
        <v>378</v>
      </c>
      <c r="E9" s="50" t="s">
        <v>363</v>
      </c>
      <c r="F9" s="60" t="n">
        <v>120</v>
      </c>
      <c r="G9" s="50" t="s">
        <v>190</v>
      </c>
      <c r="H9" s="61" t="n">
        <v>46295</v>
      </c>
      <c r="I9" s="50" t="s">
        <v>365</v>
      </c>
      <c r="J9" s="50"/>
      <c r="K9" s="50" t="s">
        <v>379</v>
      </c>
    </row>
    <row r="10" customFormat="false" ht="15" hidden="false" customHeight="false" outlineLevel="0" collapsed="false">
      <c r="A10" s="50" t="s">
        <v>222</v>
      </c>
      <c r="B10" s="50" t="s">
        <v>217</v>
      </c>
      <c r="C10" s="50" t="s">
        <v>180</v>
      </c>
      <c r="D10" s="50" t="s">
        <v>380</v>
      </c>
      <c r="E10" s="50" t="s">
        <v>374</v>
      </c>
      <c r="F10" s="60" t="n">
        <v>3000</v>
      </c>
      <c r="G10" s="50" t="s">
        <v>364</v>
      </c>
      <c r="H10" s="61" t="n">
        <v>46296</v>
      </c>
      <c r="I10" s="50" t="s">
        <v>381</v>
      </c>
      <c r="J10" s="50" t="s">
        <v>224</v>
      </c>
      <c r="K10" s="50"/>
    </row>
    <row r="11" customFormat="false" ht="15" hidden="false" customHeight="false" outlineLevel="0" collapsed="false">
      <c r="A11" s="50" t="s">
        <v>237</v>
      </c>
      <c r="B11" s="50" t="s">
        <v>217</v>
      </c>
      <c r="C11" s="50" t="s">
        <v>232</v>
      </c>
      <c r="D11" s="50" t="s">
        <v>382</v>
      </c>
      <c r="E11" s="50" t="s">
        <v>370</v>
      </c>
      <c r="F11" s="60" t="n">
        <v>2100</v>
      </c>
      <c r="G11" s="50" t="s">
        <v>364</v>
      </c>
      <c r="H11" s="61" t="n">
        <v>46296</v>
      </c>
      <c r="I11" s="50" t="s">
        <v>383</v>
      </c>
      <c r="J11" s="50" t="s">
        <v>384</v>
      </c>
      <c r="K11" s="50"/>
    </row>
    <row r="12" customFormat="false" ht="15" hidden="false" customHeight="false" outlineLevel="0" collapsed="false">
      <c r="A12" s="50" t="s">
        <v>253</v>
      </c>
      <c r="B12" s="50" t="s">
        <v>246</v>
      </c>
      <c r="C12" s="50" t="s">
        <v>120</v>
      </c>
      <c r="D12" s="50" t="s">
        <v>385</v>
      </c>
      <c r="E12" s="50" t="s">
        <v>363</v>
      </c>
      <c r="F12" s="60" t="n">
        <v>21000</v>
      </c>
      <c r="G12" s="50" t="s">
        <v>364</v>
      </c>
      <c r="H12" s="61" t="n">
        <v>46296</v>
      </c>
      <c r="I12" s="50" t="s">
        <v>365</v>
      </c>
      <c r="J12" s="50" t="s">
        <v>366</v>
      </c>
      <c r="K12" s="50"/>
    </row>
    <row r="13" customFormat="false" ht="15" hidden="false" customHeight="false" outlineLevel="0" collapsed="false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customFormat="false" ht="15" hidden="false" customHeight="false" outlineLevel="0" collapsed="false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customFormat="false" ht="15" hidden="false" customHeight="false" outlineLevel="0" collapsed="false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</row>
    <row r="16" customFormat="false" ht="15" hidden="false" customHeight="false" outlineLevel="0" collapsed="false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customFormat="false" ht="15" hidden="false" customHeight="false" outlineLevel="0" collapsed="false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</row>
    <row r="18" customFormat="false" ht="15" hidden="false" customHeight="false" outlineLevel="0" collapsed="false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</row>
    <row r="19" customFormat="false" ht="15" hidden="false" customHeight="false" outlineLevel="0" collapsed="false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customFormat="false" ht="15" hidden="false" customHeight="false" outlineLevel="0" collapsed="false">
      <c r="A20" s="50"/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customFormat="false" ht="15" hidden="false" customHeight="false" outlineLevel="0" collapsed="false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</row>
    <row r="22" customFormat="false" ht="15" hidden="false" customHeight="false" outlineLevel="0" collapsed="false">
      <c r="A22" s="50"/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customFormat="false" ht="15" hidden="false" customHeight="false" outlineLevel="0" collapsed="false">
      <c r="A23" s="50"/>
      <c r="B23" s="50"/>
      <c r="C23" s="50"/>
      <c r="D23" s="50"/>
      <c r="E23" s="50"/>
      <c r="F23" s="50"/>
      <c r="G23" s="50"/>
      <c r="H23" s="50"/>
      <c r="I23" s="50"/>
      <c r="J23" s="50"/>
      <c r="K23" s="50"/>
    </row>
    <row r="24" customFormat="false" ht="15" hidden="false" customHeight="false" outlineLevel="0" collapsed="false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</row>
    <row r="25" customFormat="false" ht="15" hidden="false" customHeight="false" outlineLevel="0" collapsed="false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</row>
    <row r="26" customFormat="false" ht="15" hidden="false" customHeight="false" outlineLevel="0" collapsed="false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</row>
    <row r="27" customFormat="false" ht="15" hidden="false" customHeight="false" outlineLevel="0" collapsed="false">
      <c r="A27" s="50"/>
      <c r="B27" s="50"/>
      <c r="C27" s="50"/>
      <c r="D27" s="50"/>
      <c r="E27" s="50"/>
      <c r="F27" s="50"/>
      <c r="G27" s="50"/>
      <c r="H27" s="50"/>
      <c r="I27" s="50"/>
      <c r="J27" s="50"/>
      <c r="K27" s="50"/>
    </row>
    <row r="28" customFormat="false" ht="15" hidden="false" customHeight="fals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</row>
    <row r="29" customFormat="false" ht="15" hidden="false" customHeight="fals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</row>
    <row r="30" customFormat="false" ht="15" hidden="false" customHeight="fals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</row>
    <row r="31" customFormat="false" ht="15" hidden="false" customHeight="fals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</row>
    <row r="32" customFormat="false" ht="15" hidden="false" customHeight="fals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</row>
    <row r="33" customFormat="false" ht="15" hidden="false" customHeight="fals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</row>
    <row r="34" customFormat="false" ht="15" hidden="false" customHeight="fals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</row>
    <row r="35" customFormat="false" ht="15" hidden="false" customHeight="fals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</row>
    <row r="36" customFormat="false" ht="15" hidden="false" customHeight="fals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</row>
    <row r="37" customFormat="false" ht="15" hidden="false" customHeight="fals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</row>
    <row r="38" customFormat="false" ht="15" hidden="false" customHeight="fals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</row>
    <row r="39" customFormat="false" ht="15" hidden="false" customHeight="fals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</row>
    <row r="40" customFormat="false" ht="15" hidden="false" customHeight="fals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</row>
    <row r="41" customFormat="false" ht="15" hidden="false" customHeight="fals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</row>
    <row r="42" customFormat="false" ht="15" hidden="false" customHeight="fals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customFormat="false" ht="15" hidden="false" customHeight="fals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customFormat="false" ht="15" hidden="false" customHeight="fals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customFormat="false" ht="15" hidden="false" customHeight="fals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</row>
    <row r="46" customFormat="false" ht="15" hidden="false" customHeight="fals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</row>
    <row r="47" customFormat="false" ht="15" hidden="false" customHeight="fals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</row>
    <row r="48" customFormat="false" ht="15" hidden="false" customHeight="fals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</row>
    <row r="49" customFormat="false" ht="15" hidden="false" customHeight="fals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</row>
    <row r="50" customFormat="false" ht="15" hidden="false" customHeight="fals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</row>
    <row r="51" customFormat="false" ht="15" hidden="false" customHeight="fals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</row>
    <row r="52" customFormat="false" ht="15" hidden="false" customHeight="fals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</row>
    <row r="53" customFormat="false" ht="15" hidden="false" customHeight="fals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</row>
    <row r="54" customFormat="false" ht="15" hidden="false" customHeight="fals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</row>
    <row r="55" customFormat="false" ht="15" hidden="false" customHeight="fals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</row>
    <row r="56" customFormat="false" ht="15" hidden="false" customHeight="fals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</row>
    <row r="57" customFormat="false" ht="15" hidden="false" customHeight="fals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</row>
    <row r="58" customFormat="false" ht="15" hidden="false" customHeight="fals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</row>
    <row r="59" customFormat="false" ht="15" hidden="false" customHeight="fals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</row>
    <row r="60" customFormat="false" ht="15" hidden="false" customHeight="fals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</row>
  </sheetData>
  <dataValidations count="2">
    <dataValidation allowBlank="true" errorStyle="stop" operator="between" showDropDown="false" showErrorMessage="false" showInputMessage="false" sqref="B5:B60" type="list">
      <formula1>Dropdowns!$A$2:$A$5</formula1>
      <formula2>0</formula2>
    </dataValidation>
    <dataValidation allowBlank="true" errorStyle="stop" operator="between" showDropDown="false" showErrorMessage="false" showInputMessage="false" sqref="C5:C60" type="list">
      <formula1>Dropdowns!$B$2:$B$6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FA0"/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30"/>
    <col collapsed="false" customWidth="true" hidden="false" outlineLevel="0" max="10" min="5" style="0" width="16"/>
  </cols>
  <sheetData>
    <row r="1" customFormat="false" ht="19.7" hidden="false" customHeight="false" outlineLevel="0" collapsed="false">
      <c r="A1" s="11" t="s">
        <v>386</v>
      </c>
    </row>
    <row r="3" customFormat="false" ht="15" hidden="false" customHeight="false" outlineLevel="0" collapsed="false">
      <c r="A3" s="49" t="s">
        <v>387</v>
      </c>
    </row>
    <row r="4" customFormat="false" ht="23.85" hidden="false" customHeight="false" outlineLevel="0" collapsed="false">
      <c r="A4" s="22" t="s">
        <v>388</v>
      </c>
      <c r="B4" s="22" t="s">
        <v>389</v>
      </c>
      <c r="C4" s="22" t="s">
        <v>390</v>
      </c>
      <c r="D4" s="22" t="s">
        <v>341</v>
      </c>
      <c r="E4" s="22" t="s">
        <v>391</v>
      </c>
      <c r="F4" s="22" t="s">
        <v>392</v>
      </c>
    </row>
    <row r="5" customFormat="false" ht="46.25" hidden="false" customHeight="false" outlineLevel="0" collapsed="false">
      <c r="A5" s="5" t="s">
        <v>135</v>
      </c>
      <c r="B5" s="62"/>
      <c r="C5" s="6" t="s">
        <v>246</v>
      </c>
      <c r="D5" s="62"/>
      <c r="E5" s="62"/>
      <c r="F5" s="6" t="s">
        <v>393</v>
      </c>
    </row>
    <row r="6" customFormat="false" ht="57.45" hidden="false" customHeight="false" outlineLevel="0" collapsed="false">
      <c r="A6" s="5" t="s">
        <v>133</v>
      </c>
      <c r="B6" s="62"/>
      <c r="C6" s="6" t="s">
        <v>117</v>
      </c>
      <c r="D6" s="62"/>
      <c r="E6" s="62"/>
      <c r="F6" s="6" t="s">
        <v>394</v>
      </c>
    </row>
    <row r="7" customFormat="false" ht="57.45" hidden="false" customHeight="false" outlineLevel="0" collapsed="false">
      <c r="A7" s="5" t="s">
        <v>190</v>
      </c>
      <c r="B7" s="62"/>
      <c r="C7" s="6" t="s">
        <v>178</v>
      </c>
      <c r="D7" s="62"/>
      <c r="E7" s="62"/>
      <c r="F7" s="6" t="s">
        <v>395</v>
      </c>
    </row>
    <row r="8" customFormat="false" ht="23.85" hidden="false" customHeight="false" outlineLevel="0" collapsed="false">
      <c r="A8" s="5" t="s">
        <v>226</v>
      </c>
      <c r="B8" s="6" t="s">
        <v>396</v>
      </c>
      <c r="C8" s="6" t="s">
        <v>217</v>
      </c>
      <c r="D8" s="62"/>
      <c r="E8" s="62"/>
      <c r="F8" s="6" t="s">
        <v>397</v>
      </c>
    </row>
    <row r="9" customFormat="false" ht="46.25" hidden="false" customHeight="false" outlineLevel="0" collapsed="false">
      <c r="A9" s="5" t="s">
        <v>242</v>
      </c>
      <c r="B9" s="6" t="s">
        <v>398</v>
      </c>
      <c r="C9" s="6" t="s">
        <v>399</v>
      </c>
      <c r="D9" s="62"/>
      <c r="E9" s="62"/>
      <c r="F9" s="6" t="s">
        <v>400</v>
      </c>
    </row>
    <row r="10" customFormat="false" ht="35.05" hidden="false" customHeight="false" outlineLevel="0" collapsed="false">
      <c r="A10" s="5" t="s">
        <v>173</v>
      </c>
      <c r="B10" s="62"/>
      <c r="C10" s="6" t="s">
        <v>302</v>
      </c>
      <c r="D10" s="62"/>
      <c r="E10" s="62"/>
      <c r="F10" s="6" t="s">
        <v>401</v>
      </c>
    </row>
    <row r="11" customFormat="false" ht="57.45" hidden="false" customHeight="false" outlineLevel="0" collapsed="false">
      <c r="A11" s="5" t="s">
        <v>364</v>
      </c>
      <c r="B11" s="62"/>
      <c r="C11" s="6" t="s">
        <v>246</v>
      </c>
      <c r="D11" s="62"/>
      <c r="E11" s="62"/>
      <c r="F11" s="6" t="s">
        <v>402</v>
      </c>
    </row>
    <row r="12" customFormat="false" ht="46.25" hidden="false" customHeight="false" outlineLevel="0" collapsed="false">
      <c r="A12" s="5" t="s">
        <v>287</v>
      </c>
      <c r="B12" s="62"/>
      <c r="C12" s="6" t="s">
        <v>246</v>
      </c>
      <c r="D12" s="62"/>
      <c r="E12" s="62"/>
      <c r="F12" s="6" t="s">
        <v>403</v>
      </c>
    </row>
    <row r="13" customFormat="false" ht="46.25" hidden="false" customHeight="false" outlineLevel="0" collapsed="false">
      <c r="A13" s="5" t="s">
        <v>153</v>
      </c>
      <c r="B13" s="62"/>
      <c r="C13" s="6" t="s">
        <v>302</v>
      </c>
      <c r="D13" s="62"/>
      <c r="E13" s="62"/>
      <c r="F13" s="6" t="s">
        <v>404</v>
      </c>
    </row>
    <row r="16" customFormat="false" ht="15" hidden="false" customHeight="false" outlineLevel="0" collapsed="false">
      <c r="A16" s="49" t="s">
        <v>405</v>
      </c>
    </row>
    <row r="17" customFormat="false" ht="31.5" hidden="false" customHeight="true" outlineLevel="0" collapsed="false">
      <c r="A17" s="22" t="s">
        <v>406</v>
      </c>
      <c r="B17" s="22" t="s">
        <v>407</v>
      </c>
      <c r="C17" s="22" t="s">
        <v>133</v>
      </c>
      <c r="D17" s="22" t="s">
        <v>190</v>
      </c>
      <c r="E17" s="22" t="s">
        <v>408</v>
      </c>
      <c r="F17" s="22" t="s">
        <v>242</v>
      </c>
      <c r="G17" s="22" t="s">
        <v>173</v>
      </c>
      <c r="H17" s="22" t="s">
        <v>364</v>
      </c>
      <c r="I17" s="22" t="s">
        <v>409</v>
      </c>
      <c r="J17" s="22" t="s">
        <v>153</v>
      </c>
    </row>
    <row r="18" customFormat="false" ht="23.85" hidden="false" customHeight="false" outlineLevel="0" collapsed="false">
      <c r="A18" s="5" t="s">
        <v>410</v>
      </c>
      <c r="B18" s="63" t="s">
        <v>411</v>
      </c>
      <c r="C18" s="64" t="s">
        <v>412</v>
      </c>
      <c r="D18" s="64" t="s">
        <v>412</v>
      </c>
      <c r="E18" s="64" t="s">
        <v>412</v>
      </c>
      <c r="F18" s="64" t="s">
        <v>412</v>
      </c>
      <c r="G18" s="65" t="s">
        <v>413</v>
      </c>
      <c r="H18" s="65" t="s">
        <v>413</v>
      </c>
      <c r="I18" s="66" t="s">
        <v>414</v>
      </c>
      <c r="J18" s="66" t="s">
        <v>414</v>
      </c>
    </row>
    <row r="19" customFormat="false" ht="15" hidden="false" customHeight="false" outlineLevel="0" collapsed="false">
      <c r="A19" s="5" t="s">
        <v>415</v>
      </c>
      <c r="B19" s="63" t="s">
        <v>411</v>
      </c>
      <c r="C19" s="64" t="s">
        <v>412</v>
      </c>
      <c r="D19" s="64" t="s">
        <v>412</v>
      </c>
      <c r="E19" s="64" t="s">
        <v>412</v>
      </c>
      <c r="F19" s="65" t="s">
        <v>413</v>
      </c>
      <c r="G19" s="65" t="s">
        <v>413</v>
      </c>
      <c r="H19" s="65" t="s">
        <v>413</v>
      </c>
      <c r="I19" s="65" t="s">
        <v>413</v>
      </c>
      <c r="J19" s="66" t="s">
        <v>414</v>
      </c>
    </row>
    <row r="20" customFormat="false" ht="15" hidden="false" customHeight="false" outlineLevel="0" collapsed="false">
      <c r="A20" s="5" t="s">
        <v>416</v>
      </c>
      <c r="B20" s="63" t="s">
        <v>411</v>
      </c>
      <c r="C20" s="64" t="s">
        <v>412</v>
      </c>
      <c r="D20" s="64" t="s">
        <v>412</v>
      </c>
      <c r="E20" s="64" t="s">
        <v>412</v>
      </c>
      <c r="F20" s="65" t="s">
        <v>413</v>
      </c>
      <c r="G20" s="64" t="s">
        <v>412</v>
      </c>
      <c r="H20" s="65" t="s">
        <v>413</v>
      </c>
      <c r="I20" s="65" t="s">
        <v>413</v>
      </c>
      <c r="J20" s="66" t="s">
        <v>414</v>
      </c>
    </row>
    <row r="21" customFormat="false" ht="15" hidden="false" customHeight="false" outlineLevel="0" collapsed="false">
      <c r="A21" s="5" t="s">
        <v>417</v>
      </c>
      <c r="B21" s="63" t="s">
        <v>411</v>
      </c>
      <c r="C21" s="65" t="s">
        <v>413</v>
      </c>
      <c r="D21" s="65" t="s">
        <v>413</v>
      </c>
      <c r="E21" s="65" t="s">
        <v>413</v>
      </c>
      <c r="F21" s="64" t="s">
        <v>412</v>
      </c>
      <c r="G21" s="66" t="s">
        <v>414</v>
      </c>
      <c r="H21" s="64" t="s">
        <v>412</v>
      </c>
      <c r="I21" s="65" t="s">
        <v>413</v>
      </c>
      <c r="J21" s="66" t="s">
        <v>414</v>
      </c>
    </row>
    <row r="22" customFormat="false" ht="15" hidden="false" customHeight="false" outlineLevel="0" collapsed="false">
      <c r="A22" s="5" t="s">
        <v>418</v>
      </c>
      <c r="B22" s="63" t="s">
        <v>411</v>
      </c>
      <c r="C22" s="65" t="s">
        <v>413</v>
      </c>
      <c r="D22" s="65" t="s">
        <v>413</v>
      </c>
      <c r="E22" s="65" t="s">
        <v>413</v>
      </c>
      <c r="F22" s="64" t="s">
        <v>412</v>
      </c>
      <c r="G22" s="66" t="s">
        <v>414</v>
      </c>
      <c r="H22" s="66" t="s">
        <v>414</v>
      </c>
      <c r="I22" s="65" t="s">
        <v>413</v>
      </c>
      <c r="J22" s="66" t="s">
        <v>414</v>
      </c>
    </row>
    <row r="23" customFormat="false" ht="23.85" hidden="false" customHeight="false" outlineLevel="0" collapsed="false">
      <c r="A23" s="5" t="s">
        <v>419</v>
      </c>
      <c r="B23" s="63" t="s">
        <v>411</v>
      </c>
      <c r="C23" s="65" t="s">
        <v>413</v>
      </c>
      <c r="D23" s="65" t="s">
        <v>413</v>
      </c>
      <c r="E23" s="65" t="s">
        <v>413</v>
      </c>
      <c r="F23" s="65" t="s">
        <v>413</v>
      </c>
      <c r="G23" s="66" t="s">
        <v>414</v>
      </c>
      <c r="H23" s="64" t="s">
        <v>412</v>
      </c>
      <c r="I23" s="65" t="s">
        <v>413</v>
      </c>
      <c r="J23" s="64" t="s">
        <v>412</v>
      </c>
    </row>
    <row r="24" customFormat="false" ht="15" hidden="false" customHeight="false" outlineLevel="0" collapsed="false">
      <c r="A24" s="5" t="s">
        <v>420</v>
      </c>
      <c r="B24" s="66" t="s">
        <v>414</v>
      </c>
      <c r="C24" s="63" t="s">
        <v>411</v>
      </c>
      <c r="D24" s="63" t="s">
        <v>411</v>
      </c>
      <c r="E24" s="63" t="s">
        <v>411</v>
      </c>
      <c r="F24" s="64" t="s">
        <v>412</v>
      </c>
      <c r="G24" s="65" t="s">
        <v>413</v>
      </c>
      <c r="H24" s="64" t="s">
        <v>412</v>
      </c>
      <c r="I24" s="66" t="s">
        <v>414</v>
      </c>
      <c r="J24" s="65" t="s">
        <v>413</v>
      </c>
    </row>
    <row r="25" customFormat="false" ht="15" hidden="false" customHeight="false" outlineLevel="0" collapsed="false">
      <c r="A25" s="5" t="s">
        <v>421</v>
      </c>
      <c r="B25" s="66" t="s">
        <v>414</v>
      </c>
      <c r="C25" s="66" t="s">
        <v>414</v>
      </c>
      <c r="D25" s="66" t="s">
        <v>414</v>
      </c>
      <c r="E25" s="66" t="s">
        <v>414</v>
      </c>
      <c r="F25" s="65" t="s">
        <v>413</v>
      </c>
      <c r="G25" s="66" t="s">
        <v>414</v>
      </c>
      <c r="H25" s="63" t="s">
        <v>422</v>
      </c>
      <c r="I25" s="66" t="s">
        <v>414</v>
      </c>
      <c r="J25" s="66" t="s">
        <v>414</v>
      </c>
    </row>
    <row r="26" customFormat="false" ht="15" hidden="false" customHeight="false" outlineLevel="0" collapsed="false">
      <c r="A26" s="5" t="s">
        <v>423</v>
      </c>
      <c r="B26" s="66" t="s">
        <v>414</v>
      </c>
      <c r="C26" s="66" t="s">
        <v>414</v>
      </c>
      <c r="D26" s="66" t="s">
        <v>414</v>
      </c>
      <c r="E26" s="66" t="s">
        <v>414</v>
      </c>
      <c r="F26" s="63" t="s">
        <v>411</v>
      </c>
      <c r="G26" s="64" t="s">
        <v>412</v>
      </c>
      <c r="H26" s="64" t="s">
        <v>412</v>
      </c>
      <c r="I26" s="66" t="s">
        <v>414</v>
      </c>
      <c r="J26" s="66" t="s">
        <v>414</v>
      </c>
    </row>
    <row r="27" customFormat="false" ht="15" hidden="false" customHeight="false" outlineLevel="0" collapsed="false">
      <c r="A27" s="5" t="s">
        <v>424</v>
      </c>
      <c r="B27" s="63" t="s">
        <v>411</v>
      </c>
      <c r="C27" s="64" t="s">
        <v>412</v>
      </c>
      <c r="D27" s="64" t="s">
        <v>412</v>
      </c>
      <c r="E27" s="64" t="s">
        <v>412</v>
      </c>
      <c r="F27" s="65" t="s">
        <v>413</v>
      </c>
      <c r="G27" s="66" t="s">
        <v>414</v>
      </c>
      <c r="H27" s="66" t="s">
        <v>414</v>
      </c>
      <c r="I27" s="65" t="s">
        <v>413</v>
      </c>
      <c r="J27" s="65" t="s">
        <v>413</v>
      </c>
    </row>
    <row r="28" customFormat="false" ht="15" hidden="false" customHeight="false" outlineLevel="0" collapsed="false">
      <c r="A28" s="5" t="s">
        <v>425</v>
      </c>
      <c r="B28" s="63" t="s">
        <v>411</v>
      </c>
      <c r="C28" s="65" t="s">
        <v>413</v>
      </c>
      <c r="D28" s="65" t="s">
        <v>413</v>
      </c>
      <c r="E28" s="65" t="s">
        <v>413</v>
      </c>
      <c r="F28" s="64" t="s">
        <v>412</v>
      </c>
      <c r="G28" s="65" t="s">
        <v>413</v>
      </c>
      <c r="H28" s="64" t="s">
        <v>412</v>
      </c>
      <c r="I28" s="64" t="s">
        <v>412</v>
      </c>
      <c r="J28" s="66" t="s">
        <v>414</v>
      </c>
    </row>
    <row r="29" customFormat="false" ht="15" hidden="false" customHeight="false" outlineLevel="0" collapsed="false">
      <c r="A29" s="5" t="s">
        <v>426</v>
      </c>
      <c r="B29" s="63" t="s">
        <v>411</v>
      </c>
      <c r="C29" s="64" t="s">
        <v>412</v>
      </c>
      <c r="D29" s="64" t="s">
        <v>412</v>
      </c>
      <c r="E29" s="64" t="s">
        <v>412</v>
      </c>
      <c r="F29" s="64" t="s">
        <v>412</v>
      </c>
      <c r="G29" s="64" t="s">
        <v>412</v>
      </c>
      <c r="H29" s="64" t="s">
        <v>412</v>
      </c>
      <c r="I29" s="65" t="s">
        <v>413</v>
      </c>
      <c r="J29" s="66" t="s">
        <v>414</v>
      </c>
    </row>
    <row r="30" customFormat="false" ht="15" hidden="false" customHeight="false" outlineLevel="0" collapsed="false">
      <c r="A30" s="12" t="s">
        <v>427</v>
      </c>
    </row>
    <row r="32" customFormat="false" ht="15" hidden="false" customHeight="false" outlineLevel="0" collapsed="false">
      <c r="A32" s="49" t="s">
        <v>428</v>
      </c>
    </row>
    <row r="33" customFormat="false" ht="15" hidden="false" customHeight="false" outlineLevel="0" collapsed="false">
      <c r="A33" s="22" t="s">
        <v>429</v>
      </c>
      <c r="B33" s="22" t="s">
        <v>430</v>
      </c>
      <c r="C33" s="22" t="s">
        <v>431</v>
      </c>
      <c r="D33" s="22" t="s">
        <v>432</v>
      </c>
    </row>
    <row r="34" customFormat="false" ht="35.05" hidden="false" customHeight="false" outlineLevel="0" collapsed="false">
      <c r="A34" s="5" t="s">
        <v>433</v>
      </c>
      <c r="B34" s="6" t="s">
        <v>434</v>
      </c>
      <c r="C34" s="6" t="s">
        <v>435</v>
      </c>
      <c r="D34" s="6" t="s">
        <v>436</v>
      </c>
    </row>
    <row r="35" customFormat="false" ht="35.05" hidden="false" customHeight="false" outlineLevel="0" collapsed="false">
      <c r="A35" s="5" t="s">
        <v>437</v>
      </c>
      <c r="B35" s="6" t="s">
        <v>438</v>
      </c>
      <c r="C35" s="6" t="s">
        <v>439</v>
      </c>
      <c r="D35" s="6" t="s">
        <v>440</v>
      </c>
    </row>
    <row r="36" customFormat="false" ht="35.05" hidden="false" customHeight="false" outlineLevel="0" collapsed="false">
      <c r="A36" s="5" t="s">
        <v>441</v>
      </c>
      <c r="B36" s="6" t="s">
        <v>442</v>
      </c>
      <c r="C36" s="6" t="s">
        <v>443</v>
      </c>
      <c r="D36" s="6" t="s">
        <v>444</v>
      </c>
    </row>
    <row r="37" customFormat="false" ht="35.05" hidden="false" customHeight="false" outlineLevel="0" collapsed="false">
      <c r="A37" s="5" t="s">
        <v>445</v>
      </c>
      <c r="B37" s="6" t="s">
        <v>446</v>
      </c>
      <c r="C37" s="6" t="s">
        <v>447</v>
      </c>
      <c r="D37" s="6" t="s">
        <v>448</v>
      </c>
    </row>
    <row r="38" customFormat="false" ht="23.85" hidden="false" customHeight="false" outlineLevel="0" collapsed="false">
      <c r="A38" s="5" t="s">
        <v>449</v>
      </c>
      <c r="B38" s="6" t="s">
        <v>450</v>
      </c>
      <c r="C38" s="6" t="s">
        <v>451</v>
      </c>
      <c r="D38" s="6" t="s">
        <v>452</v>
      </c>
    </row>
    <row r="39" customFormat="false" ht="35.05" hidden="false" customHeight="false" outlineLevel="0" collapsed="false">
      <c r="A39" s="5" t="s">
        <v>453</v>
      </c>
      <c r="B39" s="6" t="s">
        <v>454</v>
      </c>
      <c r="C39" s="6" t="s">
        <v>455</v>
      </c>
      <c r="D39" s="6" t="s">
        <v>456</v>
      </c>
    </row>
    <row r="40" customFormat="false" ht="35.05" hidden="false" customHeight="false" outlineLevel="0" collapsed="false">
      <c r="A40" s="5" t="s">
        <v>457</v>
      </c>
      <c r="B40" s="6" t="s">
        <v>458</v>
      </c>
      <c r="C40" s="6" t="s">
        <v>459</v>
      </c>
      <c r="D40" s="6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1" t="s">
        <v>15</v>
      </c>
    </row>
    <row r="2" customFormat="false" ht="15" hidden="false" customHeight="false" outlineLevel="0" collapsed="false">
      <c r="A2" s="12" t="s">
        <v>461</v>
      </c>
    </row>
    <row r="3" customFormat="false" ht="15" hidden="false" customHeight="false" outlineLevel="0" collapsed="false">
      <c r="A3" s="32" t="s">
        <v>462</v>
      </c>
      <c r="C3" s="35" t="n">
        <v>2</v>
      </c>
      <c r="D3" s="12" t="s">
        <v>463</v>
      </c>
    </row>
    <row r="4" customFormat="false" ht="15" hidden="false" customHeight="false" outlineLevel="0" collapsed="false">
      <c r="A4" s="32" t="s">
        <v>464</v>
      </c>
      <c r="C4" s="35" t="n">
        <v>5</v>
      </c>
      <c r="D4" s="12" t="s">
        <v>465</v>
      </c>
    </row>
    <row r="5" customFormat="false" ht="15" hidden="false" customHeight="false" outlineLevel="0" collapsed="false">
      <c r="A5" s="32" t="s">
        <v>466</v>
      </c>
      <c r="C5" s="35" t="n">
        <v>7</v>
      </c>
      <c r="D5" s="12" t="s">
        <v>467</v>
      </c>
    </row>
    <row r="7" customFormat="false" ht="15" hidden="false" customHeight="false" outlineLevel="0" collapsed="false">
      <c r="A7" s="49" t="s">
        <v>468</v>
      </c>
      <c r="F7" s="49" t="s">
        <v>469</v>
      </c>
    </row>
    <row r="8" customFormat="false" ht="23.85" hidden="false" customHeight="false" outlineLevel="0" collapsed="false">
      <c r="A8" s="22" t="s">
        <v>75</v>
      </c>
      <c r="B8" s="22" t="s">
        <v>114</v>
      </c>
      <c r="C8" s="22" t="s">
        <v>470</v>
      </c>
      <c r="D8" s="22" t="s">
        <v>471</v>
      </c>
      <c r="F8" s="22" t="s">
        <v>472</v>
      </c>
      <c r="G8" s="22" t="s">
        <v>73</v>
      </c>
      <c r="H8" s="22" t="s">
        <v>473</v>
      </c>
    </row>
    <row r="9" customFormat="false" ht="15" hidden="false" customHeight="false" outlineLevel="0" collapsed="false">
      <c r="A9" s="50" t="s">
        <v>167</v>
      </c>
      <c r="B9" s="50" t="s">
        <v>167</v>
      </c>
      <c r="C9" s="67" t="n">
        <v>30</v>
      </c>
      <c r="D9" s="50" t="s">
        <v>173</v>
      </c>
      <c r="F9" s="68" t="n">
        <v>46352</v>
      </c>
      <c r="G9" s="50" t="s">
        <v>117</v>
      </c>
      <c r="H9" s="50" t="s">
        <v>474</v>
      </c>
    </row>
    <row r="10" customFormat="false" ht="15" hidden="false" customHeight="false" outlineLevel="0" collapsed="false">
      <c r="A10" s="50" t="s">
        <v>119</v>
      </c>
      <c r="B10" s="50" t="s">
        <v>341</v>
      </c>
      <c r="C10" s="67" t="n">
        <v>10</v>
      </c>
      <c r="D10" s="50" t="s">
        <v>134</v>
      </c>
      <c r="F10" s="68" t="n">
        <v>46353</v>
      </c>
      <c r="G10" s="50" t="s">
        <v>117</v>
      </c>
      <c r="H10" s="50" t="s">
        <v>475</v>
      </c>
    </row>
    <row r="11" customFormat="false" ht="15" hidden="false" customHeight="false" outlineLevel="0" collapsed="false">
      <c r="A11" s="50" t="s">
        <v>248</v>
      </c>
      <c r="B11" s="50" t="s">
        <v>341</v>
      </c>
      <c r="C11" s="67" t="n">
        <v>10</v>
      </c>
      <c r="D11" s="50" t="s">
        <v>134</v>
      </c>
      <c r="F11" s="68" t="n">
        <v>46380</v>
      </c>
      <c r="G11" s="50" t="s">
        <v>246</v>
      </c>
      <c r="H11" s="50" t="s">
        <v>476</v>
      </c>
    </row>
    <row r="12" customFormat="false" ht="15" hidden="false" customHeight="false" outlineLevel="0" collapsed="false">
      <c r="A12" s="50" t="s">
        <v>231</v>
      </c>
      <c r="B12" s="50" t="s">
        <v>341</v>
      </c>
      <c r="C12" s="67" t="n">
        <v>10</v>
      </c>
      <c r="D12" s="50" t="s">
        <v>134</v>
      </c>
      <c r="F12" s="68" t="n">
        <v>46381</v>
      </c>
      <c r="G12" s="50" t="s">
        <v>246</v>
      </c>
      <c r="H12" s="50" t="s">
        <v>477</v>
      </c>
    </row>
    <row r="13" customFormat="false" ht="15" hidden="false" customHeight="false" outlineLevel="0" collapsed="false">
      <c r="A13" s="50" t="s">
        <v>144</v>
      </c>
      <c r="B13" s="50" t="s">
        <v>341</v>
      </c>
      <c r="C13" s="67" t="n">
        <v>15</v>
      </c>
      <c r="D13" s="50" t="s">
        <v>153</v>
      </c>
      <c r="F13" s="68" t="n">
        <v>46382</v>
      </c>
      <c r="G13" s="50" t="s">
        <v>178</v>
      </c>
      <c r="H13" s="50" t="s">
        <v>478</v>
      </c>
    </row>
    <row r="14" customFormat="false" ht="15" hidden="false" customHeight="false" outlineLevel="0" collapsed="false">
      <c r="A14" s="50" t="s">
        <v>260</v>
      </c>
      <c r="B14" s="50" t="s">
        <v>320</v>
      </c>
      <c r="C14" s="67" t="n">
        <v>3</v>
      </c>
      <c r="D14" s="50" t="s">
        <v>134</v>
      </c>
      <c r="F14" s="68" t="n">
        <v>46387</v>
      </c>
      <c r="G14" s="50" t="s">
        <v>246</v>
      </c>
      <c r="H14" s="50" t="s">
        <v>479</v>
      </c>
    </row>
    <row r="15" customFormat="false" ht="15" hidden="false" customHeight="false" outlineLevel="0" collapsed="false">
      <c r="A15" s="50" t="s">
        <v>480</v>
      </c>
      <c r="B15" s="50" t="s">
        <v>320</v>
      </c>
      <c r="C15" s="67" t="n">
        <v>3</v>
      </c>
      <c r="D15" s="50" t="s">
        <v>134</v>
      </c>
      <c r="F15" s="68" t="n">
        <v>46388</v>
      </c>
      <c r="G15" s="50" t="s">
        <v>246</v>
      </c>
      <c r="H15" s="50" t="s">
        <v>481</v>
      </c>
    </row>
    <row r="16" customFormat="false" ht="15" hidden="false" customHeight="false" outlineLevel="0" collapsed="false">
      <c r="A16" s="50" t="s">
        <v>482</v>
      </c>
      <c r="B16" s="50" t="s">
        <v>320</v>
      </c>
      <c r="C16" s="67" t="n">
        <v>3</v>
      </c>
      <c r="D16" s="50" t="s">
        <v>134</v>
      </c>
      <c r="F16" s="68" t="n">
        <v>46435</v>
      </c>
      <c r="G16" s="50" t="s">
        <v>217</v>
      </c>
      <c r="H16" s="50" t="s">
        <v>483</v>
      </c>
    </row>
    <row r="17" customFormat="false" ht="15" hidden="false" customHeight="false" outlineLevel="0" collapsed="false">
      <c r="A17" s="50" t="s">
        <v>205</v>
      </c>
      <c r="B17" s="50" t="s">
        <v>342</v>
      </c>
      <c r="C17" s="67" t="n">
        <v>40</v>
      </c>
      <c r="D17" s="50" t="s">
        <v>173</v>
      </c>
      <c r="F17" s="68" t="n">
        <v>46436</v>
      </c>
      <c r="G17" s="50" t="s">
        <v>217</v>
      </c>
      <c r="H17" s="50" t="s">
        <v>483</v>
      </c>
    </row>
    <row r="18" customFormat="false" ht="15" hidden="false" customHeight="false" outlineLevel="0" collapsed="false">
      <c r="A18" s="50" t="s">
        <v>484</v>
      </c>
      <c r="B18" s="50" t="s">
        <v>342</v>
      </c>
      <c r="C18" s="67" t="n">
        <v>25</v>
      </c>
      <c r="D18" s="50" t="s">
        <v>173</v>
      </c>
      <c r="F18" s="68"/>
      <c r="G18" s="50"/>
      <c r="H18" s="50"/>
    </row>
    <row r="19" customFormat="false" ht="15" hidden="false" customHeight="false" outlineLevel="0" collapsed="false">
      <c r="A19" s="50" t="s">
        <v>485</v>
      </c>
      <c r="B19" s="50" t="s">
        <v>486</v>
      </c>
      <c r="C19" s="67" t="n">
        <v>5</v>
      </c>
      <c r="D19" s="50" t="s">
        <v>487</v>
      </c>
      <c r="F19" s="68"/>
      <c r="G19" s="50"/>
      <c r="H19" s="50"/>
    </row>
    <row r="20" customFormat="false" ht="15" hidden="false" customHeight="false" outlineLevel="0" collapsed="false">
      <c r="A20" s="50" t="s">
        <v>270</v>
      </c>
      <c r="B20" s="50" t="s">
        <v>343</v>
      </c>
      <c r="C20" s="67" t="n">
        <v>15</v>
      </c>
      <c r="D20" s="50" t="s">
        <v>278</v>
      </c>
      <c r="F20" s="68"/>
      <c r="G20" s="50"/>
      <c r="H20" s="50"/>
    </row>
    <row r="21" customFormat="false" ht="15" hidden="false" customHeight="false" outlineLevel="0" collapsed="false">
      <c r="A21" s="50" t="s">
        <v>282</v>
      </c>
      <c r="B21" s="50" t="s">
        <v>344</v>
      </c>
      <c r="C21" s="67" t="n">
        <v>10</v>
      </c>
      <c r="D21" s="50" t="s">
        <v>287</v>
      </c>
      <c r="F21" s="68"/>
      <c r="G21" s="50"/>
      <c r="H21" s="50"/>
    </row>
    <row r="22" customFormat="false" ht="15" hidden="false" customHeight="false" outlineLevel="0" collapsed="false">
      <c r="A22" s="50" t="s">
        <v>488</v>
      </c>
      <c r="B22" s="50" t="s">
        <v>489</v>
      </c>
      <c r="C22" s="67" t="n">
        <v>5</v>
      </c>
      <c r="D22" s="50" t="s">
        <v>153</v>
      </c>
      <c r="F22" s="68"/>
      <c r="G22" s="50"/>
      <c r="H22" s="50"/>
    </row>
    <row r="23" customFormat="false" ht="15" hidden="false" customHeight="false" outlineLevel="0" collapsed="false">
      <c r="A23" s="50" t="s">
        <v>490</v>
      </c>
      <c r="B23" s="50" t="s">
        <v>491</v>
      </c>
      <c r="C23" s="67" t="n">
        <v>10</v>
      </c>
      <c r="D23" s="50" t="s">
        <v>134</v>
      </c>
      <c r="F23" s="68"/>
      <c r="G23" s="50"/>
      <c r="H23" s="50"/>
    </row>
    <row r="24" customFormat="false" ht="15" hidden="false" customHeight="false" outlineLevel="0" collapsed="false">
      <c r="A24" s="50" t="s">
        <v>492</v>
      </c>
      <c r="B24" s="50" t="s">
        <v>493</v>
      </c>
      <c r="C24" s="67" t="n">
        <v>10</v>
      </c>
      <c r="D24" s="50" t="s">
        <v>494</v>
      </c>
      <c r="F24" s="68"/>
      <c r="G24" s="50"/>
      <c r="H24" s="50"/>
    </row>
    <row r="25" customFormat="false" ht="15" hidden="false" customHeight="false" outlineLevel="0" collapsed="false">
      <c r="A25" s="12" t="s">
        <v>495</v>
      </c>
      <c r="F25" s="68"/>
      <c r="G25" s="50"/>
      <c r="H25" s="50"/>
    </row>
    <row r="26" customFormat="false" ht="15" hidden="false" customHeight="false" outlineLevel="0" collapsed="false">
      <c r="F26" s="68"/>
      <c r="G26" s="50"/>
      <c r="H26" s="50"/>
    </row>
    <row r="27" customFormat="false" ht="15" hidden="false" customHeight="false" outlineLevel="0" collapsed="false">
      <c r="F27" s="68"/>
      <c r="G27" s="50"/>
      <c r="H27" s="50"/>
    </row>
    <row r="28" customFormat="false" ht="15" hidden="false" customHeight="false" outlineLevel="0" collapsed="false">
      <c r="F28" s="68"/>
      <c r="G28" s="50"/>
      <c r="H28" s="50"/>
    </row>
    <row r="29" customFormat="false" ht="15" hidden="false" customHeight="false" outlineLevel="0" collapsed="false">
      <c r="F29" s="68"/>
      <c r="G29" s="50"/>
      <c r="H29" s="50"/>
    </row>
    <row r="30" customFormat="false" ht="15" hidden="false" customHeight="false" outlineLevel="0" collapsed="false">
      <c r="F30" s="68"/>
      <c r="G30" s="50"/>
      <c r="H30" s="50"/>
    </row>
    <row r="31" customFormat="false" ht="15" hidden="false" customHeight="false" outlineLevel="0" collapsed="false">
      <c r="F31" s="68"/>
      <c r="G31" s="50"/>
      <c r="H31" s="50"/>
    </row>
    <row r="32" customFormat="false" ht="15" hidden="false" customHeight="false" outlineLevel="0" collapsed="false">
      <c r="F32" s="68"/>
      <c r="G32" s="50"/>
      <c r="H32" s="50"/>
    </row>
    <row r="33" customFormat="false" ht="15" hidden="false" customHeight="false" outlineLevel="0" collapsed="false">
      <c r="F33" s="68"/>
      <c r="G33" s="50"/>
      <c r="H33" s="50"/>
    </row>
    <row r="34" customFormat="false" ht="15" hidden="false" customHeight="false" outlineLevel="0" collapsed="false">
      <c r="F34" s="68"/>
      <c r="G34" s="50"/>
      <c r="H34" s="50"/>
    </row>
    <row r="35" customFormat="false" ht="15" hidden="false" customHeight="false" outlineLevel="0" collapsed="false">
      <c r="F35" s="68"/>
      <c r="G35" s="50"/>
      <c r="H35" s="50"/>
    </row>
    <row r="36" customFormat="false" ht="15" hidden="false" customHeight="false" outlineLevel="0" collapsed="false">
      <c r="F36" s="68"/>
      <c r="G36" s="50"/>
      <c r="H36" s="50"/>
    </row>
    <row r="37" customFormat="false" ht="15" hidden="false" customHeight="false" outlineLevel="0" collapsed="false">
      <c r="F37" s="68"/>
      <c r="G37" s="50"/>
      <c r="H37" s="50"/>
    </row>
    <row r="38" customFormat="false" ht="15" hidden="false" customHeight="false" outlineLevel="0" collapsed="false">
      <c r="F38" s="68"/>
      <c r="G38" s="50"/>
      <c r="H38" s="50"/>
    </row>
    <row r="39" customFormat="false" ht="15" hidden="false" customHeight="false" outlineLevel="0" collapsed="false">
      <c r="F39" s="68"/>
      <c r="G39" s="50"/>
      <c r="H39" s="50"/>
    </row>
    <row r="40" customFormat="false" ht="15" hidden="false" customHeight="false" outlineLevel="0" collapsed="false">
      <c r="F40" s="68"/>
      <c r="G40" s="50"/>
      <c r="H40" s="50"/>
    </row>
    <row r="41" customFormat="false" ht="15" hidden="false" customHeight="false" outlineLevel="0" collapsed="false">
      <c r="F41" s="68"/>
      <c r="G41" s="50"/>
      <c r="H41" s="50"/>
    </row>
    <row r="42" customFormat="false" ht="15" hidden="false" customHeight="false" outlineLevel="0" collapsed="false">
      <c r="F42" s="68"/>
      <c r="G42" s="50"/>
      <c r="H42" s="50"/>
    </row>
    <row r="43" customFormat="false" ht="15" hidden="false" customHeight="false" outlineLevel="0" collapsed="false">
      <c r="F43" s="68"/>
      <c r="G43" s="50"/>
      <c r="H43" s="50"/>
    </row>
    <row r="44" customFormat="false" ht="15" hidden="false" customHeight="false" outlineLevel="0" collapsed="false">
      <c r="F44" s="68"/>
      <c r="G44" s="50"/>
      <c r="H44" s="50"/>
    </row>
    <row r="45" customFormat="false" ht="15" hidden="false" customHeight="false" outlineLevel="0" collapsed="false">
      <c r="F45" s="68"/>
      <c r="G45" s="50"/>
      <c r="H45" s="50"/>
    </row>
    <row r="46" customFormat="false" ht="15" hidden="false" customHeight="false" outlineLevel="0" collapsed="false">
      <c r="F46" s="68"/>
      <c r="G46" s="50"/>
      <c r="H46" s="50"/>
    </row>
    <row r="47" customFormat="false" ht="15" hidden="false" customHeight="false" outlineLevel="0" collapsed="false">
      <c r="F47" s="68"/>
      <c r="G47" s="50"/>
      <c r="H47" s="50"/>
    </row>
    <row r="48" customFormat="false" ht="15" hidden="false" customHeight="false" outlineLevel="0" collapsed="false">
      <c r="F48" s="68"/>
      <c r="G48" s="50"/>
      <c r="H48" s="50"/>
    </row>
    <row r="49" customFormat="false" ht="15" hidden="false" customHeight="false" outlineLevel="0" collapsed="false">
      <c r="F49" s="68"/>
      <c r="G49" s="50"/>
      <c r="H49" s="50"/>
    </row>
    <row r="50" customFormat="false" ht="15" hidden="false" customHeight="false" outlineLevel="0" collapsed="false">
      <c r="F50" s="68"/>
      <c r="G50" s="50"/>
      <c r="H50" s="50"/>
    </row>
    <row r="51" customFormat="false" ht="15" hidden="false" customHeight="false" outlineLevel="0" collapsed="false">
      <c r="F51" s="68"/>
      <c r="G51" s="50"/>
      <c r="H51" s="50"/>
    </row>
    <row r="52" customFormat="false" ht="15" hidden="false" customHeight="false" outlineLevel="0" collapsed="false">
      <c r="F52" s="68"/>
      <c r="G52" s="50"/>
      <c r="H52" s="50"/>
    </row>
    <row r="53" customFormat="false" ht="15" hidden="false" customHeight="false" outlineLevel="0" collapsed="false">
      <c r="F53" s="68"/>
      <c r="G53" s="50"/>
      <c r="H53" s="50"/>
    </row>
    <row r="54" customFormat="false" ht="15" hidden="false" customHeight="false" outlineLevel="0" collapsed="false">
      <c r="F54" s="68"/>
      <c r="G54" s="50"/>
      <c r="H54" s="50"/>
    </row>
    <row r="55" customFormat="false" ht="15" hidden="false" customHeight="false" outlineLevel="0" collapsed="false">
      <c r="F55" s="68"/>
      <c r="G55" s="50"/>
      <c r="H55" s="50"/>
    </row>
    <row r="56" customFormat="false" ht="15" hidden="false" customHeight="false" outlineLevel="0" collapsed="false">
      <c r="F56" s="68"/>
      <c r="G56" s="50"/>
      <c r="H56" s="50"/>
    </row>
    <row r="57" customFormat="false" ht="15" hidden="false" customHeight="false" outlineLevel="0" collapsed="false">
      <c r="F57" s="68"/>
      <c r="G57" s="50"/>
      <c r="H57" s="50"/>
    </row>
    <row r="58" customFormat="false" ht="15" hidden="false" customHeight="false" outlineLevel="0" collapsed="false">
      <c r="F58" s="68"/>
      <c r="G58" s="50"/>
      <c r="H58" s="50"/>
    </row>
    <row r="59" customFormat="false" ht="15" hidden="false" customHeight="false" outlineLevel="0" collapsed="false">
      <c r="F59" s="68"/>
      <c r="G59" s="50"/>
      <c r="H59" s="50"/>
    </row>
    <row r="60" customFormat="false" ht="15" hidden="false" customHeight="false" outlineLevel="0" collapsed="false">
      <c r="F60" s="68"/>
      <c r="G60" s="50"/>
      <c r="H60" s="50"/>
    </row>
    <row r="61" customFormat="false" ht="15" hidden="false" customHeight="false" outlineLevel="0" collapsed="false">
      <c r="F61" s="12" t="s">
        <v>496</v>
      </c>
    </row>
  </sheetData>
  <dataValidations count="1">
    <dataValidation allowBlank="true" errorStyle="stop" operator="between" showDropDown="false" showErrorMessage="false" showInputMessage="false" sqref="G9:G60" type="list">
      <formula1>Dropdowns!$A$2:$A$5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11" t="s">
        <v>17</v>
      </c>
    </row>
    <row r="2" customFormat="false" ht="15" hidden="false" customHeight="false" outlineLevel="0" collapsed="false">
      <c r="A2" s="12" t="s">
        <v>497</v>
      </c>
    </row>
    <row r="4" customFormat="false" ht="23.85" hidden="false" customHeight="false" outlineLevel="0" collapsed="false">
      <c r="A4" s="22" t="s">
        <v>472</v>
      </c>
      <c r="B4" s="22" t="s">
        <v>498</v>
      </c>
      <c r="C4" s="22" t="s">
        <v>499</v>
      </c>
      <c r="D4" s="22" t="s">
        <v>500</v>
      </c>
      <c r="E4" s="22" t="s">
        <v>501</v>
      </c>
      <c r="F4" s="22" t="s">
        <v>473</v>
      </c>
      <c r="G4" s="22" t="s">
        <v>502</v>
      </c>
      <c r="H4" s="22" t="s">
        <v>503</v>
      </c>
      <c r="I4" s="22" t="s">
        <v>504</v>
      </c>
    </row>
    <row r="5" customFormat="false" ht="23.85" hidden="false" customHeight="false" outlineLevel="0" collapsed="false">
      <c r="A5" s="69" t="n">
        <v>46303</v>
      </c>
      <c r="B5" s="6" t="s">
        <v>143</v>
      </c>
      <c r="C5" s="6" t="s">
        <v>505</v>
      </c>
      <c r="D5" s="6" t="s">
        <v>506</v>
      </c>
      <c r="E5" s="6" t="s">
        <v>507</v>
      </c>
      <c r="F5" s="6" t="s">
        <v>508</v>
      </c>
      <c r="G5" s="6" t="s">
        <v>153</v>
      </c>
      <c r="H5" s="6" t="s">
        <v>133</v>
      </c>
      <c r="I5" s="6" t="s">
        <v>156</v>
      </c>
    </row>
    <row r="6" customFormat="false" ht="15" hidden="false" customHeight="false" outlineLevel="0" collapsed="false">
      <c r="A6" s="69"/>
      <c r="B6" s="6"/>
      <c r="C6" s="6"/>
      <c r="D6" s="6"/>
      <c r="E6" s="6"/>
      <c r="F6" s="6"/>
      <c r="G6" s="6"/>
      <c r="H6" s="6"/>
      <c r="I6" s="6"/>
    </row>
    <row r="7" customFormat="false" ht="15" hidden="false" customHeight="false" outlineLevel="0" collapsed="false">
      <c r="A7" s="69"/>
      <c r="B7" s="6"/>
      <c r="C7" s="6"/>
      <c r="D7" s="6"/>
      <c r="E7" s="6"/>
      <c r="F7" s="6"/>
      <c r="G7" s="6"/>
      <c r="H7" s="6"/>
      <c r="I7" s="6"/>
    </row>
    <row r="8" customFormat="false" ht="15" hidden="false" customHeight="false" outlineLevel="0" collapsed="false">
      <c r="A8" s="69"/>
      <c r="B8" s="6"/>
      <c r="C8" s="6"/>
      <c r="D8" s="6"/>
      <c r="E8" s="6"/>
      <c r="F8" s="6"/>
      <c r="G8" s="6"/>
      <c r="H8" s="6"/>
      <c r="I8" s="6"/>
    </row>
    <row r="9" customFormat="false" ht="15" hidden="false" customHeight="false" outlineLevel="0" collapsed="false">
      <c r="A9" s="69"/>
      <c r="B9" s="6"/>
      <c r="C9" s="6"/>
      <c r="D9" s="6"/>
      <c r="E9" s="6"/>
      <c r="F9" s="6"/>
      <c r="G9" s="6"/>
      <c r="H9" s="6"/>
      <c r="I9" s="6"/>
    </row>
    <row r="10" customFormat="false" ht="15" hidden="false" customHeight="false" outlineLevel="0" collapsed="false">
      <c r="A10" s="69"/>
      <c r="B10" s="6"/>
      <c r="C10" s="6"/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A11" s="69"/>
      <c r="B11" s="6"/>
      <c r="C11" s="6"/>
      <c r="D11" s="6"/>
      <c r="E11" s="6"/>
      <c r="F11" s="6"/>
      <c r="G11" s="6"/>
      <c r="H11" s="6"/>
      <c r="I11" s="6"/>
    </row>
    <row r="12" customFormat="false" ht="15" hidden="false" customHeight="false" outlineLevel="0" collapsed="false">
      <c r="A12" s="69"/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false" outlineLevel="0" collapsed="false">
      <c r="A13" s="69"/>
      <c r="B13" s="6"/>
      <c r="C13" s="6"/>
      <c r="D13" s="6"/>
      <c r="E13" s="6"/>
      <c r="F13" s="6"/>
      <c r="G13" s="6"/>
      <c r="H13" s="6"/>
      <c r="I13" s="6"/>
    </row>
    <row r="14" customFormat="false" ht="15" hidden="false" customHeight="false" outlineLevel="0" collapsed="false">
      <c r="A14" s="69"/>
      <c r="B14" s="6"/>
      <c r="C14" s="6"/>
      <c r="D14" s="6"/>
      <c r="E14" s="6"/>
      <c r="F14" s="6"/>
      <c r="G14" s="6"/>
      <c r="H14" s="6"/>
      <c r="I14" s="6"/>
    </row>
    <row r="15" customFormat="false" ht="15" hidden="false" customHeight="false" outlineLevel="0" collapsed="false">
      <c r="A15" s="69"/>
      <c r="B15" s="6"/>
      <c r="C15" s="6"/>
      <c r="D15" s="6"/>
      <c r="E15" s="6"/>
      <c r="F15" s="6"/>
      <c r="G15" s="6"/>
      <c r="H15" s="6"/>
      <c r="I15" s="6"/>
    </row>
    <row r="16" customFormat="false" ht="15" hidden="false" customHeight="false" outlineLevel="0" collapsed="false">
      <c r="A16" s="69"/>
      <c r="B16" s="6"/>
      <c r="C16" s="6"/>
      <c r="D16" s="6"/>
      <c r="E16" s="6"/>
      <c r="F16" s="6"/>
      <c r="G16" s="6"/>
      <c r="H16" s="6"/>
      <c r="I16" s="6"/>
    </row>
    <row r="17" customFormat="false" ht="15" hidden="false" customHeight="false" outlineLevel="0" collapsed="false">
      <c r="A17" s="69"/>
      <c r="B17" s="6"/>
      <c r="C17" s="6"/>
      <c r="D17" s="6"/>
      <c r="E17" s="6"/>
      <c r="F17" s="6"/>
      <c r="G17" s="6"/>
      <c r="H17" s="6"/>
      <c r="I17" s="6"/>
    </row>
    <row r="18" customFormat="false" ht="15" hidden="false" customHeight="false" outlineLevel="0" collapsed="false">
      <c r="A18" s="69"/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A19" s="69"/>
      <c r="B19" s="6"/>
      <c r="C19" s="6"/>
      <c r="D19" s="6"/>
      <c r="E19" s="6"/>
      <c r="F19" s="6"/>
      <c r="G19" s="6"/>
      <c r="H19" s="6"/>
      <c r="I19" s="6"/>
    </row>
    <row r="20" customFormat="false" ht="15" hidden="false" customHeight="false" outlineLevel="0" collapsed="false">
      <c r="A20" s="69"/>
      <c r="B20" s="6"/>
      <c r="C20" s="6"/>
      <c r="D20" s="6"/>
      <c r="E20" s="6"/>
      <c r="F20" s="6"/>
      <c r="G20" s="6"/>
      <c r="H20" s="6"/>
      <c r="I20" s="6"/>
    </row>
    <row r="21" customFormat="false" ht="15" hidden="false" customHeight="false" outlineLevel="0" collapsed="false">
      <c r="A21" s="69"/>
      <c r="B21" s="6"/>
      <c r="C21" s="6"/>
      <c r="D21" s="6"/>
      <c r="E21" s="6"/>
      <c r="F21" s="6"/>
      <c r="G21" s="6"/>
      <c r="H21" s="6"/>
      <c r="I21" s="6"/>
    </row>
    <row r="22" customFormat="false" ht="15" hidden="false" customHeight="false" outlineLevel="0" collapsed="false">
      <c r="A22" s="69"/>
      <c r="B22" s="6"/>
      <c r="C22" s="6"/>
      <c r="D22" s="6"/>
      <c r="E22" s="6"/>
      <c r="F22" s="6"/>
      <c r="G22" s="6"/>
      <c r="H22" s="6"/>
      <c r="I22" s="6"/>
    </row>
    <row r="23" customFormat="false" ht="15" hidden="false" customHeight="false" outlineLevel="0" collapsed="false">
      <c r="A23" s="69"/>
      <c r="B23" s="6"/>
      <c r="C23" s="6"/>
      <c r="D23" s="6"/>
      <c r="E23" s="6"/>
      <c r="F23" s="6"/>
      <c r="G23" s="6"/>
      <c r="H23" s="6"/>
      <c r="I23" s="6"/>
    </row>
    <row r="24" customFormat="false" ht="15" hidden="false" customHeight="false" outlineLevel="0" collapsed="false">
      <c r="A24" s="69"/>
      <c r="B24" s="6"/>
      <c r="C24" s="6"/>
      <c r="D24" s="6"/>
      <c r="E24" s="6"/>
      <c r="F24" s="6"/>
      <c r="G24" s="6"/>
      <c r="H24" s="6"/>
      <c r="I24" s="6"/>
    </row>
    <row r="25" customFormat="false" ht="15" hidden="false" customHeight="false" outlineLevel="0" collapsed="false">
      <c r="A25" s="69"/>
      <c r="B25" s="6"/>
      <c r="C25" s="6"/>
      <c r="D25" s="6"/>
      <c r="E25" s="6"/>
      <c r="F25" s="6"/>
      <c r="G25" s="6"/>
      <c r="H25" s="6"/>
      <c r="I25" s="6"/>
    </row>
    <row r="26" customFormat="false" ht="15" hidden="false" customHeight="false" outlineLevel="0" collapsed="false">
      <c r="A26" s="69"/>
      <c r="B26" s="6"/>
      <c r="C26" s="6"/>
      <c r="D26" s="6"/>
      <c r="E26" s="6"/>
      <c r="F26" s="6"/>
      <c r="G26" s="6"/>
      <c r="H26" s="6"/>
      <c r="I26" s="6"/>
    </row>
    <row r="27" customFormat="false" ht="15" hidden="false" customHeight="false" outlineLevel="0" collapsed="false">
      <c r="A27" s="69"/>
      <c r="B27" s="6"/>
      <c r="C27" s="6"/>
      <c r="D27" s="6"/>
      <c r="E27" s="6"/>
      <c r="F27" s="6"/>
      <c r="G27" s="6"/>
      <c r="H27" s="6"/>
      <c r="I27" s="6"/>
    </row>
    <row r="28" customFormat="false" ht="15" hidden="false" customHeight="false" outlineLevel="0" collapsed="false">
      <c r="A28" s="69"/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69"/>
      <c r="B29" s="6"/>
      <c r="C29" s="6"/>
      <c r="D29" s="6"/>
      <c r="E29" s="6"/>
      <c r="F29" s="6"/>
      <c r="G29" s="6"/>
      <c r="H29" s="6"/>
      <c r="I29" s="6"/>
    </row>
    <row r="30" customFormat="false" ht="15" hidden="false" customHeight="false" outlineLevel="0" collapsed="false">
      <c r="A30" s="69"/>
      <c r="B30" s="6"/>
      <c r="C30" s="6"/>
      <c r="D30" s="6"/>
      <c r="E30" s="6"/>
      <c r="F30" s="6"/>
      <c r="G30" s="6"/>
      <c r="H30" s="6"/>
      <c r="I30" s="6"/>
    </row>
    <row r="31" customFormat="false" ht="15" hidden="false" customHeight="false" outlineLevel="0" collapsed="false">
      <c r="A31" s="69"/>
      <c r="B31" s="6"/>
      <c r="C31" s="6"/>
      <c r="D31" s="6"/>
      <c r="E31" s="6"/>
      <c r="F31" s="6"/>
      <c r="G31" s="6"/>
      <c r="H31" s="6"/>
      <c r="I31" s="6"/>
    </row>
    <row r="32" customFormat="false" ht="15" hidden="false" customHeight="false" outlineLevel="0" collapsed="false">
      <c r="A32" s="69"/>
      <c r="B32" s="6"/>
      <c r="C32" s="6"/>
      <c r="D32" s="6"/>
      <c r="E32" s="6"/>
      <c r="F32" s="6"/>
      <c r="G32" s="6"/>
      <c r="H32" s="6"/>
      <c r="I32" s="6"/>
    </row>
    <row r="33" customFormat="false" ht="15" hidden="false" customHeight="false" outlineLevel="0" collapsed="false">
      <c r="A33" s="69"/>
      <c r="B33" s="6"/>
      <c r="C33" s="6"/>
      <c r="D33" s="6"/>
      <c r="E33" s="6"/>
      <c r="F33" s="6"/>
      <c r="G33" s="6"/>
      <c r="H33" s="6"/>
      <c r="I33" s="6"/>
    </row>
    <row r="34" customFormat="false" ht="15" hidden="false" customHeight="false" outlineLevel="0" collapsed="false">
      <c r="A34" s="69"/>
      <c r="B34" s="6"/>
      <c r="C34" s="6"/>
      <c r="D34" s="6"/>
      <c r="E34" s="6"/>
      <c r="F34" s="6"/>
      <c r="G34" s="6"/>
      <c r="H34" s="6"/>
      <c r="I34" s="6"/>
    </row>
    <row r="35" customFormat="false" ht="15" hidden="false" customHeight="false" outlineLevel="0" collapsed="false">
      <c r="A35" s="69"/>
      <c r="B35" s="6"/>
      <c r="C35" s="6"/>
      <c r="D35" s="6"/>
      <c r="E35" s="6"/>
      <c r="F35" s="6"/>
      <c r="G35" s="6"/>
      <c r="H35" s="6"/>
      <c r="I35" s="6"/>
    </row>
    <row r="36" customFormat="false" ht="15" hidden="false" customHeight="false" outlineLevel="0" collapsed="false">
      <c r="A36" s="69"/>
      <c r="B36" s="6"/>
      <c r="C36" s="6"/>
      <c r="D36" s="6"/>
      <c r="E36" s="6"/>
      <c r="F36" s="6"/>
      <c r="G36" s="6"/>
      <c r="H36" s="6"/>
      <c r="I36" s="6"/>
    </row>
    <row r="37" customFormat="false" ht="15" hidden="false" customHeight="false" outlineLevel="0" collapsed="false">
      <c r="A37" s="69"/>
      <c r="B37" s="6"/>
      <c r="C37" s="6"/>
      <c r="D37" s="6"/>
      <c r="E37" s="6"/>
      <c r="F37" s="6"/>
      <c r="G37" s="6"/>
      <c r="H37" s="6"/>
      <c r="I37" s="6"/>
    </row>
    <row r="38" customFormat="false" ht="15" hidden="false" customHeight="false" outlineLevel="0" collapsed="false">
      <c r="A38" s="69"/>
      <c r="B38" s="6"/>
      <c r="C38" s="6"/>
      <c r="D38" s="6"/>
      <c r="E38" s="6"/>
      <c r="F38" s="6"/>
      <c r="G38" s="6"/>
      <c r="H38" s="6"/>
      <c r="I38" s="6"/>
    </row>
    <row r="39" customFormat="false" ht="15" hidden="false" customHeight="false" outlineLevel="0" collapsed="false">
      <c r="A39" s="69"/>
      <c r="B39" s="6"/>
      <c r="C39" s="6"/>
      <c r="D39" s="6"/>
      <c r="E39" s="6"/>
      <c r="F39" s="6"/>
      <c r="G39" s="6"/>
      <c r="H39" s="6"/>
      <c r="I39" s="6"/>
    </row>
    <row r="40" customFormat="false" ht="15" hidden="false" customHeight="false" outlineLevel="0" collapsed="false">
      <c r="A40" s="69"/>
      <c r="B40" s="6"/>
      <c r="C40" s="6"/>
      <c r="D40" s="6"/>
      <c r="E40" s="6"/>
      <c r="F40" s="6"/>
      <c r="G40" s="6"/>
      <c r="H40" s="6"/>
      <c r="I40" s="6"/>
    </row>
    <row r="41" customFormat="false" ht="15" hidden="false" customHeight="false" outlineLevel="0" collapsed="false">
      <c r="A41" s="69"/>
      <c r="B41" s="6"/>
      <c r="C41" s="6"/>
      <c r="D41" s="6"/>
      <c r="E41" s="6"/>
      <c r="F41" s="6"/>
      <c r="G41" s="6"/>
      <c r="H41" s="6"/>
      <c r="I41" s="6"/>
    </row>
    <row r="42" customFormat="false" ht="15" hidden="false" customHeight="false" outlineLevel="0" collapsed="false">
      <c r="A42" s="69"/>
      <c r="B42" s="6"/>
      <c r="C42" s="6"/>
      <c r="D42" s="6"/>
      <c r="E42" s="6"/>
      <c r="F42" s="6"/>
      <c r="G42" s="6"/>
      <c r="H42" s="6"/>
      <c r="I42" s="6"/>
    </row>
    <row r="43" customFormat="false" ht="15" hidden="false" customHeight="false" outlineLevel="0" collapsed="false">
      <c r="A43" s="69"/>
      <c r="B43" s="6"/>
      <c r="C43" s="6"/>
      <c r="D43" s="6"/>
      <c r="E43" s="6"/>
      <c r="F43" s="6"/>
      <c r="G43" s="6"/>
      <c r="H43" s="6"/>
      <c r="I43" s="6"/>
    </row>
    <row r="44" customFormat="false" ht="15" hidden="false" customHeight="false" outlineLevel="0" collapsed="false">
      <c r="A44" s="69"/>
      <c r="B44" s="6"/>
      <c r="C44" s="6"/>
      <c r="D44" s="6"/>
      <c r="E44" s="6"/>
      <c r="F44" s="6"/>
      <c r="G44" s="6"/>
      <c r="H44" s="6"/>
      <c r="I44" s="6"/>
    </row>
    <row r="45" customFormat="false" ht="15" hidden="false" customHeight="false" outlineLevel="0" collapsed="false">
      <c r="A45" s="69"/>
      <c r="B45" s="6"/>
      <c r="C45" s="6"/>
      <c r="D45" s="6"/>
      <c r="E45" s="6"/>
      <c r="F45" s="6"/>
      <c r="G45" s="6"/>
      <c r="H45" s="6"/>
      <c r="I45" s="6"/>
    </row>
    <row r="46" customFormat="false" ht="15" hidden="false" customHeight="false" outlineLevel="0" collapsed="false">
      <c r="A46" s="69"/>
      <c r="B46" s="6"/>
      <c r="C46" s="6"/>
      <c r="D46" s="6"/>
      <c r="E46" s="6"/>
      <c r="F46" s="6"/>
      <c r="G46" s="6"/>
      <c r="H46" s="6"/>
      <c r="I46" s="6"/>
    </row>
    <row r="47" customFormat="false" ht="15" hidden="false" customHeight="false" outlineLevel="0" collapsed="false">
      <c r="A47" s="69"/>
      <c r="B47" s="6"/>
      <c r="C47" s="6"/>
      <c r="D47" s="6"/>
      <c r="E47" s="6"/>
      <c r="F47" s="6"/>
      <c r="G47" s="6"/>
      <c r="H47" s="6"/>
      <c r="I47" s="6"/>
    </row>
    <row r="48" customFormat="false" ht="15" hidden="false" customHeight="false" outlineLevel="0" collapsed="false">
      <c r="A48" s="69"/>
      <c r="B48" s="6"/>
      <c r="C48" s="6"/>
      <c r="D48" s="6"/>
      <c r="E48" s="6"/>
      <c r="F48" s="6"/>
      <c r="G48" s="6"/>
      <c r="H48" s="6"/>
      <c r="I48" s="6"/>
    </row>
    <row r="49" customFormat="false" ht="15" hidden="false" customHeight="false" outlineLevel="0" collapsed="false">
      <c r="A49" s="69"/>
      <c r="B49" s="6"/>
      <c r="C49" s="6"/>
      <c r="D49" s="6"/>
      <c r="E49" s="6"/>
      <c r="F49" s="6"/>
      <c r="G49" s="6"/>
      <c r="H49" s="6"/>
      <c r="I49" s="6"/>
    </row>
    <row r="50" customFormat="false" ht="15" hidden="false" customHeight="false" outlineLevel="0" collapsed="false">
      <c r="A50" s="69"/>
      <c r="B50" s="6"/>
      <c r="C50" s="6"/>
      <c r="D50" s="6"/>
      <c r="E50" s="6"/>
      <c r="F50" s="6"/>
      <c r="G50" s="6"/>
      <c r="H50" s="6"/>
      <c r="I50" s="6"/>
    </row>
    <row r="51" customFormat="false" ht="15" hidden="false" customHeight="false" outlineLevel="0" collapsed="false">
      <c r="A51" s="69"/>
      <c r="B51" s="6"/>
      <c r="C51" s="6"/>
      <c r="D51" s="6"/>
      <c r="E51" s="6"/>
      <c r="F51" s="6"/>
      <c r="G51" s="6"/>
      <c r="H51" s="6"/>
      <c r="I51" s="6"/>
    </row>
    <row r="52" customFormat="false" ht="15" hidden="false" customHeight="false" outlineLevel="0" collapsed="false">
      <c r="A52" s="69"/>
      <c r="B52" s="6"/>
      <c r="C52" s="6"/>
      <c r="D52" s="6"/>
      <c r="E52" s="6"/>
      <c r="F52" s="6"/>
      <c r="G52" s="6"/>
      <c r="H52" s="6"/>
      <c r="I52" s="6"/>
    </row>
    <row r="53" customFormat="false" ht="15" hidden="false" customHeight="false" outlineLevel="0" collapsed="false">
      <c r="A53" s="69"/>
      <c r="B53" s="6"/>
      <c r="C53" s="6"/>
      <c r="D53" s="6"/>
      <c r="E53" s="6"/>
      <c r="F53" s="6"/>
      <c r="G53" s="6"/>
      <c r="H53" s="6"/>
      <c r="I53" s="6"/>
    </row>
    <row r="54" customFormat="false" ht="15" hidden="false" customHeight="false" outlineLevel="0" collapsed="false">
      <c r="A54" s="69"/>
      <c r="B54" s="6"/>
      <c r="C54" s="6"/>
      <c r="D54" s="6"/>
      <c r="E54" s="6"/>
      <c r="F54" s="6"/>
      <c r="G54" s="6"/>
      <c r="H54" s="6"/>
      <c r="I54" s="6"/>
    </row>
    <row r="55" customFormat="false" ht="15" hidden="false" customHeight="false" outlineLevel="0" collapsed="false">
      <c r="A55" s="69"/>
      <c r="B55" s="6"/>
      <c r="C55" s="6"/>
      <c r="D55" s="6"/>
      <c r="E55" s="6"/>
      <c r="F55" s="6"/>
      <c r="G55" s="6"/>
      <c r="H55" s="6"/>
      <c r="I55" s="6"/>
    </row>
    <row r="56" customFormat="false" ht="15" hidden="false" customHeight="false" outlineLevel="0" collapsed="false">
      <c r="A56" s="69"/>
      <c r="B56" s="6"/>
      <c r="C56" s="6"/>
      <c r="D56" s="6"/>
      <c r="E56" s="6"/>
      <c r="F56" s="6"/>
      <c r="G56" s="6"/>
      <c r="H56" s="6"/>
      <c r="I56" s="6"/>
    </row>
    <row r="57" customFormat="false" ht="15" hidden="false" customHeight="false" outlineLevel="0" collapsed="false">
      <c r="A57" s="69"/>
      <c r="B57" s="6"/>
      <c r="C57" s="6"/>
      <c r="D57" s="6"/>
      <c r="E57" s="6"/>
      <c r="F57" s="6"/>
      <c r="G57" s="6"/>
      <c r="H57" s="6"/>
      <c r="I57" s="6"/>
    </row>
    <row r="58" customFormat="false" ht="15" hidden="false" customHeight="false" outlineLevel="0" collapsed="false">
      <c r="A58" s="69"/>
      <c r="B58" s="6"/>
      <c r="C58" s="6"/>
      <c r="D58" s="6"/>
      <c r="E58" s="6"/>
      <c r="F58" s="6"/>
      <c r="G58" s="6"/>
      <c r="H58" s="6"/>
      <c r="I58" s="6"/>
    </row>
    <row r="59" customFormat="false" ht="15" hidden="false" customHeight="false" outlineLevel="0" collapsed="false">
      <c r="A59" s="69"/>
      <c r="B59" s="6"/>
      <c r="C59" s="6"/>
      <c r="D59" s="6"/>
      <c r="E59" s="6"/>
      <c r="F59" s="6"/>
      <c r="G59" s="6"/>
      <c r="H59" s="6"/>
      <c r="I59" s="6"/>
    </row>
    <row r="60" customFormat="false" ht="15" hidden="false" customHeight="false" outlineLevel="0" collapsed="false">
      <c r="A60" s="69"/>
      <c r="B60" s="6"/>
      <c r="C60" s="6"/>
      <c r="D60" s="6"/>
      <c r="E60" s="6"/>
      <c r="F60" s="6"/>
      <c r="G60" s="6"/>
      <c r="H60" s="6"/>
      <c r="I60" s="6"/>
    </row>
    <row r="61" customFormat="false" ht="15" hidden="false" customHeight="false" outlineLevel="0" collapsed="false">
      <c r="A61" s="69"/>
      <c r="B61" s="6"/>
      <c r="C61" s="6"/>
      <c r="D61" s="6"/>
      <c r="E61" s="6"/>
      <c r="F61" s="6"/>
      <c r="G61" s="6"/>
      <c r="H61" s="6"/>
      <c r="I61" s="6"/>
    </row>
    <row r="62" customFormat="false" ht="15" hidden="false" customHeight="false" outlineLevel="0" collapsed="false">
      <c r="A62" s="69"/>
      <c r="B62" s="6"/>
      <c r="C62" s="6"/>
      <c r="D62" s="6"/>
      <c r="E62" s="6"/>
      <c r="F62" s="6"/>
      <c r="G62" s="6"/>
      <c r="H62" s="6"/>
      <c r="I62" s="6"/>
    </row>
    <row r="63" customFormat="false" ht="15" hidden="false" customHeight="false" outlineLevel="0" collapsed="false">
      <c r="A63" s="69"/>
      <c r="B63" s="6"/>
      <c r="C63" s="6"/>
      <c r="D63" s="6"/>
      <c r="E63" s="6"/>
      <c r="F63" s="6"/>
      <c r="G63" s="6"/>
      <c r="H63" s="6"/>
      <c r="I63" s="6"/>
    </row>
    <row r="64" customFormat="false" ht="15" hidden="false" customHeight="false" outlineLevel="0" collapsed="false">
      <c r="A64" s="69"/>
      <c r="B64" s="6"/>
      <c r="C64" s="6"/>
      <c r="D64" s="6"/>
      <c r="E64" s="6"/>
      <c r="F64" s="6"/>
      <c r="G64" s="6"/>
      <c r="H64" s="6"/>
      <c r="I64" s="6"/>
    </row>
    <row r="65" customFormat="false" ht="15" hidden="false" customHeight="false" outlineLevel="0" collapsed="false">
      <c r="A65" s="69"/>
      <c r="B65" s="6"/>
      <c r="C65" s="6"/>
      <c r="D65" s="6"/>
      <c r="E65" s="6"/>
      <c r="F65" s="6"/>
      <c r="G65" s="6"/>
      <c r="H65" s="6"/>
      <c r="I65" s="6"/>
    </row>
    <row r="66" customFormat="false" ht="15" hidden="false" customHeight="false" outlineLevel="0" collapsed="false">
      <c r="A66" s="69"/>
      <c r="B66" s="6"/>
      <c r="C66" s="6"/>
      <c r="D66" s="6"/>
      <c r="E66" s="6"/>
      <c r="F66" s="6"/>
      <c r="G66" s="6"/>
      <c r="H66" s="6"/>
      <c r="I66" s="6"/>
    </row>
    <row r="67" customFormat="false" ht="15" hidden="false" customHeight="false" outlineLevel="0" collapsed="false">
      <c r="A67" s="69"/>
      <c r="B67" s="6"/>
      <c r="C67" s="6"/>
      <c r="D67" s="6"/>
      <c r="E67" s="6"/>
      <c r="F67" s="6"/>
      <c r="G67" s="6"/>
      <c r="H67" s="6"/>
      <c r="I67" s="6"/>
    </row>
    <row r="68" customFormat="false" ht="15" hidden="false" customHeight="false" outlineLevel="0" collapsed="false">
      <c r="A68" s="69"/>
      <c r="B68" s="6"/>
      <c r="C68" s="6"/>
      <c r="D68" s="6"/>
      <c r="E68" s="6"/>
      <c r="F68" s="6"/>
      <c r="G68" s="6"/>
      <c r="H68" s="6"/>
      <c r="I68" s="6"/>
    </row>
    <row r="69" customFormat="false" ht="15" hidden="false" customHeight="false" outlineLevel="0" collapsed="false">
      <c r="A69" s="69"/>
      <c r="B69" s="6"/>
      <c r="C69" s="6"/>
      <c r="D69" s="6"/>
      <c r="E69" s="6"/>
      <c r="F69" s="6"/>
      <c r="G69" s="6"/>
      <c r="H69" s="6"/>
      <c r="I69" s="6"/>
    </row>
    <row r="70" customFormat="false" ht="15" hidden="false" customHeight="false" outlineLevel="0" collapsed="false">
      <c r="A70" s="69"/>
      <c r="B70" s="6"/>
      <c r="C70" s="6"/>
      <c r="D70" s="6"/>
      <c r="E70" s="6"/>
      <c r="F70" s="6"/>
      <c r="G70" s="6"/>
      <c r="H70" s="6"/>
      <c r="I70" s="6"/>
    </row>
    <row r="71" customFormat="false" ht="15" hidden="false" customHeight="false" outlineLevel="0" collapsed="false">
      <c r="A71" s="69"/>
      <c r="B71" s="6"/>
      <c r="C71" s="6"/>
      <c r="D71" s="6"/>
      <c r="E71" s="6"/>
      <c r="F71" s="6"/>
      <c r="G71" s="6"/>
      <c r="H71" s="6"/>
      <c r="I71" s="6"/>
    </row>
    <row r="72" customFormat="false" ht="15" hidden="false" customHeight="false" outlineLevel="0" collapsed="false">
      <c r="A72" s="69"/>
      <c r="B72" s="6"/>
      <c r="C72" s="6"/>
      <c r="D72" s="6"/>
      <c r="E72" s="6"/>
      <c r="F72" s="6"/>
      <c r="G72" s="6"/>
      <c r="H72" s="6"/>
      <c r="I72" s="6"/>
    </row>
    <row r="73" customFormat="false" ht="15" hidden="false" customHeight="false" outlineLevel="0" collapsed="false">
      <c r="A73" s="69"/>
      <c r="B73" s="6"/>
      <c r="C73" s="6"/>
      <c r="D73" s="6"/>
      <c r="E73" s="6"/>
      <c r="F73" s="6"/>
      <c r="G73" s="6"/>
      <c r="H73" s="6"/>
      <c r="I73" s="6"/>
    </row>
    <row r="74" customFormat="false" ht="15" hidden="false" customHeight="false" outlineLevel="0" collapsed="false">
      <c r="A74" s="69"/>
      <c r="B74" s="6"/>
      <c r="C74" s="6"/>
      <c r="D74" s="6"/>
      <c r="E74" s="6"/>
      <c r="F74" s="6"/>
      <c r="G74" s="6"/>
      <c r="H74" s="6"/>
      <c r="I74" s="6"/>
    </row>
    <row r="75" customFormat="false" ht="15" hidden="false" customHeight="false" outlineLevel="0" collapsed="false">
      <c r="A75" s="69"/>
      <c r="B75" s="6"/>
      <c r="C75" s="6"/>
      <c r="D75" s="6"/>
      <c r="E75" s="6"/>
      <c r="F75" s="6"/>
      <c r="G75" s="6"/>
      <c r="H75" s="6"/>
      <c r="I75" s="6"/>
    </row>
    <row r="76" customFormat="false" ht="15" hidden="false" customHeight="false" outlineLevel="0" collapsed="false">
      <c r="A76" s="69"/>
      <c r="B76" s="6"/>
      <c r="C76" s="6"/>
      <c r="D76" s="6"/>
      <c r="E76" s="6"/>
      <c r="F76" s="6"/>
      <c r="G76" s="6"/>
      <c r="H76" s="6"/>
      <c r="I76" s="6"/>
    </row>
    <row r="77" customFormat="false" ht="15" hidden="false" customHeight="false" outlineLevel="0" collapsed="false">
      <c r="A77" s="69"/>
      <c r="B77" s="6"/>
      <c r="C77" s="6"/>
      <c r="D77" s="6"/>
      <c r="E77" s="6"/>
      <c r="F77" s="6"/>
      <c r="G77" s="6"/>
      <c r="H77" s="6"/>
      <c r="I77" s="6"/>
    </row>
    <row r="78" customFormat="false" ht="15" hidden="false" customHeight="false" outlineLevel="0" collapsed="false">
      <c r="A78" s="69"/>
      <c r="B78" s="6"/>
      <c r="C78" s="6"/>
      <c r="D78" s="6"/>
      <c r="E78" s="6"/>
      <c r="F78" s="6"/>
      <c r="G78" s="6"/>
      <c r="H78" s="6"/>
      <c r="I78" s="6"/>
    </row>
    <row r="79" customFormat="false" ht="15" hidden="false" customHeight="false" outlineLevel="0" collapsed="false">
      <c r="A79" s="69"/>
      <c r="B79" s="6"/>
      <c r="C79" s="6"/>
      <c r="D79" s="6"/>
      <c r="E79" s="6"/>
      <c r="F79" s="6"/>
      <c r="G79" s="6"/>
      <c r="H79" s="6"/>
      <c r="I79" s="6"/>
    </row>
    <row r="80" customFormat="false" ht="15" hidden="false" customHeight="false" outlineLevel="0" collapsed="false">
      <c r="A80" s="69"/>
      <c r="B80" s="6"/>
      <c r="C80" s="6"/>
      <c r="D80" s="6"/>
      <c r="E80" s="6"/>
      <c r="F80" s="6"/>
      <c r="G80" s="6"/>
      <c r="H80" s="6"/>
      <c r="I80" s="6"/>
    </row>
    <row r="81" customFormat="false" ht="15" hidden="false" customHeight="false" outlineLevel="0" collapsed="false">
      <c r="A81" s="69"/>
      <c r="B81" s="6"/>
      <c r="C81" s="6"/>
      <c r="D81" s="6"/>
      <c r="E81" s="6"/>
      <c r="F81" s="6"/>
      <c r="G81" s="6"/>
      <c r="H81" s="6"/>
      <c r="I81" s="6"/>
    </row>
    <row r="82" customFormat="false" ht="15" hidden="false" customHeight="false" outlineLevel="0" collapsed="false">
      <c r="A82" s="69"/>
      <c r="B82" s="6"/>
      <c r="C82" s="6"/>
      <c r="D82" s="6"/>
      <c r="E82" s="6"/>
      <c r="F82" s="6"/>
      <c r="G82" s="6"/>
      <c r="H82" s="6"/>
      <c r="I82" s="6"/>
    </row>
    <row r="83" customFormat="false" ht="15" hidden="false" customHeight="false" outlineLevel="0" collapsed="false">
      <c r="A83" s="69"/>
      <c r="B83" s="6"/>
      <c r="C83" s="6"/>
      <c r="D83" s="6"/>
      <c r="E83" s="6"/>
      <c r="F83" s="6"/>
      <c r="G83" s="6"/>
      <c r="H83" s="6"/>
      <c r="I83" s="6"/>
    </row>
    <row r="84" customFormat="false" ht="15" hidden="false" customHeight="false" outlineLevel="0" collapsed="false">
      <c r="A84" s="69"/>
      <c r="B84" s="6"/>
      <c r="C84" s="6"/>
      <c r="D84" s="6"/>
      <c r="E84" s="6"/>
      <c r="F84" s="6"/>
      <c r="G84" s="6"/>
      <c r="H84" s="6"/>
      <c r="I84" s="6"/>
    </row>
    <row r="85" customFormat="false" ht="15" hidden="false" customHeight="false" outlineLevel="0" collapsed="false">
      <c r="A85" s="69"/>
      <c r="B85" s="6"/>
      <c r="C85" s="6"/>
      <c r="D85" s="6"/>
      <c r="E85" s="6"/>
      <c r="F85" s="6"/>
      <c r="G85" s="6"/>
      <c r="H85" s="6"/>
      <c r="I85" s="6"/>
    </row>
    <row r="86" customFormat="false" ht="15" hidden="false" customHeight="false" outlineLevel="0" collapsed="false">
      <c r="A86" s="69"/>
      <c r="B86" s="6"/>
      <c r="C86" s="6"/>
      <c r="D86" s="6"/>
      <c r="E86" s="6"/>
      <c r="F86" s="6"/>
      <c r="G86" s="6"/>
      <c r="H86" s="6"/>
      <c r="I86" s="6"/>
    </row>
    <row r="87" customFormat="false" ht="15" hidden="false" customHeight="false" outlineLevel="0" collapsed="false">
      <c r="A87" s="69"/>
      <c r="B87" s="6"/>
      <c r="C87" s="6"/>
      <c r="D87" s="6"/>
      <c r="E87" s="6"/>
      <c r="F87" s="6"/>
      <c r="G87" s="6"/>
      <c r="H87" s="6"/>
      <c r="I87" s="6"/>
    </row>
    <row r="88" customFormat="false" ht="15" hidden="false" customHeight="false" outlineLevel="0" collapsed="false">
      <c r="A88" s="69"/>
      <c r="B88" s="6"/>
      <c r="C88" s="6"/>
      <c r="D88" s="6"/>
      <c r="E88" s="6"/>
      <c r="F88" s="6"/>
      <c r="G88" s="6"/>
      <c r="H88" s="6"/>
      <c r="I88" s="6"/>
    </row>
    <row r="89" customFormat="false" ht="15" hidden="false" customHeight="false" outlineLevel="0" collapsed="false">
      <c r="A89" s="69"/>
      <c r="B89" s="6"/>
      <c r="C89" s="6"/>
      <c r="D89" s="6"/>
      <c r="E89" s="6"/>
      <c r="F89" s="6"/>
      <c r="G89" s="6"/>
      <c r="H89" s="6"/>
      <c r="I89" s="6"/>
    </row>
    <row r="90" customFormat="false" ht="15" hidden="false" customHeight="false" outlineLevel="0" collapsed="false">
      <c r="A90" s="69"/>
      <c r="B90" s="6"/>
      <c r="C90" s="6"/>
      <c r="D90" s="6"/>
      <c r="E90" s="6"/>
      <c r="F90" s="6"/>
      <c r="G90" s="6"/>
      <c r="H90" s="6"/>
      <c r="I90" s="6"/>
    </row>
    <row r="91" customFormat="false" ht="15" hidden="false" customHeight="false" outlineLevel="0" collapsed="false">
      <c r="A91" s="69"/>
      <c r="B91" s="6"/>
      <c r="C91" s="6"/>
      <c r="D91" s="6"/>
      <c r="E91" s="6"/>
      <c r="F91" s="6"/>
      <c r="G91" s="6"/>
      <c r="H91" s="6"/>
      <c r="I91" s="6"/>
    </row>
    <row r="92" customFormat="false" ht="15" hidden="false" customHeight="false" outlineLevel="0" collapsed="false">
      <c r="A92" s="69"/>
      <c r="B92" s="6"/>
      <c r="C92" s="6"/>
      <c r="D92" s="6"/>
      <c r="E92" s="6"/>
      <c r="F92" s="6"/>
      <c r="G92" s="6"/>
      <c r="H92" s="6"/>
      <c r="I92" s="6"/>
    </row>
    <row r="93" customFormat="false" ht="15" hidden="false" customHeight="false" outlineLevel="0" collapsed="false">
      <c r="A93" s="69"/>
      <c r="B93" s="6"/>
      <c r="C93" s="6"/>
      <c r="D93" s="6"/>
      <c r="E93" s="6"/>
      <c r="F93" s="6"/>
      <c r="G93" s="6"/>
      <c r="H93" s="6"/>
      <c r="I93" s="6"/>
    </row>
    <row r="94" customFormat="false" ht="15" hidden="false" customHeight="false" outlineLevel="0" collapsed="false">
      <c r="A94" s="69"/>
      <c r="B94" s="6"/>
      <c r="C94" s="6"/>
      <c r="D94" s="6"/>
      <c r="E94" s="6"/>
      <c r="F94" s="6"/>
      <c r="G94" s="6"/>
      <c r="H94" s="6"/>
      <c r="I94" s="6"/>
    </row>
    <row r="95" customFormat="false" ht="15" hidden="false" customHeight="false" outlineLevel="0" collapsed="false">
      <c r="A95" s="69"/>
      <c r="B95" s="6"/>
      <c r="C95" s="6"/>
      <c r="D95" s="6"/>
      <c r="E95" s="6"/>
      <c r="F95" s="6"/>
      <c r="G95" s="6"/>
      <c r="H95" s="6"/>
      <c r="I95" s="6"/>
    </row>
    <row r="96" customFormat="false" ht="15" hidden="false" customHeight="false" outlineLevel="0" collapsed="false">
      <c r="A96" s="69"/>
      <c r="B96" s="6"/>
      <c r="C96" s="6"/>
      <c r="D96" s="6"/>
      <c r="E96" s="6"/>
      <c r="F96" s="6"/>
      <c r="G96" s="6"/>
      <c r="H96" s="6"/>
      <c r="I96" s="6"/>
    </row>
    <row r="97" customFormat="false" ht="15" hidden="false" customHeight="false" outlineLevel="0" collapsed="false">
      <c r="A97" s="69"/>
      <c r="B97" s="6"/>
      <c r="C97" s="6"/>
      <c r="D97" s="6"/>
      <c r="E97" s="6"/>
      <c r="F97" s="6"/>
      <c r="G97" s="6"/>
      <c r="H97" s="6"/>
      <c r="I97" s="6"/>
    </row>
    <row r="98" customFormat="false" ht="15" hidden="false" customHeight="false" outlineLevel="0" collapsed="false">
      <c r="A98" s="69"/>
      <c r="B98" s="6"/>
      <c r="C98" s="6"/>
      <c r="D98" s="6"/>
      <c r="E98" s="6"/>
      <c r="F98" s="6"/>
      <c r="G98" s="6"/>
      <c r="H98" s="6"/>
      <c r="I98" s="6"/>
    </row>
    <row r="99" customFormat="false" ht="15" hidden="false" customHeight="false" outlineLevel="0" collapsed="false">
      <c r="A99" s="69"/>
      <c r="B99" s="6"/>
      <c r="C99" s="6"/>
      <c r="D99" s="6"/>
      <c r="E99" s="6"/>
      <c r="F99" s="6"/>
      <c r="G99" s="6"/>
      <c r="H99" s="6"/>
      <c r="I99" s="6"/>
    </row>
    <row r="100" customFormat="false" ht="15" hidden="false" customHeight="false" outlineLevel="0" collapsed="false">
      <c r="A100" s="69"/>
      <c r="B100" s="6"/>
      <c r="C100" s="6"/>
      <c r="D100" s="6"/>
      <c r="E100" s="6"/>
      <c r="F100" s="6"/>
      <c r="G100" s="6"/>
      <c r="H100" s="6"/>
      <c r="I100" s="6"/>
    </row>
    <row r="101" customFormat="false" ht="15" hidden="false" customHeight="false" outlineLevel="0" collapsed="false">
      <c r="A101" s="69"/>
      <c r="B101" s="6"/>
      <c r="C101" s="6"/>
      <c r="D101" s="6"/>
      <c r="E101" s="6"/>
      <c r="F101" s="6"/>
      <c r="G101" s="6"/>
      <c r="H101" s="6"/>
      <c r="I101" s="6"/>
    </row>
    <row r="102" customFormat="false" ht="15" hidden="false" customHeight="false" outlineLevel="0" collapsed="false">
      <c r="A102" s="69"/>
      <c r="B102" s="6"/>
      <c r="C102" s="6"/>
      <c r="D102" s="6"/>
      <c r="E102" s="6"/>
      <c r="F102" s="6"/>
      <c r="G102" s="6"/>
      <c r="H102" s="6"/>
      <c r="I102" s="6"/>
    </row>
    <row r="103" customFormat="false" ht="15" hidden="false" customHeight="false" outlineLevel="0" collapsed="false">
      <c r="A103" s="69"/>
      <c r="B103" s="6"/>
      <c r="C103" s="6"/>
      <c r="D103" s="6"/>
      <c r="E103" s="6"/>
      <c r="F103" s="6"/>
      <c r="G103" s="6"/>
      <c r="H103" s="6"/>
      <c r="I103" s="6"/>
    </row>
    <row r="104" customFormat="false" ht="15" hidden="false" customHeight="false" outlineLevel="0" collapsed="false">
      <c r="A104" s="69"/>
      <c r="B104" s="6"/>
      <c r="C104" s="6"/>
      <c r="D104" s="6"/>
      <c r="E104" s="6"/>
      <c r="F104" s="6"/>
      <c r="G104" s="6"/>
      <c r="H104" s="6"/>
      <c r="I104" s="6"/>
    </row>
    <row r="105" customFormat="false" ht="15" hidden="false" customHeight="false" outlineLevel="0" collapsed="false">
      <c r="A105" s="69"/>
      <c r="B105" s="6"/>
      <c r="C105" s="6"/>
      <c r="D105" s="6"/>
      <c r="E105" s="6"/>
      <c r="F105" s="6"/>
      <c r="G105" s="6"/>
      <c r="H105" s="6"/>
      <c r="I105" s="6"/>
    </row>
    <row r="106" customFormat="false" ht="15" hidden="false" customHeight="false" outlineLevel="0" collapsed="false">
      <c r="A106" s="69"/>
      <c r="B106" s="6"/>
      <c r="C106" s="6"/>
      <c r="D106" s="6"/>
      <c r="E106" s="6"/>
      <c r="F106" s="6"/>
      <c r="G106" s="6"/>
      <c r="H106" s="6"/>
      <c r="I106" s="6"/>
    </row>
    <row r="107" customFormat="false" ht="15" hidden="false" customHeight="false" outlineLevel="0" collapsed="false">
      <c r="A107" s="69"/>
      <c r="B107" s="6"/>
      <c r="C107" s="6"/>
      <c r="D107" s="6"/>
      <c r="E107" s="6"/>
      <c r="F107" s="6"/>
      <c r="G107" s="6"/>
      <c r="H107" s="6"/>
      <c r="I107" s="6"/>
    </row>
    <row r="108" customFormat="false" ht="15" hidden="false" customHeight="false" outlineLevel="0" collapsed="false">
      <c r="A108" s="69"/>
      <c r="B108" s="6"/>
      <c r="C108" s="6"/>
      <c r="D108" s="6"/>
      <c r="E108" s="6"/>
      <c r="F108" s="6"/>
      <c r="G108" s="6"/>
      <c r="H108" s="6"/>
      <c r="I108" s="6"/>
    </row>
    <row r="109" customFormat="false" ht="15" hidden="false" customHeight="false" outlineLevel="0" collapsed="false">
      <c r="A109" s="69"/>
      <c r="B109" s="6"/>
      <c r="C109" s="6"/>
      <c r="D109" s="6"/>
      <c r="E109" s="6"/>
      <c r="F109" s="6"/>
      <c r="G109" s="6"/>
      <c r="H109" s="6"/>
      <c r="I109" s="6"/>
    </row>
    <row r="110" customFormat="false" ht="15" hidden="false" customHeight="false" outlineLevel="0" collapsed="false">
      <c r="A110" s="69"/>
      <c r="B110" s="6"/>
      <c r="C110" s="6"/>
      <c r="D110" s="6"/>
      <c r="E110" s="6"/>
      <c r="F110" s="6"/>
      <c r="G110" s="6"/>
      <c r="H110" s="6"/>
      <c r="I110" s="6"/>
    </row>
    <row r="111" customFormat="false" ht="15" hidden="false" customHeight="false" outlineLevel="0" collapsed="false">
      <c r="A111" s="69"/>
      <c r="B111" s="6"/>
      <c r="C111" s="6"/>
      <c r="D111" s="6"/>
      <c r="E111" s="6"/>
      <c r="F111" s="6"/>
      <c r="G111" s="6"/>
      <c r="H111" s="6"/>
      <c r="I111" s="6"/>
    </row>
    <row r="112" customFormat="false" ht="15" hidden="false" customHeight="false" outlineLevel="0" collapsed="false">
      <c r="A112" s="69"/>
      <c r="B112" s="6"/>
      <c r="C112" s="6"/>
      <c r="D112" s="6"/>
      <c r="E112" s="6"/>
      <c r="F112" s="6"/>
      <c r="G112" s="6"/>
      <c r="H112" s="6"/>
      <c r="I112" s="6"/>
    </row>
    <row r="113" customFormat="false" ht="15" hidden="false" customHeight="false" outlineLevel="0" collapsed="false">
      <c r="A113" s="69"/>
      <c r="B113" s="6"/>
      <c r="C113" s="6"/>
      <c r="D113" s="6"/>
      <c r="E113" s="6"/>
      <c r="F113" s="6"/>
      <c r="G113" s="6"/>
      <c r="H113" s="6"/>
      <c r="I113" s="6"/>
    </row>
    <row r="114" customFormat="false" ht="15" hidden="false" customHeight="false" outlineLevel="0" collapsed="false">
      <c r="A114" s="69"/>
      <c r="B114" s="6"/>
      <c r="C114" s="6"/>
      <c r="D114" s="6"/>
      <c r="E114" s="6"/>
      <c r="F114" s="6"/>
      <c r="G114" s="6"/>
      <c r="H114" s="6"/>
      <c r="I114" s="6"/>
    </row>
    <row r="115" customFormat="false" ht="15" hidden="false" customHeight="false" outlineLevel="0" collapsed="false">
      <c r="A115" s="69"/>
      <c r="B115" s="6"/>
      <c r="C115" s="6"/>
      <c r="D115" s="6"/>
      <c r="E115" s="6"/>
      <c r="F115" s="6"/>
      <c r="G115" s="6"/>
      <c r="H115" s="6"/>
      <c r="I115" s="6"/>
    </row>
    <row r="116" customFormat="false" ht="15" hidden="false" customHeight="false" outlineLevel="0" collapsed="false">
      <c r="A116" s="69"/>
      <c r="B116" s="6"/>
      <c r="C116" s="6"/>
      <c r="D116" s="6"/>
      <c r="E116" s="6"/>
      <c r="F116" s="6"/>
      <c r="G116" s="6"/>
      <c r="H116" s="6"/>
      <c r="I116" s="6"/>
    </row>
    <row r="117" customFormat="false" ht="15" hidden="false" customHeight="false" outlineLevel="0" collapsed="false">
      <c r="A117" s="69"/>
      <c r="B117" s="6"/>
      <c r="C117" s="6"/>
      <c r="D117" s="6"/>
      <c r="E117" s="6"/>
      <c r="F117" s="6"/>
      <c r="G117" s="6"/>
      <c r="H117" s="6"/>
      <c r="I117" s="6"/>
    </row>
    <row r="118" customFormat="false" ht="15" hidden="false" customHeight="false" outlineLevel="0" collapsed="false">
      <c r="A118" s="69"/>
      <c r="B118" s="6"/>
      <c r="C118" s="6"/>
      <c r="D118" s="6"/>
      <c r="E118" s="6"/>
      <c r="F118" s="6"/>
      <c r="G118" s="6"/>
      <c r="H118" s="6"/>
      <c r="I118" s="6"/>
    </row>
    <row r="119" customFormat="false" ht="15" hidden="false" customHeight="false" outlineLevel="0" collapsed="false">
      <c r="A119" s="69"/>
      <c r="B119" s="6"/>
      <c r="C119" s="6"/>
      <c r="D119" s="6"/>
      <c r="E119" s="6"/>
      <c r="F119" s="6"/>
      <c r="G119" s="6"/>
      <c r="H119" s="6"/>
      <c r="I119" s="6"/>
    </row>
    <row r="120" customFormat="false" ht="15" hidden="false" customHeight="false" outlineLevel="0" collapsed="false">
      <c r="A120" s="69"/>
      <c r="B120" s="6"/>
      <c r="C120" s="6"/>
      <c r="D120" s="6"/>
      <c r="E120" s="6"/>
      <c r="F120" s="6"/>
      <c r="G120" s="6"/>
      <c r="H120" s="6"/>
      <c r="I120" s="6"/>
    </row>
    <row r="121" customFormat="false" ht="15" hidden="false" customHeight="false" outlineLevel="0" collapsed="false">
      <c r="A121" s="69"/>
      <c r="B121" s="6"/>
      <c r="C121" s="6"/>
      <c r="D121" s="6"/>
      <c r="E121" s="6"/>
      <c r="F121" s="6"/>
      <c r="G121" s="6"/>
      <c r="H121" s="6"/>
      <c r="I121" s="6"/>
    </row>
    <row r="122" customFormat="false" ht="15" hidden="false" customHeight="false" outlineLevel="0" collapsed="false">
      <c r="A122" s="69"/>
      <c r="B122" s="6"/>
      <c r="C122" s="6"/>
      <c r="D122" s="6"/>
      <c r="E122" s="6"/>
      <c r="F122" s="6"/>
      <c r="G122" s="6"/>
      <c r="H122" s="6"/>
      <c r="I122" s="6"/>
    </row>
    <row r="123" customFormat="false" ht="15" hidden="false" customHeight="false" outlineLevel="0" collapsed="false">
      <c r="A123" s="69"/>
      <c r="B123" s="6"/>
      <c r="C123" s="6"/>
      <c r="D123" s="6"/>
      <c r="E123" s="6"/>
      <c r="F123" s="6"/>
      <c r="G123" s="6"/>
      <c r="H123" s="6"/>
      <c r="I123" s="6"/>
    </row>
    <row r="124" customFormat="false" ht="15" hidden="false" customHeight="false" outlineLevel="0" collapsed="false">
      <c r="A124" s="69"/>
      <c r="B124" s="6"/>
      <c r="C124" s="6"/>
      <c r="D124" s="6"/>
      <c r="E124" s="6"/>
      <c r="F124" s="6"/>
      <c r="G124" s="6"/>
      <c r="H124" s="6"/>
      <c r="I124" s="6"/>
    </row>
    <row r="125" customFormat="false" ht="15" hidden="false" customHeight="false" outlineLevel="0" collapsed="false">
      <c r="A125" s="69"/>
      <c r="B125" s="6"/>
      <c r="C125" s="6"/>
      <c r="D125" s="6"/>
      <c r="E125" s="6"/>
      <c r="F125" s="6"/>
      <c r="G125" s="6"/>
      <c r="H125" s="6"/>
      <c r="I125" s="6"/>
    </row>
    <row r="126" customFormat="false" ht="15" hidden="false" customHeight="false" outlineLevel="0" collapsed="false">
      <c r="A126" s="69"/>
      <c r="B126" s="6"/>
      <c r="C126" s="6"/>
      <c r="D126" s="6"/>
      <c r="E126" s="6"/>
      <c r="F126" s="6"/>
      <c r="G126" s="6"/>
      <c r="H126" s="6"/>
      <c r="I126" s="6"/>
    </row>
    <row r="127" customFormat="false" ht="15" hidden="false" customHeight="false" outlineLevel="0" collapsed="false">
      <c r="A127" s="69"/>
      <c r="B127" s="6"/>
      <c r="C127" s="6"/>
      <c r="D127" s="6"/>
      <c r="E127" s="6"/>
      <c r="F127" s="6"/>
      <c r="G127" s="6"/>
      <c r="H127" s="6"/>
      <c r="I127" s="6"/>
    </row>
    <row r="128" customFormat="false" ht="15" hidden="false" customHeight="false" outlineLevel="0" collapsed="false">
      <c r="A128" s="69"/>
      <c r="B128" s="6"/>
      <c r="C128" s="6"/>
      <c r="D128" s="6"/>
      <c r="E128" s="6"/>
      <c r="F128" s="6"/>
      <c r="G128" s="6"/>
      <c r="H128" s="6"/>
      <c r="I128" s="6"/>
    </row>
    <row r="129" customFormat="false" ht="15" hidden="false" customHeight="false" outlineLevel="0" collapsed="false">
      <c r="A129" s="69"/>
      <c r="B129" s="6"/>
      <c r="C129" s="6"/>
      <c r="D129" s="6"/>
      <c r="E129" s="6"/>
      <c r="F129" s="6"/>
      <c r="G129" s="6"/>
      <c r="H129" s="6"/>
      <c r="I129" s="6"/>
    </row>
    <row r="130" customFormat="false" ht="15" hidden="false" customHeight="false" outlineLevel="0" collapsed="false">
      <c r="A130" s="69"/>
      <c r="B130" s="6"/>
      <c r="C130" s="6"/>
      <c r="D130" s="6"/>
      <c r="E130" s="6"/>
      <c r="F130" s="6"/>
      <c r="G130" s="6"/>
      <c r="H130" s="6"/>
      <c r="I130" s="6"/>
    </row>
    <row r="131" customFormat="false" ht="15" hidden="false" customHeight="false" outlineLevel="0" collapsed="false">
      <c r="A131" s="69"/>
      <c r="B131" s="6"/>
      <c r="C131" s="6"/>
      <c r="D131" s="6"/>
      <c r="E131" s="6"/>
      <c r="F131" s="6"/>
      <c r="G131" s="6"/>
      <c r="H131" s="6"/>
      <c r="I131" s="6"/>
    </row>
    <row r="132" customFormat="false" ht="15" hidden="false" customHeight="false" outlineLevel="0" collapsed="false">
      <c r="A132" s="69"/>
      <c r="B132" s="6"/>
      <c r="C132" s="6"/>
      <c r="D132" s="6"/>
      <c r="E132" s="6"/>
      <c r="F132" s="6"/>
      <c r="G132" s="6"/>
      <c r="H132" s="6"/>
      <c r="I132" s="6"/>
    </row>
    <row r="133" customFormat="false" ht="15" hidden="false" customHeight="false" outlineLevel="0" collapsed="false">
      <c r="A133" s="69"/>
      <c r="B133" s="6"/>
      <c r="C133" s="6"/>
      <c r="D133" s="6"/>
      <c r="E133" s="6"/>
      <c r="F133" s="6"/>
      <c r="G133" s="6"/>
      <c r="H133" s="6"/>
      <c r="I133" s="6"/>
    </row>
    <row r="134" customFormat="false" ht="15" hidden="false" customHeight="false" outlineLevel="0" collapsed="false">
      <c r="A134" s="69"/>
      <c r="B134" s="6"/>
      <c r="C134" s="6"/>
      <c r="D134" s="6"/>
      <c r="E134" s="6"/>
      <c r="F134" s="6"/>
      <c r="G134" s="6"/>
      <c r="H134" s="6"/>
      <c r="I134" s="6"/>
    </row>
    <row r="135" customFormat="false" ht="15" hidden="false" customHeight="false" outlineLevel="0" collapsed="false">
      <c r="A135" s="69"/>
      <c r="B135" s="6"/>
      <c r="C135" s="6"/>
      <c r="D135" s="6"/>
      <c r="E135" s="6"/>
      <c r="F135" s="6"/>
      <c r="G135" s="6"/>
      <c r="H135" s="6"/>
      <c r="I135" s="6"/>
    </row>
    <row r="136" customFormat="false" ht="15" hidden="false" customHeight="false" outlineLevel="0" collapsed="false">
      <c r="A136" s="69"/>
      <c r="B136" s="6"/>
      <c r="C136" s="6"/>
      <c r="D136" s="6"/>
      <c r="E136" s="6"/>
      <c r="F136" s="6"/>
      <c r="G136" s="6"/>
      <c r="H136" s="6"/>
      <c r="I136" s="6"/>
    </row>
    <row r="137" customFormat="false" ht="15" hidden="false" customHeight="false" outlineLevel="0" collapsed="false">
      <c r="A137" s="69"/>
      <c r="B137" s="6"/>
      <c r="C137" s="6"/>
      <c r="D137" s="6"/>
      <c r="E137" s="6"/>
      <c r="F137" s="6"/>
      <c r="G137" s="6"/>
      <c r="H137" s="6"/>
      <c r="I137" s="6"/>
    </row>
    <row r="138" customFormat="false" ht="15" hidden="false" customHeight="false" outlineLevel="0" collapsed="false">
      <c r="A138" s="69"/>
      <c r="B138" s="6"/>
      <c r="C138" s="6"/>
      <c r="D138" s="6"/>
      <c r="E138" s="6"/>
      <c r="F138" s="6"/>
      <c r="G138" s="6"/>
      <c r="H138" s="6"/>
      <c r="I138" s="6"/>
    </row>
    <row r="139" customFormat="false" ht="15" hidden="false" customHeight="false" outlineLevel="0" collapsed="false">
      <c r="A139" s="69"/>
      <c r="B139" s="6"/>
      <c r="C139" s="6"/>
      <c r="D139" s="6"/>
      <c r="E139" s="6"/>
      <c r="F139" s="6"/>
      <c r="G139" s="6"/>
      <c r="H139" s="6"/>
      <c r="I139" s="6"/>
    </row>
    <row r="140" customFormat="false" ht="15" hidden="false" customHeight="false" outlineLevel="0" collapsed="false">
      <c r="A140" s="69"/>
      <c r="B140" s="6"/>
      <c r="C140" s="6"/>
      <c r="D140" s="6"/>
      <c r="E140" s="6"/>
      <c r="F140" s="6"/>
      <c r="G140" s="6"/>
      <c r="H140" s="6"/>
      <c r="I140" s="6"/>
    </row>
    <row r="141" customFormat="false" ht="15" hidden="false" customHeight="false" outlineLevel="0" collapsed="false">
      <c r="A141" s="69"/>
      <c r="B141" s="6"/>
      <c r="C141" s="6"/>
      <c r="D141" s="6"/>
      <c r="E141" s="6"/>
      <c r="F141" s="6"/>
      <c r="G141" s="6"/>
      <c r="H141" s="6"/>
      <c r="I141" s="6"/>
    </row>
    <row r="142" customFormat="false" ht="15" hidden="false" customHeight="false" outlineLevel="0" collapsed="false">
      <c r="A142" s="69"/>
      <c r="B142" s="6"/>
      <c r="C142" s="6"/>
      <c r="D142" s="6"/>
      <c r="E142" s="6"/>
      <c r="F142" s="6"/>
      <c r="G142" s="6"/>
      <c r="H142" s="6"/>
      <c r="I142" s="6"/>
    </row>
    <row r="143" customFormat="false" ht="15" hidden="false" customHeight="false" outlineLevel="0" collapsed="false">
      <c r="A143" s="69"/>
      <c r="B143" s="6"/>
      <c r="C143" s="6"/>
      <c r="D143" s="6"/>
      <c r="E143" s="6"/>
      <c r="F143" s="6"/>
      <c r="G143" s="6"/>
      <c r="H143" s="6"/>
      <c r="I143" s="6"/>
    </row>
    <row r="144" customFormat="false" ht="15" hidden="false" customHeight="false" outlineLevel="0" collapsed="false">
      <c r="A144" s="69"/>
      <c r="B144" s="6"/>
      <c r="C144" s="6"/>
      <c r="D144" s="6"/>
      <c r="E144" s="6"/>
      <c r="F144" s="6"/>
      <c r="G144" s="6"/>
      <c r="H144" s="6"/>
      <c r="I144" s="6"/>
    </row>
    <row r="145" customFormat="false" ht="15" hidden="false" customHeight="false" outlineLevel="0" collapsed="false">
      <c r="A145" s="69"/>
      <c r="B145" s="6"/>
      <c r="C145" s="6"/>
      <c r="D145" s="6"/>
      <c r="E145" s="6"/>
      <c r="F145" s="6"/>
      <c r="G145" s="6"/>
      <c r="H145" s="6"/>
      <c r="I145" s="6"/>
    </row>
    <row r="146" customFormat="false" ht="15" hidden="false" customHeight="false" outlineLevel="0" collapsed="false">
      <c r="A146" s="69"/>
      <c r="B146" s="6"/>
      <c r="C146" s="6"/>
      <c r="D146" s="6"/>
      <c r="E146" s="6"/>
      <c r="F146" s="6"/>
      <c r="G146" s="6"/>
      <c r="H146" s="6"/>
      <c r="I146" s="6"/>
    </row>
    <row r="147" customFormat="false" ht="15" hidden="false" customHeight="false" outlineLevel="0" collapsed="false">
      <c r="A147" s="69"/>
      <c r="B147" s="6"/>
      <c r="C147" s="6"/>
      <c r="D147" s="6"/>
      <c r="E147" s="6"/>
      <c r="F147" s="6"/>
      <c r="G147" s="6"/>
      <c r="H147" s="6"/>
      <c r="I147" s="6"/>
    </row>
    <row r="148" customFormat="false" ht="15" hidden="false" customHeight="false" outlineLevel="0" collapsed="false">
      <c r="A148" s="69"/>
      <c r="B148" s="6"/>
      <c r="C148" s="6"/>
      <c r="D148" s="6"/>
      <c r="E148" s="6"/>
      <c r="F148" s="6"/>
      <c r="G148" s="6"/>
      <c r="H148" s="6"/>
      <c r="I148" s="6"/>
    </row>
    <row r="149" customFormat="false" ht="15" hidden="false" customHeight="false" outlineLevel="0" collapsed="false">
      <c r="A149" s="69"/>
      <c r="B149" s="6"/>
      <c r="C149" s="6"/>
      <c r="D149" s="6"/>
      <c r="E149" s="6"/>
      <c r="F149" s="6"/>
      <c r="G149" s="6"/>
      <c r="H149" s="6"/>
      <c r="I149" s="6"/>
    </row>
    <row r="150" customFormat="false" ht="15" hidden="false" customHeight="false" outlineLevel="0" collapsed="false">
      <c r="A150" s="69"/>
      <c r="B150" s="6"/>
      <c r="C150" s="6"/>
      <c r="D150" s="6"/>
      <c r="E150" s="6"/>
      <c r="F150" s="6"/>
      <c r="G150" s="6"/>
      <c r="H150" s="6"/>
      <c r="I150" s="6"/>
    </row>
    <row r="151" customFormat="false" ht="15" hidden="false" customHeight="false" outlineLevel="0" collapsed="false">
      <c r="A151" s="69"/>
      <c r="B151" s="6"/>
      <c r="C151" s="6"/>
      <c r="D151" s="6"/>
      <c r="E151" s="6"/>
      <c r="F151" s="6"/>
      <c r="G151" s="6"/>
      <c r="H151" s="6"/>
      <c r="I151" s="6"/>
    </row>
    <row r="152" customFormat="false" ht="15" hidden="false" customHeight="false" outlineLevel="0" collapsed="false">
      <c r="A152" s="69"/>
      <c r="B152" s="6"/>
      <c r="C152" s="6"/>
      <c r="D152" s="6"/>
      <c r="E152" s="6"/>
      <c r="F152" s="6"/>
      <c r="G152" s="6"/>
      <c r="H152" s="6"/>
      <c r="I152" s="6"/>
    </row>
    <row r="153" customFormat="false" ht="15" hidden="false" customHeight="false" outlineLevel="0" collapsed="false">
      <c r="A153" s="69"/>
      <c r="B153" s="6"/>
      <c r="C153" s="6"/>
      <c r="D153" s="6"/>
      <c r="E153" s="6"/>
      <c r="F153" s="6"/>
      <c r="G153" s="6"/>
      <c r="H153" s="6"/>
      <c r="I153" s="6"/>
    </row>
    <row r="154" customFormat="false" ht="15" hidden="false" customHeight="false" outlineLevel="0" collapsed="false">
      <c r="A154" s="69"/>
      <c r="B154" s="6"/>
      <c r="C154" s="6"/>
      <c r="D154" s="6"/>
      <c r="E154" s="6"/>
      <c r="F154" s="6"/>
      <c r="G154" s="6"/>
      <c r="H154" s="6"/>
      <c r="I154" s="6"/>
    </row>
    <row r="155" customFormat="false" ht="15" hidden="false" customHeight="false" outlineLevel="0" collapsed="false">
      <c r="A155" s="69"/>
      <c r="B155" s="6"/>
      <c r="C155" s="6"/>
      <c r="D155" s="6"/>
      <c r="E155" s="6"/>
      <c r="F155" s="6"/>
      <c r="G155" s="6"/>
      <c r="H155" s="6"/>
      <c r="I155" s="6"/>
    </row>
    <row r="156" customFormat="false" ht="15" hidden="false" customHeight="false" outlineLevel="0" collapsed="false">
      <c r="A156" s="69"/>
      <c r="B156" s="6"/>
      <c r="C156" s="6"/>
      <c r="D156" s="6"/>
      <c r="E156" s="6"/>
      <c r="F156" s="6"/>
      <c r="G156" s="6"/>
      <c r="H156" s="6"/>
      <c r="I156" s="6"/>
    </row>
    <row r="157" customFormat="false" ht="15" hidden="false" customHeight="false" outlineLevel="0" collapsed="false">
      <c r="A157" s="69"/>
      <c r="B157" s="6"/>
      <c r="C157" s="6"/>
      <c r="D157" s="6"/>
      <c r="E157" s="6"/>
      <c r="F157" s="6"/>
      <c r="G157" s="6"/>
      <c r="H157" s="6"/>
      <c r="I157" s="6"/>
    </row>
    <row r="158" customFormat="false" ht="15" hidden="false" customHeight="false" outlineLevel="0" collapsed="false">
      <c r="A158" s="69"/>
      <c r="B158" s="6"/>
      <c r="C158" s="6"/>
      <c r="D158" s="6"/>
      <c r="E158" s="6"/>
      <c r="F158" s="6"/>
      <c r="G158" s="6"/>
      <c r="H158" s="6"/>
      <c r="I158" s="6"/>
    </row>
    <row r="159" customFormat="false" ht="15" hidden="false" customHeight="false" outlineLevel="0" collapsed="false">
      <c r="A159" s="69"/>
      <c r="B159" s="6"/>
      <c r="C159" s="6"/>
      <c r="D159" s="6"/>
      <c r="E159" s="6"/>
      <c r="F159" s="6"/>
      <c r="G159" s="6"/>
      <c r="H159" s="6"/>
      <c r="I159" s="6"/>
    </row>
    <row r="160" customFormat="false" ht="15" hidden="false" customHeight="false" outlineLevel="0" collapsed="false">
      <c r="A160" s="69"/>
      <c r="B160" s="6"/>
      <c r="C160" s="6"/>
      <c r="D160" s="6"/>
      <c r="E160" s="6"/>
      <c r="F160" s="6"/>
      <c r="G160" s="6"/>
      <c r="H160" s="6"/>
      <c r="I160" s="6"/>
    </row>
    <row r="161" customFormat="false" ht="15" hidden="false" customHeight="false" outlineLevel="0" collapsed="false">
      <c r="A161" s="69"/>
      <c r="B161" s="6"/>
      <c r="C161" s="6"/>
      <c r="D161" s="6"/>
      <c r="E161" s="6"/>
      <c r="F161" s="6"/>
      <c r="G161" s="6"/>
      <c r="H161" s="6"/>
      <c r="I161" s="6"/>
    </row>
    <row r="162" customFormat="false" ht="15" hidden="false" customHeight="false" outlineLevel="0" collapsed="false">
      <c r="A162" s="69"/>
      <c r="B162" s="6"/>
      <c r="C162" s="6"/>
      <c r="D162" s="6"/>
      <c r="E162" s="6"/>
      <c r="F162" s="6"/>
      <c r="G162" s="6"/>
      <c r="H162" s="6"/>
      <c r="I162" s="6"/>
    </row>
    <row r="163" customFormat="false" ht="15" hidden="false" customHeight="false" outlineLevel="0" collapsed="false">
      <c r="A163" s="69"/>
      <c r="B163" s="6"/>
      <c r="C163" s="6"/>
      <c r="D163" s="6"/>
      <c r="E163" s="6"/>
      <c r="F163" s="6"/>
      <c r="G163" s="6"/>
      <c r="H163" s="6"/>
      <c r="I163" s="6"/>
    </row>
    <row r="164" customFormat="false" ht="15" hidden="false" customHeight="false" outlineLevel="0" collapsed="false">
      <c r="A164" s="69"/>
      <c r="B164" s="6"/>
      <c r="C164" s="6"/>
      <c r="D164" s="6"/>
      <c r="E164" s="6"/>
      <c r="F164" s="6"/>
      <c r="G164" s="6"/>
      <c r="H164" s="6"/>
      <c r="I164" s="6"/>
    </row>
    <row r="165" customFormat="false" ht="15" hidden="false" customHeight="false" outlineLevel="0" collapsed="false">
      <c r="A165" s="69"/>
      <c r="B165" s="6"/>
      <c r="C165" s="6"/>
      <c r="D165" s="6"/>
      <c r="E165" s="6"/>
      <c r="F165" s="6"/>
      <c r="G165" s="6"/>
      <c r="H165" s="6"/>
      <c r="I165" s="6"/>
    </row>
    <row r="166" customFormat="false" ht="15" hidden="false" customHeight="false" outlineLevel="0" collapsed="false">
      <c r="A166" s="69"/>
      <c r="B166" s="6"/>
      <c r="C166" s="6"/>
      <c r="D166" s="6"/>
      <c r="E166" s="6"/>
      <c r="F166" s="6"/>
      <c r="G166" s="6"/>
      <c r="H166" s="6"/>
      <c r="I166" s="6"/>
    </row>
    <row r="167" customFormat="false" ht="15" hidden="false" customHeight="false" outlineLevel="0" collapsed="false">
      <c r="A167" s="69"/>
      <c r="B167" s="6"/>
      <c r="C167" s="6"/>
      <c r="D167" s="6"/>
      <c r="E167" s="6"/>
      <c r="F167" s="6"/>
      <c r="G167" s="6"/>
      <c r="H167" s="6"/>
      <c r="I167" s="6"/>
    </row>
    <row r="168" customFormat="false" ht="15" hidden="false" customHeight="false" outlineLevel="0" collapsed="false">
      <c r="A168" s="69"/>
      <c r="B168" s="6"/>
      <c r="C168" s="6"/>
      <c r="D168" s="6"/>
      <c r="E168" s="6"/>
      <c r="F168" s="6"/>
      <c r="G168" s="6"/>
      <c r="H168" s="6"/>
      <c r="I168" s="6"/>
    </row>
    <row r="169" customFormat="false" ht="15" hidden="false" customHeight="false" outlineLevel="0" collapsed="false">
      <c r="A169" s="69"/>
      <c r="B169" s="6"/>
      <c r="C169" s="6"/>
      <c r="D169" s="6"/>
      <c r="E169" s="6"/>
      <c r="F169" s="6"/>
      <c r="G169" s="6"/>
      <c r="H169" s="6"/>
      <c r="I169" s="6"/>
    </row>
    <row r="170" customFormat="false" ht="15" hidden="false" customHeight="false" outlineLevel="0" collapsed="false">
      <c r="A170" s="69"/>
      <c r="B170" s="6"/>
      <c r="C170" s="6"/>
      <c r="D170" s="6"/>
      <c r="E170" s="6"/>
      <c r="F170" s="6"/>
      <c r="G170" s="6"/>
      <c r="H170" s="6"/>
      <c r="I170" s="6"/>
    </row>
    <row r="171" customFormat="false" ht="15" hidden="false" customHeight="false" outlineLevel="0" collapsed="false">
      <c r="A171" s="69"/>
      <c r="B171" s="6"/>
      <c r="C171" s="6"/>
      <c r="D171" s="6"/>
      <c r="E171" s="6"/>
      <c r="F171" s="6"/>
      <c r="G171" s="6"/>
      <c r="H171" s="6"/>
      <c r="I171" s="6"/>
    </row>
    <row r="172" customFormat="false" ht="15" hidden="false" customHeight="false" outlineLevel="0" collapsed="false">
      <c r="A172" s="69"/>
      <c r="B172" s="6"/>
      <c r="C172" s="6"/>
      <c r="D172" s="6"/>
      <c r="E172" s="6"/>
      <c r="F172" s="6"/>
      <c r="G172" s="6"/>
      <c r="H172" s="6"/>
      <c r="I172" s="6"/>
    </row>
    <row r="173" customFormat="false" ht="15" hidden="false" customHeight="false" outlineLevel="0" collapsed="false">
      <c r="A173" s="69"/>
      <c r="B173" s="6"/>
      <c r="C173" s="6"/>
      <c r="D173" s="6"/>
      <c r="E173" s="6"/>
      <c r="F173" s="6"/>
      <c r="G173" s="6"/>
      <c r="H173" s="6"/>
      <c r="I173" s="6"/>
    </row>
    <row r="174" customFormat="false" ht="15" hidden="false" customHeight="false" outlineLevel="0" collapsed="false">
      <c r="A174" s="69"/>
      <c r="B174" s="6"/>
      <c r="C174" s="6"/>
      <c r="D174" s="6"/>
      <c r="E174" s="6"/>
      <c r="F174" s="6"/>
      <c r="G174" s="6"/>
      <c r="H174" s="6"/>
      <c r="I174" s="6"/>
    </row>
    <row r="175" customFormat="false" ht="15" hidden="false" customHeight="false" outlineLevel="0" collapsed="false">
      <c r="A175" s="69"/>
      <c r="B175" s="6"/>
      <c r="C175" s="6"/>
      <c r="D175" s="6"/>
      <c r="E175" s="6"/>
      <c r="F175" s="6"/>
      <c r="G175" s="6"/>
      <c r="H175" s="6"/>
      <c r="I175" s="6"/>
    </row>
    <row r="176" customFormat="false" ht="15" hidden="false" customHeight="false" outlineLevel="0" collapsed="false">
      <c r="A176" s="69"/>
      <c r="B176" s="6"/>
      <c r="C176" s="6"/>
      <c r="D176" s="6"/>
      <c r="E176" s="6"/>
      <c r="F176" s="6"/>
      <c r="G176" s="6"/>
      <c r="H176" s="6"/>
      <c r="I176" s="6"/>
    </row>
    <row r="177" customFormat="false" ht="15" hidden="false" customHeight="false" outlineLevel="0" collapsed="false">
      <c r="A177" s="69"/>
      <c r="B177" s="6"/>
      <c r="C177" s="6"/>
      <c r="D177" s="6"/>
      <c r="E177" s="6"/>
      <c r="F177" s="6"/>
      <c r="G177" s="6"/>
      <c r="H177" s="6"/>
      <c r="I177" s="6"/>
    </row>
    <row r="178" customFormat="false" ht="15" hidden="false" customHeight="false" outlineLevel="0" collapsed="false">
      <c r="A178" s="69"/>
      <c r="B178" s="6"/>
      <c r="C178" s="6"/>
      <c r="D178" s="6"/>
      <c r="E178" s="6"/>
      <c r="F178" s="6"/>
      <c r="G178" s="6"/>
      <c r="H178" s="6"/>
      <c r="I178" s="6"/>
    </row>
    <row r="179" customFormat="false" ht="15" hidden="false" customHeight="false" outlineLevel="0" collapsed="false">
      <c r="A179" s="69"/>
      <c r="B179" s="6"/>
      <c r="C179" s="6"/>
      <c r="D179" s="6"/>
      <c r="E179" s="6"/>
      <c r="F179" s="6"/>
      <c r="G179" s="6"/>
      <c r="H179" s="6"/>
      <c r="I179" s="6"/>
    </row>
    <row r="180" customFormat="false" ht="15" hidden="false" customHeight="false" outlineLevel="0" collapsed="false">
      <c r="A180" s="69"/>
      <c r="B180" s="6"/>
      <c r="C180" s="6"/>
      <c r="D180" s="6"/>
      <c r="E180" s="6"/>
      <c r="F180" s="6"/>
      <c r="G180" s="6"/>
      <c r="H180" s="6"/>
      <c r="I180" s="6"/>
    </row>
    <row r="181" customFormat="false" ht="15" hidden="false" customHeight="false" outlineLevel="0" collapsed="false">
      <c r="A181" s="69"/>
      <c r="B181" s="6"/>
      <c r="C181" s="6"/>
      <c r="D181" s="6"/>
      <c r="E181" s="6"/>
      <c r="F181" s="6"/>
      <c r="G181" s="6"/>
      <c r="H181" s="6"/>
      <c r="I181" s="6"/>
    </row>
    <row r="182" customFormat="false" ht="15" hidden="false" customHeight="false" outlineLevel="0" collapsed="false">
      <c r="A182" s="69"/>
      <c r="B182" s="6"/>
      <c r="C182" s="6"/>
      <c r="D182" s="6"/>
      <c r="E182" s="6"/>
      <c r="F182" s="6"/>
      <c r="G182" s="6"/>
      <c r="H182" s="6"/>
      <c r="I182" s="6"/>
    </row>
    <row r="183" customFormat="false" ht="15" hidden="false" customHeight="false" outlineLevel="0" collapsed="false">
      <c r="A183" s="69"/>
      <c r="B183" s="6"/>
      <c r="C183" s="6"/>
      <c r="D183" s="6"/>
      <c r="E183" s="6"/>
      <c r="F183" s="6"/>
      <c r="G183" s="6"/>
      <c r="H183" s="6"/>
      <c r="I183" s="6"/>
    </row>
    <row r="184" customFormat="false" ht="15" hidden="false" customHeight="false" outlineLevel="0" collapsed="false">
      <c r="A184" s="69"/>
      <c r="B184" s="6"/>
      <c r="C184" s="6"/>
      <c r="D184" s="6"/>
      <c r="E184" s="6"/>
      <c r="F184" s="6"/>
      <c r="G184" s="6"/>
      <c r="H184" s="6"/>
      <c r="I184" s="6"/>
    </row>
    <row r="185" customFormat="false" ht="15" hidden="false" customHeight="false" outlineLevel="0" collapsed="false">
      <c r="A185" s="69"/>
      <c r="B185" s="6"/>
      <c r="C185" s="6"/>
      <c r="D185" s="6"/>
      <c r="E185" s="6"/>
      <c r="F185" s="6"/>
      <c r="G185" s="6"/>
      <c r="H185" s="6"/>
      <c r="I185" s="6"/>
    </row>
    <row r="186" customFormat="false" ht="15" hidden="false" customHeight="false" outlineLevel="0" collapsed="false">
      <c r="A186" s="69"/>
      <c r="B186" s="6"/>
      <c r="C186" s="6"/>
      <c r="D186" s="6"/>
      <c r="E186" s="6"/>
      <c r="F186" s="6"/>
      <c r="G186" s="6"/>
      <c r="H186" s="6"/>
      <c r="I186" s="6"/>
    </row>
    <row r="187" customFormat="false" ht="15" hidden="false" customHeight="false" outlineLevel="0" collapsed="false">
      <c r="A187" s="69"/>
      <c r="B187" s="6"/>
      <c r="C187" s="6"/>
      <c r="D187" s="6"/>
      <c r="E187" s="6"/>
      <c r="F187" s="6"/>
      <c r="G187" s="6"/>
      <c r="H187" s="6"/>
      <c r="I187" s="6"/>
    </row>
    <row r="188" customFormat="false" ht="15" hidden="false" customHeight="false" outlineLevel="0" collapsed="false">
      <c r="A188" s="69"/>
      <c r="B188" s="6"/>
      <c r="C188" s="6"/>
      <c r="D188" s="6"/>
      <c r="E188" s="6"/>
      <c r="F188" s="6"/>
      <c r="G188" s="6"/>
      <c r="H188" s="6"/>
      <c r="I188" s="6"/>
    </row>
    <row r="189" customFormat="false" ht="15" hidden="false" customHeight="false" outlineLevel="0" collapsed="false">
      <c r="A189" s="69"/>
      <c r="B189" s="6"/>
      <c r="C189" s="6"/>
      <c r="D189" s="6"/>
      <c r="E189" s="6"/>
      <c r="F189" s="6"/>
      <c r="G189" s="6"/>
      <c r="H189" s="6"/>
      <c r="I189" s="6"/>
    </row>
    <row r="190" customFormat="false" ht="15" hidden="false" customHeight="false" outlineLevel="0" collapsed="false">
      <c r="A190" s="69"/>
      <c r="B190" s="6"/>
      <c r="C190" s="6"/>
      <c r="D190" s="6"/>
      <c r="E190" s="6"/>
      <c r="F190" s="6"/>
      <c r="G190" s="6"/>
      <c r="H190" s="6"/>
      <c r="I190" s="6"/>
    </row>
    <row r="191" customFormat="false" ht="15" hidden="false" customHeight="false" outlineLevel="0" collapsed="false">
      <c r="A191" s="69"/>
      <c r="B191" s="6"/>
      <c r="C191" s="6"/>
      <c r="D191" s="6"/>
      <c r="E191" s="6"/>
      <c r="F191" s="6"/>
      <c r="G191" s="6"/>
      <c r="H191" s="6"/>
      <c r="I191" s="6"/>
    </row>
    <row r="192" customFormat="false" ht="15" hidden="false" customHeight="false" outlineLevel="0" collapsed="false">
      <c r="A192" s="69"/>
      <c r="B192" s="6"/>
      <c r="C192" s="6"/>
      <c r="D192" s="6"/>
      <c r="E192" s="6"/>
      <c r="F192" s="6"/>
      <c r="G192" s="6"/>
      <c r="H192" s="6"/>
      <c r="I192" s="6"/>
    </row>
    <row r="193" customFormat="false" ht="15" hidden="false" customHeight="false" outlineLevel="0" collapsed="false">
      <c r="A193" s="69"/>
      <c r="B193" s="6"/>
      <c r="C193" s="6"/>
      <c r="D193" s="6"/>
      <c r="E193" s="6"/>
      <c r="F193" s="6"/>
      <c r="G193" s="6"/>
      <c r="H193" s="6"/>
      <c r="I193" s="6"/>
    </row>
    <row r="194" customFormat="false" ht="15" hidden="false" customHeight="false" outlineLevel="0" collapsed="false">
      <c r="A194" s="69"/>
      <c r="B194" s="6"/>
      <c r="C194" s="6"/>
      <c r="D194" s="6"/>
      <c r="E194" s="6"/>
      <c r="F194" s="6"/>
      <c r="G194" s="6"/>
      <c r="H194" s="6"/>
      <c r="I194" s="6"/>
    </row>
    <row r="195" customFormat="false" ht="15" hidden="false" customHeight="false" outlineLevel="0" collapsed="false">
      <c r="A195" s="69"/>
      <c r="B195" s="6"/>
      <c r="C195" s="6"/>
      <c r="D195" s="6"/>
      <c r="E195" s="6"/>
      <c r="F195" s="6"/>
      <c r="G195" s="6"/>
      <c r="H195" s="6"/>
      <c r="I195" s="6"/>
    </row>
    <row r="196" customFormat="false" ht="15" hidden="false" customHeight="false" outlineLevel="0" collapsed="false">
      <c r="A196" s="69"/>
      <c r="B196" s="6"/>
      <c r="C196" s="6"/>
      <c r="D196" s="6"/>
      <c r="E196" s="6"/>
      <c r="F196" s="6"/>
      <c r="G196" s="6"/>
      <c r="H196" s="6"/>
      <c r="I196" s="6"/>
    </row>
    <row r="197" customFormat="false" ht="15" hidden="false" customHeight="false" outlineLevel="0" collapsed="false">
      <c r="A197" s="69"/>
      <c r="B197" s="6"/>
      <c r="C197" s="6"/>
      <c r="D197" s="6"/>
      <c r="E197" s="6"/>
      <c r="F197" s="6"/>
      <c r="G197" s="6"/>
      <c r="H197" s="6"/>
      <c r="I197" s="6"/>
    </row>
    <row r="198" customFormat="false" ht="15" hidden="false" customHeight="false" outlineLevel="0" collapsed="false">
      <c r="A198" s="69"/>
      <c r="B198" s="6"/>
      <c r="C198" s="6"/>
      <c r="D198" s="6"/>
      <c r="E198" s="6"/>
      <c r="F198" s="6"/>
      <c r="G198" s="6"/>
      <c r="H198" s="6"/>
      <c r="I198" s="6"/>
    </row>
    <row r="199" customFormat="false" ht="15" hidden="false" customHeight="false" outlineLevel="0" collapsed="false">
      <c r="A199" s="69"/>
      <c r="B199" s="6"/>
      <c r="C199" s="6"/>
      <c r="D199" s="6"/>
      <c r="E199" s="6"/>
      <c r="F199" s="6"/>
      <c r="G199" s="6"/>
      <c r="H199" s="6"/>
      <c r="I199" s="6"/>
    </row>
    <row r="200" customFormat="false" ht="15" hidden="false" customHeight="false" outlineLevel="0" collapsed="false">
      <c r="A200" s="69"/>
      <c r="B200" s="6"/>
      <c r="C200" s="6"/>
      <c r="D200" s="6"/>
      <c r="E200" s="6"/>
      <c r="F200" s="6"/>
      <c r="G200" s="6"/>
      <c r="H200" s="6"/>
      <c r="I200" s="6"/>
    </row>
    <row r="201" customFormat="false" ht="15" hidden="false" customHeight="false" outlineLevel="0" collapsed="false">
      <c r="A201" s="69"/>
      <c r="B201" s="6"/>
      <c r="C201" s="6"/>
      <c r="D201" s="6"/>
      <c r="E201" s="6"/>
      <c r="F201" s="6"/>
      <c r="G201" s="6"/>
      <c r="H201" s="6"/>
      <c r="I201" s="6"/>
    </row>
    <row r="202" customFormat="false" ht="15" hidden="false" customHeight="false" outlineLevel="0" collapsed="false">
      <c r="A202" s="69"/>
      <c r="B202" s="6"/>
      <c r="C202" s="6"/>
      <c r="D202" s="6"/>
      <c r="E202" s="6"/>
      <c r="F202" s="6"/>
      <c r="G202" s="6"/>
      <c r="H202" s="6"/>
      <c r="I202" s="6"/>
    </row>
    <row r="203" customFormat="false" ht="15" hidden="false" customHeight="false" outlineLevel="0" collapsed="false">
      <c r="A203" s="69"/>
      <c r="B203" s="6"/>
      <c r="C203" s="6"/>
      <c r="D203" s="6"/>
      <c r="E203" s="6"/>
      <c r="F203" s="6"/>
      <c r="G203" s="6"/>
      <c r="H203" s="6"/>
      <c r="I203" s="6"/>
    </row>
    <row r="204" customFormat="false" ht="15" hidden="false" customHeight="false" outlineLevel="0" collapsed="false">
      <c r="A204" s="69"/>
      <c r="B204" s="6"/>
      <c r="C204" s="6"/>
      <c r="D204" s="6"/>
      <c r="E204" s="6"/>
      <c r="F204" s="6"/>
      <c r="G204" s="6"/>
      <c r="H204" s="6"/>
      <c r="I204" s="6"/>
    </row>
  </sheetData>
  <dataValidations count="2">
    <dataValidation allowBlank="true" errorStyle="warning" operator="between" showDropDown="false" showErrorMessage="false" showInputMessage="false" sqref="H5:H204" type="list">
      <formula1>Dropdowns!$D$2:$D$10</formula1>
      <formula2>0</formula2>
    </dataValidation>
    <dataValidation allowBlank="true" errorStyle="stop" operator="between" showDropDown="false" showErrorMessage="false" showInputMessage="false" sqref="I5:I204" type="list">
      <formula1>Dropdowns!$F$2:$F$4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6"/>
  </cols>
  <sheetData>
    <row r="1" customFormat="false" ht="15" hidden="false" customHeight="false" outlineLevel="0" collapsed="false">
      <c r="A1" s="70" t="s">
        <v>73</v>
      </c>
      <c r="B1" s="70" t="s">
        <v>76</v>
      </c>
      <c r="C1" s="70" t="s">
        <v>509</v>
      </c>
      <c r="D1" s="70" t="s">
        <v>92</v>
      </c>
      <c r="E1" s="70" t="s">
        <v>96</v>
      </c>
      <c r="F1" s="70" t="s">
        <v>510</v>
      </c>
      <c r="G1" s="70" t="s">
        <v>102</v>
      </c>
      <c r="H1" s="70" t="s">
        <v>88</v>
      </c>
      <c r="I1" s="70" t="s">
        <v>511</v>
      </c>
      <c r="J1" s="70" t="s">
        <v>81</v>
      </c>
      <c r="K1" s="70" t="s">
        <v>512</v>
      </c>
    </row>
    <row r="2" customFormat="false" ht="15" hidden="false" customHeight="false" outlineLevel="0" collapsed="false">
      <c r="A2" s="71" t="s">
        <v>117</v>
      </c>
      <c r="B2" s="71" t="s">
        <v>120</v>
      </c>
      <c r="C2" s="71" t="s">
        <v>134</v>
      </c>
      <c r="D2" s="71" t="s">
        <v>135</v>
      </c>
      <c r="E2" s="71" t="s">
        <v>244</v>
      </c>
      <c r="F2" s="71" t="s">
        <v>138</v>
      </c>
      <c r="G2" s="71" t="s">
        <v>201</v>
      </c>
      <c r="H2" s="71" t="s">
        <v>130</v>
      </c>
      <c r="I2" s="71" t="s">
        <v>152</v>
      </c>
      <c r="J2" s="71" t="s">
        <v>125</v>
      </c>
      <c r="K2" s="71" t="s">
        <v>247</v>
      </c>
    </row>
    <row r="3" customFormat="false" ht="15" hidden="false" customHeight="false" outlineLevel="0" collapsed="false">
      <c r="A3" s="71" t="s">
        <v>178</v>
      </c>
      <c r="B3" s="71" t="s">
        <v>232</v>
      </c>
      <c r="C3" s="71" t="s">
        <v>173</v>
      </c>
      <c r="D3" s="71" t="s">
        <v>133</v>
      </c>
      <c r="E3" s="71" t="s">
        <v>199</v>
      </c>
      <c r="F3" s="71" t="s">
        <v>156</v>
      </c>
      <c r="G3" s="71" t="s">
        <v>158</v>
      </c>
      <c r="H3" s="71" t="s">
        <v>513</v>
      </c>
      <c r="I3" s="71" t="s">
        <v>514</v>
      </c>
      <c r="J3" s="71" t="s">
        <v>515</v>
      </c>
      <c r="K3" s="71" t="s">
        <v>117</v>
      </c>
    </row>
    <row r="4" customFormat="false" ht="15" hidden="false" customHeight="false" outlineLevel="0" collapsed="false">
      <c r="A4" s="71" t="s">
        <v>217</v>
      </c>
      <c r="B4" s="71" t="s">
        <v>180</v>
      </c>
      <c r="C4" s="71" t="s">
        <v>364</v>
      </c>
      <c r="D4" s="71" t="s">
        <v>190</v>
      </c>
      <c r="E4" s="71" t="s">
        <v>155</v>
      </c>
      <c r="F4" s="71" t="s">
        <v>200</v>
      </c>
      <c r="G4" s="71" t="s">
        <v>140</v>
      </c>
      <c r="H4" s="71" t="s">
        <v>516</v>
      </c>
      <c r="I4" s="71" t="s">
        <v>266</v>
      </c>
      <c r="J4" s="71" t="s">
        <v>517</v>
      </c>
      <c r="K4" s="71" t="s">
        <v>178</v>
      </c>
    </row>
    <row r="5" customFormat="false" ht="15" hidden="false" customHeight="false" outlineLevel="0" collapsed="false">
      <c r="A5" s="71" t="s">
        <v>246</v>
      </c>
      <c r="B5" s="71" t="s">
        <v>493</v>
      </c>
      <c r="C5" s="71" t="s">
        <v>287</v>
      </c>
      <c r="D5" s="71" t="s">
        <v>226</v>
      </c>
      <c r="E5" s="71" t="s">
        <v>137</v>
      </c>
      <c r="G5" s="71" t="s">
        <v>349</v>
      </c>
      <c r="H5" s="71" t="s">
        <v>213</v>
      </c>
      <c r="I5" s="71" t="s">
        <v>240</v>
      </c>
      <c r="J5" s="71" t="s">
        <v>518</v>
      </c>
      <c r="K5" s="71" t="s">
        <v>217</v>
      </c>
    </row>
    <row r="6" customFormat="false" ht="15" hidden="false" customHeight="false" outlineLevel="0" collapsed="false">
      <c r="B6" s="71" t="s">
        <v>519</v>
      </c>
      <c r="C6" s="71" t="s">
        <v>487</v>
      </c>
      <c r="D6" s="71" t="s">
        <v>242</v>
      </c>
      <c r="G6" s="71" t="s">
        <v>348</v>
      </c>
      <c r="H6" s="71" t="s">
        <v>189</v>
      </c>
      <c r="I6" s="71" t="s">
        <v>255</v>
      </c>
      <c r="J6" s="71" t="s">
        <v>520</v>
      </c>
      <c r="K6" s="71" t="s">
        <v>246</v>
      </c>
    </row>
    <row r="7" customFormat="false" ht="15" hidden="false" customHeight="false" outlineLevel="0" collapsed="false">
      <c r="C7" s="71" t="s">
        <v>278</v>
      </c>
      <c r="D7" s="71" t="s">
        <v>173</v>
      </c>
      <c r="G7" s="71" t="s">
        <v>521</v>
      </c>
      <c r="H7" s="71" t="s">
        <v>522</v>
      </c>
      <c r="I7" s="71" t="s">
        <v>523</v>
      </c>
      <c r="J7" s="71" t="s">
        <v>524</v>
      </c>
    </row>
    <row r="8" customFormat="false" ht="15" hidden="false" customHeight="false" outlineLevel="0" collapsed="false">
      <c r="C8" s="71" t="s">
        <v>153</v>
      </c>
      <c r="D8" s="71" t="s">
        <v>364</v>
      </c>
      <c r="H8" s="71" t="s">
        <v>525</v>
      </c>
      <c r="I8" s="71" t="s">
        <v>131</v>
      </c>
      <c r="J8" s="71" t="s">
        <v>516</v>
      </c>
    </row>
    <row r="9" customFormat="false" ht="15" hidden="false" customHeight="false" outlineLevel="0" collapsed="false">
      <c r="C9" s="71" t="s">
        <v>494</v>
      </c>
      <c r="D9" s="71" t="s">
        <v>287</v>
      </c>
      <c r="H9" s="71" t="s">
        <v>225</v>
      </c>
      <c r="J9" s="71" t="s">
        <v>526</v>
      </c>
    </row>
    <row r="10" customFormat="false" ht="15" hidden="false" customHeight="false" outlineLevel="0" collapsed="false">
      <c r="D10" s="71" t="s">
        <v>153</v>
      </c>
      <c r="H10" s="71" t="s">
        <v>527</v>
      </c>
      <c r="J10" s="71" t="s">
        <v>528</v>
      </c>
    </row>
    <row r="11" customFormat="false" ht="15" hidden="false" customHeight="false" outlineLevel="0" collapsed="false">
      <c r="H11" s="71" t="s">
        <v>239</v>
      </c>
      <c r="J11" s="71" t="s">
        <v>529</v>
      </c>
    </row>
    <row r="12" customFormat="false" ht="15" hidden="false" customHeight="false" outlineLevel="0" collapsed="false">
      <c r="J12" s="71" t="s">
        <v>530</v>
      </c>
    </row>
    <row r="13" customFormat="false" ht="15" hidden="false" customHeight="false" outlineLevel="0" collapsed="false">
      <c r="J13" s="71" t="s">
        <v>184</v>
      </c>
    </row>
    <row r="15" customFormat="false" ht="15" hidden="false" customHeight="false" outlineLevel="0" collapsed="false">
      <c r="A15" s="12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2026-10-08T15:08:27Z</dcterms:created>
  <dc:creator>openpyxl</dc:creator>
  <dc:description/>
  <dc:language>en-US</dc:language>
  <cp:lastModifiedBy/>
  <dcterms:modified xsi:type="dcterms:W3CDTF">2026-10-08T15:08:30Z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